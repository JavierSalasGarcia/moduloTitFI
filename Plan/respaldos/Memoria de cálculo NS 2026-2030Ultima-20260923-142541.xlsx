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alumnouaemex-my.sharepoint.com/personal/lgmedranoc_uaemex_mx/Documents/Planeación 2026/Planes de desarrollo/Talleres/Matriz y memoria/"/>
    </mc:Choice>
  </mc:AlternateContent>
  <xr:revisionPtr revIDLastSave="2281" documentId="13_ncr:1_{5071D7AC-FB7E-40F1-8F36-91118321740F}" xr6:coauthVersionLast="47" xr6:coauthVersionMax="47" xr10:uidLastSave="{0633A8C2-429A-4D7D-99DF-CD28A37D1C0B}"/>
  <bookViews>
    <workbookView xWindow="-120" yWindow="-120" windowWidth="29040" windowHeight="15720" tabRatio="732" firstSheet="13" activeTab="15" xr2:uid="{2A18C112-B38D-40BF-9EDE-69F75FF082C3}"/>
  </bookViews>
  <sheets>
    <sheet name="2 EstudiantadoEstProf" sheetId="35" r:id="rId1"/>
    <sheet name="Hoja1" sheetId="60" state="hidden" r:id="rId2"/>
    <sheet name="3 Est avanzados excelencia" sheetId="41" r:id="rId3"/>
    <sheet name="4 Investigación abierta" sheetId="42" r:id="rId4"/>
    <sheet name="5 Innovación, desarrollo tec" sheetId="43" r:id="rId5"/>
    <sheet name="6 Dif y divulga de la ciencia" sheetId="44" r:id="rId6"/>
    <sheet name="7 Cultura desarrollo integral" sheetId="45" r:id="rId7"/>
    <sheet name="8 Deporte universitario" sheetId="46" r:id="rId8"/>
    <sheet name="9 Fortalecimiento docente" sheetId="47" r:id="rId9"/>
    <sheet name="10 Dignificación las y los trab" sheetId="48" r:id="rId10"/>
    <sheet name="11 Gestión administrativa" sheetId="49" r:id="rId11"/>
    <sheet name="12 Fortalecimiento tecnológico" sheetId="50" r:id="rId12"/>
    <sheet name="13 Gobernanza" sheetId="51" r:id="rId13"/>
    <sheet name="16 Manejo recursos universitari" sheetId="52" r:id="rId14"/>
    <sheet name="18 Reconocimiento de la diversi" sheetId="53" r:id="rId15"/>
    <sheet name="19 Constr cultura de paz " sheetId="54" r:id="rId16"/>
    <sheet name="20 Retribución social " sheetId="55" r:id="rId17"/>
    <sheet name="21 Comunicación universitaria" sheetId="56" r:id="rId18"/>
    <sheet name="22 Sostenibilidad ambiental " sheetId="57" r:id="rId19"/>
    <sheet name="Indicadores x proyec" sheetId="58" state="hidden" r:id="rId20"/>
    <sheet name="Apertura programática" sheetId="36" r:id="rId21"/>
    <sheet name="Metas adicionales" sheetId="59" r:id="rId22"/>
  </sheets>
  <definedNames>
    <definedName name="_xlnm._FilterDatabase" localSheetId="12" hidden="1">'13 Gobernanza'!$B$1:$X$10</definedName>
    <definedName name="_xlnm._FilterDatabase" localSheetId="14" hidden="1">'18 Reconocimiento de la diversi'!$B$1:$X$12</definedName>
    <definedName name="_xlnm._FilterDatabase" localSheetId="0" hidden="1">'2 EstudiantadoEstProf'!$B$1:$X$39</definedName>
    <definedName name="_xlnm._FilterDatabase" localSheetId="16" hidden="1">'20 Retribución social '!$A$1:$X$13</definedName>
    <definedName name="_xlnm._FilterDatabase" localSheetId="3" hidden="1">'4 Investigación abierta'!$B$1:$X$15</definedName>
    <definedName name="_Toc82616607" localSheetId="0">'2 EstudiantadoEstProf'!#REF!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7" i="36" l="1"/>
  <c r="H177" i="36"/>
  <c r="G177" i="36"/>
  <c r="E177" i="36"/>
  <c r="D177" i="36"/>
  <c r="C177" i="36"/>
  <c r="V3" i="54"/>
  <c r="H96" i="58" s="1" a="1"/>
  <c r="H96" i="58" s="1"/>
  <c r="U3" i="54"/>
  <c r="G96" i="58" s="1" a="1"/>
  <c r="G96" i="58" s="1"/>
  <c r="T3" i="54"/>
  <c r="S3" i="54"/>
  <c r="R3" i="54"/>
  <c r="P32" i="35"/>
  <c r="U29" i="35" s="1"/>
  <c r="G22" i="58" s="1"/>
  <c r="O32" i="35"/>
  <c r="N32" i="35"/>
  <c r="P29" i="35"/>
  <c r="O29" i="35"/>
  <c r="N29" i="35"/>
  <c r="M29" i="35"/>
  <c r="Q23" i="35"/>
  <c r="P23" i="35"/>
  <c r="O23" i="35"/>
  <c r="N23" i="35"/>
  <c r="M23" i="35"/>
  <c r="C18" i="58"/>
  <c r="C26" i="58"/>
  <c r="C22" i="58"/>
  <c r="T29" i="35"/>
  <c r="F22" i="58" s="1"/>
  <c r="S29" i="35"/>
  <c r="E22" i="58" s="1"/>
  <c r="Q9" i="46"/>
  <c r="V8" i="46" s="1"/>
  <c r="H56" i="58" s="1"/>
  <c r="G94" i="36" s="1"/>
  <c r="B143" i="36"/>
  <c r="B144" i="36"/>
  <c r="B65" i="36"/>
  <c r="D20" i="60"/>
  <c r="C20" i="60"/>
  <c r="B20" i="60"/>
  <c r="D3" i="60"/>
  <c r="D4" i="60"/>
  <c r="D5" i="60"/>
  <c r="D6" i="60"/>
  <c r="D7" i="60"/>
  <c r="D8" i="60"/>
  <c r="D9" i="60"/>
  <c r="D10" i="60"/>
  <c r="D11" i="60"/>
  <c r="D12" i="60"/>
  <c r="D13" i="60"/>
  <c r="D14" i="60"/>
  <c r="D15" i="60"/>
  <c r="D16" i="60"/>
  <c r="D17" i="60"/>
  <c r="D18" i="60"/>
  <c r="D19" i="60"/>
  <c r="D2" i="60"/>
  <c r="B199" i="36"/>
  <c r="B198" i="36"/>
  <c r="R29" i="35"/>
  <c r="C27" i="36" s="1"/>
  <c r="G219" i="36"/>
  <c r="G170" i="36"/>
  <c r="G143" i="36"/>
  <c r="G108" i="36"/>
  <c r="V14" i="57"/>
  <c r="G224" i="36" s="1"/>
  <c r="V13" i="57"/>
  <c r="G223" i="36" s="1"/>
  <c r="V12" i="57"/>
  <c r="G222" i="36" s="1"/>
  <c r="V11" i="57"/>
  <c r="G221" i="36" s="1"/>
  <c r="V10" i="57"/>
  <c r="G220" i="36" s="1"/>
  <c r="V9" i="57"/>
  <c r="V8" i="57"/>
  <c r="G218" i="36" s="1"/>
  <c r="V7" i="57"/>
  <c r="G217" i="36" s="1"/>
  <c r="V6" i="57"/>
  <c r="G216" i="36" s="1"/>
  <c r="V5" i="57"/>
  <c r="G215" i="36" s="1"/>
  <c r="V4" i="57"/>
  <c r="G214" i="36" s="1"/>
  <c r="V3" i="57"/>
  <c r="G213" i="36" s="1"/>
  <c r="Q35" i="35"/>
  <c r="V34" i="35" s="1"/>
  <c r="H26" i="58" s="1"/>
  <c r="G29" i="36" s="1"/>
  <c r="Q6" i="48"/>
  <c r="Q4" i="48"/>
  <c r="V3" i="56"/>
  <c r="G206" i="36" s="1"/>
  <c r="V13" i="55"/>
  <c r="G199" i="36" s="1"/>
  <c r="V12" i="55"/>
  <c r="G198" i="36" s="1"/>
  <c r="V11" i="55"/>
  <c r="G197" i="36" s="1"/>
  <c r="V9" i="55"/>
  <c r="H104" i="58" s="1" a="1"/>
  <c r="H104" i="58" s="1"/>
  <c r="G196" i="36" s="1"/>
  <c r="V8" i="55"/>
  <c r="G195" i="36" s="1"/>
  <c r="V7" i="55"/>
  <c r="G194" i="36" s="1"/>
  <c r="V6" i="55"/>
  <c r="G193" i="36" s="1"/>
  <c r="V5" i="55"/>
  <c r="G192" i="36" s="1"/>
  <c r="V4" i="55"/>
  <c r="G191" i="36" s="1"/>
  <c r="V3" i="55"/>
  <c r="G190" i="36" s="1"/>
  <c r="V10" i="54"/>
  <c r="G183" i="36" s="1"/>
  <c r="V9" i="54"/>
  <c r="G182" i="36" s="1"/>
  <c r="V7" i="54"/>
  <c r="H98" i="58" s="1" a="1"/>
  <c r="H98" i="58" s="1"/>
  <c r="G181" i="36" s="1"/>
  <c r="V6" i="54"/>
  <c r="G180" i="36" s="1"/>
  <c r="V5" i="54"/>
  <c r="G179" i="36" s="1"/>
  <c r="V4" i="54"/>
  <c r="G178" i="36" s="1"/>
  <c r="V12" i="53"/>
  <c r="V11" i="53"/>
  <c r="G169" i="36" s="1"/>
  <c r="V10" i="53"/>
  <c r="G168" i="36" s="1"/>
  <c r="V9" i="53"/>
  <c r="G167" i="36" s="1"/>
  <c r="V8" i="53"/>
  <c r="G166" i="36" s="1"/>
  <c r="V6" i="53"/>
  <c r="H90" i="58" s="1" a="1"/>
  <c r="H90" i="58" s="1"/>
  <c r="G165" i="36" s="1"/>
  <c r="V5" i="53"/>
  <c r="G164" i="36" s="1"/>
  <c r="V3" i="53"/>
  <c r="H88" i="58" s="1" a="1"/>
  <c r="H88" i="58" s="1"/>
  <c r="G163" i="36" s="1"/>
  <c r="V3" i="52"/>
  <c r="G156" i="36" s="1"/>
  <c r="V10" i="51"/>
  <c r="G149" i="36" s="1"/>
  <c r="V9" i="51"/>
  <c r="G148" i="36" s="1"/>
  <c r="V8" i="51"/>
  <c r="G147" i="36" s="1"/>
  <c r="V7" i="51"/>
  <c r="G146" i="36" s="1"/>
  <c r="V6" i="51"/>
  <c r="G145" i="36" s="1"/>
  <c r="V5" i="51"/>
  <c r="G144" i="36" s="1"/>
  <c r="V4" i="51"/>
  <c r="V3" i="51"/>
  <c r="G142" i="36" s="1"/>
  <c r="V4" i="50"/>
  <c r="G135" i="36" s="1"/>
  <c r="V3" i="50"/>
  <c r="G134" i="36" s="1"/>
  <c r="V4" i="49"/>
  <c r="G127" i="36" s="1"/>
  <c r="V3" i="49"/>
  <c r="G126" i="36" s="1"/>
  <c r="V7" i="48"/>
  <c r="H82" i="58" s="1"/>
  <c r="G119" i="36" s="1"/>
  <c r="V5" i="48"/>
  <c r="H80" i="58" s="1"/>
  <c r="G118" i="36" s="1"/>
  <c r="V3" i="48"/>
  <c r="H78" i="58" s="1"/>
  <c r="G117" i="36" s="1"/>
  <c r="Q12" i="47"/>
  <c r="V11" i="47" s="1"/>
  <c r="H70" i="58" s="1"/>
  <c r="G106" i="36" s="1"/>
  <c r="Q8" i="47"/>
  <c r="V7" i="47" s="1"/>
  <c r="H66" i="58" s="1"/>
  <c r="G104" i="36" s="1"/>
  <c r="Q6" i="47"/>
  <c r="V18" i="47"/>
  <c r="G111" i="36" s="1"/>
  <c r="V17" i="47"/>
  <c r="G110" i="36" s="1"/>
  <c r="V14" i="47"/>
  <c r="V13" i="47"/>
  <c r="G107" i="36" s="1"/>
  <c r="V15" i="47"/>
  <c r="H72" i="58" s="1"/>
  <c r="G109" i="36" s="1"/>
  <c r="V9" i="47"/>
  <c r="H68" i="58" s="1"/>
  <c r="G105" i="36" s="1"/>
  <c r="V5" i="47"/>
  <c r="H64" i="58" s="1"/>
  <c r="G103" i="36" s="1"/>
  <c r="V3" i="47"/>
  <c r="H62" i="58" s="1"/>
  <c r="G102" i="36" s="1"/>
  <c r="V10" i="46"/>
  <c r="G95" i="36" s="1"/>
  <c r="V6" i="46"/>
  <c r="H54" i="58" s="1"/>
  <c r="G93" i="36" s="1"/>
  <c r="V4" i="46"/>
  <c r="H52" i="58" s="1"/>
  <c r="G92" i="36" s="1"/>
  <c r="V3" i="46"/>
  <c r="G91" i="36" s="1"/>
  <c r="V8" i="45"/>
  <c r="G85" i="36" s="1"/>
  <c r="V7" i="45"/>
  <c r="G84" i="36" s="1"/>
  <c r="V6" i="45"/>
  <c r="G83" i="36" s="1"/>
  <c r="V5" i="45"/>
  <c r="G82" i="36" s="1"/>
  <c r="V4" i="45"/>
  <c r="G81" i="36" s="1"/>
  <c r="V3" i="45"/>
  <c r="G80" i="36" s="1"/>
  <c r="V5" i="44"/>
  <c r="G74" i="36" s="1"/>
  <c r="V4" i="44"/>
  <c r="G73" i="36" s="1"/>
  <c r="V3" i="44"/>
  <c r="G72" i="36" s="1"/>
  <c r="V4" i="43"/>
  <c r="G66" i="36" s="1"/>
  <c r="V3" i="43"/>
  <c r="G65" i="36" s="1"/>
  <c r="Q9" i="42"/>
  <c r="V8" i="42" s="1"/>
  <c r="H42" i="58" s="1"/>
  <c r="G55" i="36" s="1"/>
  <c r="V14" i="42"/>
  <c r="H46" i="58" s="1"/>
  <c r="G59" i="36" s="1"/>
  <c r="V12" i="42"/>
  <c r="H44" i="58" s="1"/>
  <c r="G58" i="36" s="1"/>
  <c r="V11" i="42"/>
  <c r="G57" i="36" s="1"/>
  <c r="V10" i="42"/>
  <c r="G56" i="36" s="1"/>
  <c r="V6" i="42"/>
  <c r="H40" i="58" s="1"/>
  <c r="G54" i="36" s="1"/>
  <c r="V4" i="42"/>
  <c r="H38" i="58" s="1"/>
  <c r="G53" i="36" s="1"/>
  <c r="V3" i="42"/>
  <c r="G52" i="36" s="1"/>
  <c r="V9" i="41"/>
  <c r="H32" i="58" s="1"/>
  <c r="G45" i="36" s="1"/>
  <c r="V8" i="41"/>
  <c r="G44" i="36" s="1"/>
  <c r="V7" i="41"/>
  <c r="G43" i="36" s="1"/>
  <c r="V6" i="41"/>
  <c r="G42" i="36" s="1"/>
  <c r="V5" i="41"/>
  <c r="G41" i="36" s="1"/>
  <c r="V4" i="41"/>
  <c r="G40" i="36" s="1"/>
  <c r="V3" i="41"/>
  <c r="G39" i="36" s="1"/>
  <c r="V39" i="35"/>
  <c r="G33" i="36" s="1"/>
  <c r="V38" i="35"/>
  <c r="G32" i="36" s="1"/>
  <c r="V37" i="35"/>
  <c r="G31" i="36" s="1"/>
  <c r="V36" i="35"/>
  <c r="G30" i="36" s="1"/>
  <c r="V33" i="35"/>
  <c r="G28" i="36" s="1"/>
  <c r="V27" i="35"/>
  <c r="H20" i="58" s="1"/>
  <c r="G26" i="36" s="1"/>
  <c r="V26" i="35"/>
  <c r="G25" i="36" s="1"/>
  <c r="V24" i="35"/>
  <c r="H18" i="58" s="1"/>
  <c r="G24" i="36" s="1"/>
  <c r="V23" i="35"/>
  <c r="G23" i="36" s="1"/>
  <c r="V22" i="35"/>
  <c r="G22" i="36" s="1"/>
  <c r="V21" i="35"/>
  <c r="G21" i="36" s="1"/>
  <c r="V20" i="35"/>
  <c r="G20" i="36" s="1"/>
  <c r="V18" i="35"/>
  <c r="H16" i="58" s="1"/>
  <c r="G19" i="36" s="1"/>
  <c r="V17" i="35"/>
  <c r="G18" i="36" s="1"/>
  <c r="V16" i="35"/>
  <c r="G17" i="36" s="1"/>
  <c r="V15" i="35"/>
  <c r="G16" i="36" s="1"/>
  <c r="V13" i="35"/>
  <c r="H14" i="58" s="1"/>
  <c r="G15" i="36" s="1"/>
  <c r="V12" i="35"/>
  <c r="G14" i="36" s="1"/>
  <c r="V11" i="35"/>
  <c r="G13" i="36" s="1"/>
  <c r="V9" i="35"/>
  <c r="H12" i="58" s="1"/>
  <c r="G12" i="36" s="1"/>
  <c r="V7" i="35"/>
  <c r="H10" i="58" s="1"/>
  <c r="G11" i="36" s="1"/>
  <c r="V5" i="35"/>
  <c r="H8" i="58" s="1"/>
  <c r="G10" i="36" s="1"/>
  <c r="V4" i="35"/>
  <c r="G9" i="36" s="1"/>
  <c r="V3" i="35"/>
  <c r="G8" i="36" s="1"/>
  <c r="F96" i="58" a="1"/>
  <c r="F96" i="58" s="1"/>
  <c r="E96" i="58" a="1"/>
  <c r="E96" i="58" s="1"/>
  <c r="D96" i="58" a="1"/>
  <c r="D96" i="58" s="1"/>
  <c r="C96" i="58" a="1"/>
  <c r="C96" i="58" s="1"/>
  <c r="I170" i="36"/>
  <c r="H170" i="36"/>
  <c r="I169" i="36"/>
  <c r="H169" i="36"/>
  <c r="I168" i="36"/>
  <c r="H168" i="36"/>
  <c r="I167" i="36"/>
  <c r="H167" i="36"/>
  <c r="I164" i="36"/>
  <c r="H164" i="36"/>
  <c r="P9" i="46"/>
  <c r="U8" i="46" s="1"/>
  <c r="G56" i="58" s="1"/>
  <c r="F94" i="36" s="1"/>
  <c r="B74" i="36"/>
  <c r="B73" i="36"/>
  <c r="B72" i="36"/>
  <c r="I66" i="36"/>
  <c r="I65" i="36"/>
  <c r="C42" i="58"/>
  <c r="I224" i="36"/>
  <c r="H224" i="36"/>
  <c r="B224" i="36"/>
  <c r="I223" i="36"/>
  <c r="H223" i="36"/>
  <c r="B223" i="36"/>
  <c r="I222" i="36"/>
  <c r="H222" i="36"/>
  <c r="B222" i="36"/>
  <c r="I221" i="36"/>
  <c r="H221" i="36"/>
  <c r="B221" i="36"/>
  <c r="I220" i="36"/>
  <c r="H220" i="36"/>
  <c r="B220" i="36"/>
  <c r="I219" i="36"/>
  <c r="H219" i="36"/>
  <c r="B219" i="36"/>
  <c r="I218" i="36"/>
  <c r="H218" i="36"/>
  <c r="B218" i="36"/>
  <c r="I217" i="36"/>
  <c r="H217" i="36"/>
  <c r="B217" i="36"/>
  <c r="I216" i="36"/>
  <c r="H216" i="36"/>
  <c r="B216" i="36"/>
  <c r="I215" i="36"/>
  <c r="H215" i="36"/>
  <c r="B215" i="36"/>
  <c r="I214" i="36"/>
  <c r="H214" i="36"/>
  <c r="B214" i="36"/>
  <c r="I213" i="36"/>
  <c r="H213" i="36"/>
  <c r="B213" i="36"/>
  <c r="I206" i="36"/>
  <c r="H206" i="36"/>
  <c r="B206" i="36"/>
  <c r="I199" i="36"/>
  <c r="H199" i="36"/>
  <c r="I198" i="36"/>
  <c r="H198" i="36"/>
  <c r="I197" i="36"/>
  <c r="H197" i="36"/>
  <c r="B197" i="36"/>
  <c r="I195" i="36"/>
  <c r="H195" i="36"/>
  <c r="I194" i="36"/>
  <c r="H194" i="36"/>
  <c r="I193" i="36"/>
  <c r="H193" i="36"/>
  <c r="I192" i="36"/>
  <c r="H192" i="36"/>
  <c r="I191" i="36"/>
  <c r="H191" i="36"/>
  <c r="I190" i="36"/>
  <c r="H190" i="36"/>
  <c r="B195" i="36"/>
  <c r="B194" i="36"/>
  <c r="B193" i="36"/>
  <c r="B192" i="36"/>
  <c r="B191" i="36"/>
  <c r="B190" i="36"/>
  <c r="J104" i="58" a="1"/>
  <c r="J104" i="58" s="1"/>
  <c r="I196" i="36" s="1"/>
  <c r="I104" i="58" a="1"/>
  <c r="I104" i="58" s="1"/>
  <c r="H196" i="36" s="1"/>
  <c r="B104" i="58" a="1"/>
  <c r="B104" i="58" s="1"/>
  <c r="B196" i="36" s="1"/>
  <c r="I183" i="36"/>
  <c r="H183" i="36"/>
  <c r="I182" i="36"/>
  <c r="H182" i="36"/>
  <c r="B183" i="36"/>
  <c r="B182" i="36"/>
  <c r="I180" i="36"/>
  <c r="H180" i="36"/>
  <c r="B180" i="36"/>
  <c r="I179" i="36"/>
  <c r="H179" i="36"/>
  <c r="B179" i="36"/>
  <c r="I178" i="36"/>
  <c r="H178" i="36"/>
  <c r="B178" i="36"/>
  <c r="J98" i="58" a="1"/>
  <c r="J98" i="58" s="1"/>
  <c r="I181" i="36" s="1"/>
  <c r="I98" i="58" a="1"/>
  <c r="I98" i="58" s="1"/>
  <c r="H181" i="36" s="1"/>
  <c r="B98" i="58" a="1"/>
  <c r="B98" i="58" s="1"/>
  <c r="B181" i="36" s="1"/>
  <c r="J96" i="58" a="1"/>
  <c r="J96" i="58" s="1"/>
  <c r="I96" i="58" a="1"/>
  <c r="I96" i="58" s="1"/>
  <c r="B96" i="58" a="1"/>
  <c r="B96" i="58" s="1"/>
  <c r="B177" i="36" s="1"/>
  <c r="I166" i="36"/>
  <c r="H166" i="36"/>
  <c r="B170" i="36"/>
  <c r="B169" i="36"/>
  <c r="B168" i="36"/>
  <c r="B167" i="36"/>
  <c r="B166" i="36"/>
  <c r="B164" i="36"/>
  <c r="J90" i="58" a="1"/>
  <c r="J90" i="58" s="1"/>
  <c r="I165" i="36" s="1"/>
  <c r="I90" i="58" a="1"/>
  <c r="I90" i="58" s="1"/>
  <c r="H165" i="36" s="1"/>
  <c r="B90" i="58" a="1"/>
  <c r="B90" i="58" s="1"/>
  <c r="B165" i="36" s="1"/>
  <c r="J88" i="58" a="1"/>
  <c r="J88" i="58" s="1"/>
  <c r="I163" i="36" s="1"/>
  <c r="I88" i="58" a="1"/>
  <c r="I88" i="58" s="1"/>
  <c r="H163" i="36" s="1"/>
  <c r="B88" i="58" a="1"/>
  <c r="B88" i="58" s="1"/>
  <c r="B163" i="36" s="1"/>
  <c r="I156" i="36"/>
  <c r="H156" i="36"/>
  <c r="B156" i="36"/>
  <c r="I149" i="36"/>
  <c r="H149" i="36"/>
  <c r="I148" i="36"/>
  <c r="H148" i="36"/>
  <c r="I147" i="36"/>
  <c r="H147" i="36"/>
  <c r="I146" i="36"/>
  <c r="H146" i="36"/>
  <c r="I145" i="36"/>
  <c r="H145" i="36"/>
  <c r="I144" i="36"/>
  <c r="H144" i="36"/>
  <c r="I143" i="36"/>
  <c r="H143" i="36"/>
  <c r="I142" i="36"/>
  <c r="H142" i="36"/>
  <c r="B149" i="36"/>
  <c r="B148" i="36"/>
  <c r="B147" i="36"/>
  <c r="B146" i="36"/>
  <c r="B145" i="36"/>
  <c r="B142" i="36"/>
  <c r="I134" i="36"/>
  <c r="H134" i="36"/>
  <c r="I135" i="36"/>
  <c r="H135" i="36"/>
  <c r="B135" i="36"/>
  <c r="B134" i="36"/>
  <c r="I127" i="36"/>
  <c r="H127" i="36"/>
  <c r="I126" i="36"/>
  <c r="H126" i="36"/>
  <c r="B127" i="36"/>
  <c r="B126" i="36"/>
  <c r="J82" i="58"/>
  <c r="I119" i="36" s="1"/>
  <c r="I82" i="58"/>
  <c r="H119" i="36" s="1"/>
  <c r="J80" i="58"/>
  <c r="I118" i="36" s="1"/>
  <c r="I80" i="58"/>
  <c r="H118" i="36" s="1"/>
  <c r="J78" i="58"/>
  <c r="I117" i="36" s="1"/>
  <c r="I78" i="58"/>
  <c r="H117" i="36" s="1"/>
  <c r="B82" i="58"/>
  <c r="B119" i="36" s="1"/>
  <c r="B80" i="58"/>
  <c r="B118" i="36" s="1"/>
  <c r="B78" i="58"/>
  <c r="B117" i="36" s="1"/>
  <c r="I111" i="36"/>
  <c r="H111" i="36"/>
  <c r="I110" i="36"/>
  <c r="H110" i="36"/>
  <c r="I108" i="36"/>
  <c r="H108" i="36"/>
  <c r="I107" i="36"/>
  <c r="H107" i="36"/>
  <c r="B111" i="36"/>
  <c r="B110" i="36"/>
  <c r="B108" i="36"/>
  <c r="B107" i="36"/>
  <c r="J72" i="58"/>
  <c r="I109" i="36" s="1"/>
  <c r="J70" i="58"/>
  <c r="I106" i="36" s="1"/>
  <c r="J68" i="58"/>
  <c r="I105" i="36" s="1"/>
  <c r="J66" i="58"/>
  <c r="I104" i="36" s="1"/>
  <c r="J64" i="58"/>
  <c r="I103" i="36" s="1"/>
  <c r="I72" i="58"/>
  <c r="H109" i="36" s="1"/>
  <c r="I70" i="58"/>
  <c r="H106" i="36" s="1"/>
  <c r="I68" i="58"/>
  <c r="H105" i="36" s="1"/>
  <c r="I66" i="58"/>
  <c r="H104" i="36" s="1"/>
  <c r="I64" i="58"/>
  <c r="H103" i="36" s="1"/>
  <c r="B72" i="58"/>
  <c r="B109" i="36" s="1"/>
  <c r="B70" i="58" a="1"/>
  <c r="B70" i="58" s="1"/>
  <c r="B106" i="36" s="1"/>
  <c r="B68" i="58" a="1"/>
  <c r="B68" i="58" s="1"/>
  <c r="B105" i="36" s="1"/>
  <c r="B66" i="58" a="1"/>
  <c r="B66" i="58" s="1"/>
  <c r="B104" i="36" s="1"/>
  <c r="B64" i="58" a="1"/>
  <c r="B64" i="58" s="1"/>
  <c r="B103" i="36" s="1"/>
  <c r="J62" i="58"/>
  <c r="I102" i="36" s="1"/>
  <c r="I62" i="58"/>
  <c r="H102" i="36" s="1"/>
  <c r="B62" i="58" a="1"/>
  <c r="B62" i="58" s="1"/>
  <c r="B102" i="36" s="1"/>
  <c r="I95" i="36"/>
  <c r="H95" i="36"/>
  <c r="B95" i="36"/>
  <c r="I91" i="36"/>
  <c r="H91" i="36"/>
  <c r="B91" i="36"/>
  <c r="J56" i="58"/>
  <c r="I94" i="36" s="1"/>
  <c r="I56" i="58"/>
  <c r="H94" i="36" s="1"/>
  <c r="J54" i="58"/>
  <c r="I93" i="36" s="1"/>
  <c r="I54" i="58"/>
  <c r="H93" i="36" s="1"/>
  <c r="J52" i="58"/>
  <c r="I92" i="36" s="1"/>
  <c r="I52" i="58"/>
  <c r="H92" i="36" s="1"/>
  <c r="B56" i="58"/>
  <c r="B94" i="36" s="1"/>
  <c r="B54" i="58"/>
  <c r="B93" i="36" s="1"/>
  <c r="B52" i="58"/>
  <c r="B92" i="36" s="1"/>
  <c r="I80" i="36"/>
  <c r="H80" i="36"/>
  <c r="I85" i="36"/>
  <c r="H85" i="36"/>
  <c r="I84" i="36"/>
  <c r="H84" i="36"/>
  <c r="I83" i="36"/>
  <c r="H83" i="36"/>
  <c r="I82" i="36"/>
  <c r="H82" i="36"/>
  <c r="I81" i="36"/>
  <c r="H81" i="36"/>
  <c r="B85" i="36"/>
  <c r="B84" i="36"/>
  <c r="B83" i="36"/>
  <c r="B82" i="36"/>
  <c r="B81" i="36"/>
  <c r="B80" i="36"/>
  <c r="I74" i="36"/>
  <c r="H74" i="36"/>
  <c r="I73" i="36"/>
  <c r="H73" i="36"/>
  <c r="I72" i="36"/>
  <c r="H72" i="36"/>
  <c r="G211" i="36"/>
  <c r="G204" i="36"/>
  <c r="G188" i="36"/>
  <c r="G175" i="36"/>
  <c r="G161" i="36"/>
  <c r="G154" i="36"/>
  <c r="G140" i="36"/>
  <c r="G132" i="36"/>
  <c r="G124" i="36"/>
  <c r="G115" i="36"/>
  <c r="G100" i="36"/>
  <c r="G89" i="36"/>
  <c r="G78" i="36"/>
  <c r="G70" i="36"/>
  <c r="H66" i="36"/>
  <c r="B66" i="36"/>
  <c r="H65" i="36"/>
  <c r="G63" i="36"/>
  <c r="I57" i="36"/>
  <c r="H57" i="36"/>
  <c r="B57" i="36"/>
  <c r="I56" i="36"/>
  <c r="H56" i="36"/>
  <c r="B56" i="36"/>
  <c r="I52" i="36"/>
  <c r="H52" i="36"/>
  <c r="B52" i="36"/>
  <c r="J46" i="58"/>
  <c r="I59" i="36" s="1"/>
  <c r="I46" i="58"/>
  <c r="H59" i="36" s="1"/>
  <c r="B46" i="58"/>
  <c r="B59" i="36" s="1"/>
  <c r="J44" i="58"/>
  <c r="I58" i="36" s="1"/>
  <c r="I44" i="58"/>
  <c r="H58" i="36" s="1"/>
  <c r="B44" i="58"/>
  <c r="B58" i="36" s="1"/>
  <c r="J42" i="58"/>
  <c r="I55" i="36" s="1"/>
  <c r="I42" i="58"/>
  <c r="H55" i="36" s="1"/>
  <c r="B42" i="58"/>
  <c r="B55" i="36" s="1"/>
  <c r="J40" i="58"/>
  <c r="I54" i="36" s="1"/>
  <c r="I40" i="58"/>
  <c r="H54" i="36" s="1"/>
  <c r="B40" i="58"/>
  <c r="B54" i="36" s="1"/>
  <c r="J38" i="58"/>
  <c r="I53" i="36" s="1"/>
  <c r="I38" i="58"/>
  <c r="H53" i="36" s="1"/>
  <c r="B38" i="58"/>
  <c r="B53" i="36" s="1"/>
  <c r="G50" i="36"/>
  <c r="B32" i="58"/>
  <c r="B45" i="36" s="1"/>
  <c r="J32" i="58"/>
  <c r="I45" i="36" s="1"/>
  <c r="I32" i="58"/>
  <c r="H45" i="36" s="1"/>
  <c r="I44" i="36"/>
  <c r="H44" i="36"/>
  <c r="B44" i="36"/>
  <c r="I43" i="36"/>
  <c r="H43" i="36"/>
  <c r="B43" i="36"/>
  <c r="I42" i="36"/>
  <c r="H42" i="36"/>
  <c r="B42" i="36"/>
  <c r="I41" i="36"/>
  <c r="H41" i="36"/>
  <c r="B41" i="36"/>
  <c r="I40" i="36"/>
  <c r="H40" i="36"/>
  <c r="B40" i="36"/>
  <c r="I39" i="36"/>
  <c r="H39" i="36"/>
  <c r="B39" i="36"/>
  <c r="G37" i="36"/>
  <c r="I33" i="36"/>
  <c r="H33" i="36"/>
  <c r="B33" i="36"/>
  <c r="I32" i="36"/>
  <c r="H32" i="36"/>
  <c r="B32" i="36"/>
  <c r="I31" i="36"/>
  <c r="H31" i="36"/>
  <c r="B31" i="36"/>
  <c r="I30" i="36"/>
  <c r="H30" i="36"/>
  <c r="B30" i="36"/>
  <c r="B28" i="36"/>
  <c r="B25" i="36"/>
  <c r="I28" i="36"/>
  <c r="H28" i="36"/>
  <c r="I25" i="36"/>
  <c r="H25" i="36"/>
  <c r="I23" i="36"/>
  <c r="H23" i="36"/>
  <c r="I22" i="36"/>
  <c r="H22" i="36"/>
  <c r="I21" i="36"/>
  <c r="H21" i="36"/>
  <c r="I20" i="36"/>
  <c r="H20" i="36"/>
  <c r="B23" i="36"/>
  <c r="B22" i="36"/>
  <c r="B21" i="36"/>
  <c r="B20" i="36"/>
  <c r="B18" i="36"/>
  <c r="B17" i="36"/>
  <c r="B16" i="36"/>
  <c r="B9" i="36"/>
  <c r="B8" i="36"/>
  <c r="I18" i="36"/>
  <c r="H18" i="36"/>
  <c r="I17" i="36"/>
  <c r="H17" i="36"/>
  <c r="I16" i="36"/>
  <c r="H16" i="36"/>
  <c r="J26" i="58"/>
  <c r="I29" i="36" s="1"/>
  <c r="I26" i="58"/>
  <c r="B26" i="58"/>
  <c r="B29" i="36" s="1"/>
  <c r="J22" i="58"/>
  <c r="I27" i="36" s="1"/>
  <c r="I22" i="58"/>
  <c r="H27" i="36" s="1"/>
  <c r="B22" i="58"/>
  <c r="B27" i="36" s="1"/>
  <c r="J20" i="58"/>
  <c r="I26" i="36" s="1"/>
  <c r="I20" i="58"/>
  <c r="H26" i="36" s="1"/>
  <c r="B20" i="58"/>
  <c r="B26" i="36" s="1"/>
  <c r="J18" i="58"/>
  <c r="I24" i="36" s="1"/>
  <c r="I18" i="58"/>
  <c r="H24" i="36" s="1"/>
  <c r="B18" i="58"/>
  <c r="B24" i="36" s="1"/>
  <c r="J16" i="58"/>
  <c r="I19" i="36" s="1"/>
  <c r="I16" i="58"/>
  <c r="H19" i="36" s="1"/>
  <c r="B16" i="58"/>
  <c r="B19" i="36" s="1"/>
  <c r="J14" i="58"/>
  <c r="I15" i="36" s="1"/>
  <c r="J12" i="58"/>
  <c r="I12" i="36" s="1"/>
  <c r="I12" i="58"/>
  <c r="H12" i="36" s="1"/>
  <c r="B8" i="58"/>
  <c r="B10" i="36" s="1"/>
  <c r="B10" i="58"/>
  <c r="B11" i="36" s="1"/>
  <c r="B12" i="58"/>
  <c r="B12" i="36" s="1"/>
  <c r="B14" i="58"/>
  <c r="B15" i="36" s="1"/>
  <c r="I14" i="58"/>
  <c r="H15" i="36" s="1"/>
  <c r="I14" i="36"/>
  <c r="H14" i="36"/>
  <c r="B14" i="36"/>
  <c r="I13" i="36"/>
  <c r="H13" i="36"/>
  <c r="B13" i="36"/>
  <c r="I9" i="36"/>
  <c r="H9" i="36"/>
  <c r="I8" i="36"/>
  <c r="H8" i="36"/>
  <c r="J10" i="58"/>
  <c r="I11" i="36" s="1"/>
  <c r="I10" i="58"/>
  <c r="J8" i="58"/>
  <c r="I10" i="36" s="1"/>
  <c r="I8" i="58"/>
  <c r="G6" i="36"/>
  <c r="U12" i="53"/>
  <c r="F170" i="36" s="1"/>
  <c r="T12" i="53"/>
  <c r="E170" i="36" s="1"/>
  <c r="S12" i="53"/>
  <c r="D170" i="36" s="1"/>
  <c r="R12" i="53"/>
  <c r="C170" i="36" s="1"/>
  <c r="U14" i="57"/>
  <c r="F224" i="36" s="1"/>
  <c r="T14" i="57"/>
  <c r="E224" i="36" s="1"/>
  <c r="S14" i="57"/>
  <c r="D224" i="36" s="1"/>
  <c r="R14" i="57"/>
  <c r="C224" i="36" s="1"/>
  <c r="U13" i="57"/>
  <c r="F223" i="36" s="1"/>
  <c r="T13" i="57"/>
  <c r="E223" i="36" s="1"/>
  <c r="S13" i="57"/>
  <c r="D223" i="36" s="1"/>
  <c r="R13" i="57"/>
  <c r="C223" i="36" s="1"/>
  <c r="U12" i="57"/>
  <c r="F222" i="36" s="1"/>
  <c r="T12" i="57"/>
  <c r="E222" i="36" s="1"/>
  <c r="S12" i="57"/>
  <c r="D222" i="36" s="1"/>
  <c r="R12" i="57"/>
  <c r="C222" i="36" s="1"/>
  <c r="U11" i="57"/>
  <c r="F221" i="36" s="1"/>
  <c r="T11" i="57"/>
  <c r="E221" i="36" s="1"/>
  <c r="S11" i="57"/>
  <c r="D221" i="36" s="1"/>
  <c r="R11" i="57"/>
  <c r="C221" i="36" s="1"/>
  <c r="U10" i="57"/>
  <c r="F220" i="36" s="1"/>
  <c r="T10" i="57"/>
  <c r="E220" i="36" s="1"/>
  <c r="S10" i="57"/>
  <c r="D220" i="36" s="1"/>
  <c r="R10" i="57"/>
  <c r="C220" i="36" s="1"/>
  <c r="U9" i="57"/>
  <c r="F219" i="36" s="1"/>
  <c r="T9" i="57"/>
  <c r="E219" i="36" s="1"/>
  <c r="S9" i="57"/>
  <c r="D219" i="36" s="1"/>
  <c r="R9" i="57"/>
  <c r="C219" i="36" s="1"/>
  <c r="U8" i="57"/>
  <c r="F218" i="36" s="1"/>
  <c r="T8" i="57"/>
  <c r="E218" i="36" s="1"/>
  <c r="S8" i="57"/>
  <c r="D218" i="36" s="1"/>
  <c r="R8" i="57"/>
  <c r="C218" i="36" s="1"/>
  <c r="U7" i="57"/>
  <c r="F217" i="36" s="1"/>
  <c r="T7" i="57"/>
  <c r="E217" i="36" s="1"/>
  <c r="S7" i="57"/>
  <c r="D217" i="36" s="1"/>
  <c r="R7" i="57"/>
  <c r="C217" i="36" s="1"/>
  <c r="U6" i="57"/>
  <c r="F216" i="36" s="1"/>
  <c r="T6" i="57"/>
  <c r="E216" i="36" s="1"/>
  <c r="S6" i="57"/>
  <c r="D216" i="36" s="1"/>
  <c r="R6" i="57"/>
  <c r="C216" i="36" s="1"/>
  <c r="U5" i="57"/>
  <c r="F215" i="36" s="1"/>
  <c r="T5" i="57"/>
  <c r="E215" i="36" s="1"/>
  <c r="S5" i="57"/>
  <c r="D215" i="36" s="1"/>
  <c r="R5" i="57"/>
  <c r="C215" i="36" s="1"/>
  <c r="U4" i="57"/>
  <c r="F214" i="36" s="1"/>
  <c r="T4" i="57"/>
  <c r="E214" i="36" s="1"/>
  <c r="S4" i="57"/>
  <c r="D214" i="36" s="1"/>
  <c r="R4" i="57"/>
  <c r="C214" i="36" s="1"/>
  <c r="U3" i="57"/>
  <c r="F213" i="36" s="1"/>
  <c r="T3" i="57"/>
  <c r="E213" i="36" s="1"/>
  <c r="S3" i="57"/>
  <c r="D213" i="36" s="1"/>
  <c r="R3" i="57"/>
  <c r="C213" i="36" s="1"/>
  <c r="U13" i="55"/>
  <c r="F199" i="36" s="1"/>
  <c r="T13" i="55"/>
  <c r="E199" i="36" s="1"/>
  <c r="S13" i="55"/>
  <c r="D199" i="36" s="1"/>
  <c r="R13" i="55"/>
  <c r="C199" i="36" s="1"/>
  <c r="U12" i="55"/>
  <c r="F198" i="36" s="1"/>
  <c r="T12" i="55"/>
  <c r="E198" i="36" s="1"/>
  <c r="S12" i="55"/>
  <c r="D198" i="36" s="1"/>
  <c r="R12" i="55"/>
  <c r="C198" i="36" s="1"/>
  <c r="U11" i="55"/>
  <c r="F197" i="36" s="1"/>
  <c r="T11" i="55"/>
  <c r="E197" i="36" s="1"/>
  <c r="S11" i="55"/>
  <c r="D197" i="36" s="1"/>
  <c r="R11" i="55"/>
  <c r="C197" i="36" s="1"/>
  <c r="U9" i="55"/>
  <c r="G104" i="58" s="1" a="1"/>
  <c r="G104" i="58" s="1"/>
  <c r="F196" i="36" s="1"/>
  <c r="T9" i="55"/>
  <c r="F104" i="58" s="1" a="1"/>
  <c r="F104" i="58" s="1"/>
  <c r="E196" i="36" s="1"/>
  <c r="S9" i="55"/>
  <c r="E104" i="58" s="1" a="1"/>
  <c r="E104" i="58" s="1"/>
  <c r="D196" i="36" s="1"/>
  <c r="R9" i="55"/>
  <c r="D104" i="58" s="1" a="1"/>
  <c r="D104" i="58" s="1"/>
  <c r="C196" i="36" s="1"/>
  <c r="C104" i="58" a="1"/>
  <c r="C104" i="58" s="1"/>
  <c r="U8" i="55"/>
  <c r="F195" i="36" s="1"/>
  <c r="T8" i="55"/>
  <c r="E195" i="36" s="1"/>
  <c r="S8" i="55"/>
  <c r="D195" i="36" s="1"/>
  <c r="R8" i="55"/>
  <c r="C195" i="36" s="1"/>
  <c r="U7" i="55"/>
  <c r="F194" i="36" s="1"/>
  <c r="T7" i="55"/>
  <c r="E194" i="36" s="1"/>
  <c r="S7" i="55"/>
  <c r="D194" i="36" s="1"/>
  <c r="R7" i="55"/>
  <c r="C194" i="36" s="1"/>
  <c r="U6" i="55"/>
  <c r="F193" i="36" s="1"/>
  <c r="T6" i="55"/>
  <c r="E193" i="36" s="1"/>
  <c r="S6" i="55"/>
  <c r="D193" i="36" s="1"/>
  <c r="R6" i="55"/>
  <c r="C193" i="36" s="1"/>
  <c r="U5" i="55"/>
  <c r="F192" i="36" s="1"/>
  <c r="T5" i="55"/>
  <c r="E192" i="36" s="1"/>
  <c r="S5" i="55"/>
  <c r="D192" i="36" s="1"/>
  <c r="R5" i="55"/>
  <c r="C192" i="36" s="1"/>
  <c r="U4" i="55"/>
  <c r="F191" i="36" s="1"/>
  <c r="T4" i="55"/>
  <c r="E191" i="36" s="1"/>
  <c r="S4" i="55"/>
  <c r="D191" i="36" s="1"/>
  <c r="R4" i="55"/>
  <c r="C191" i="36" s="1"/>
  <c r="U3" i="55"/>
  <c r="F190" i="36" s="1"/>
  <c r="T3" i="55"/>
  <c r="E190" i="36" s="1"/>
  <c r="S3" i="55"/>
  <c r="D190" i="36" s="1"/>
  <c r="R3" i="55"/>
  <c r="C190" i="36" s="1"/>
  <c r="U3" i="56"/>
  <c r="F206" i="36" s="1"/>
  <c r="T3" i="56"/>
  <c r="E206" i="36" s="1"/>
  <c r="S3" i="56"/>
  <c r="D206" i="36" s="1"/>
  <c r="R3" i="56"/>
  <c r="C206" i="36" s="1"/>
  <c r="U10" i="54"/>
  <c r="F183" i="36" s="1"/>
  <c r="T10" i="54"/>
  <c r="E183" i="36" s="1"/>
  <c r="S10" i="54"/>
  <c r="D183" i="36" s="1"/>
  <c r="R10" i="54"/>
  <c r="C183" i="36" s="1"/>
  <c r="U9" i="54"/>
  <c r="F182" i="36" s="1"/>
  <c r="T9" i="54"/>
  <c r="E182" i="36" s="1"/>
  <c r="S9" i="54"/>
  <c r="D182" i="36" s="1"/>
  <c r="R9" i="54"/>
  <c r="C182" i="36" s="1"/>
  <c r="U7" i="54"/>
  <c r="G98" i="58" s="1" a="1"/>
  <c r="G98" i="58" s="1"/>
  <c r="F181" i="36" s="1"/>
  <c r="T7" i="54"/>
  <c r="F98" i="58" s="1" a="1"/>
  <c r="F98" i="58" s="1"/>
  <c r="E181" i="36" s="1"/>
  <c r="S7" i="54"/>
  <c r="E98" i="58" s="1" a="1"/>
  <c r="E98" i="58" s="1"/>
  <c r="D181" i="36" s="1"/>
  <c r="R7" i="54"/>
  <c r="D98" i="58" s="1" a="1"/>
  <c r="D98" i="58" s="1"/>
  <c r="C181" i="36" s="1"/>
  <c r="C98" i="58" a="1"/>
  <c r="C98" i="58" s="1"/>
  <c r="U6" i="54"/>
  <c r="F180" i="36" s="1"/>
  <c r="T6" i="54"/>
  <c r="E180" i="36" s="1"/>
  <c r="S6" i="54"/>
  <c r="D180" i="36" s="1"/>
  <c r="R6" i="54"/>
  <c r="C180" i="36" s="1"/>
  <c r="U5" i="54"/>
  <c r="F179" i="36" s="1"/>
  <c r="T5" i="54"/>
  <c r="E179" i="36" s="1"/>
  <c r="S5" i="54"/>
  <c r="D179" i="36" s="1"/>
  <c r="R5" i="54"/>
  <c r="C179" i="36" s="1"/>
  <c r="U4" i="54"/>
  <c r="F178" i="36" s="1"/>
  <c r="T4" i="54"/>
  <c r="E178" i="36" s="1"/>
  <c r="S4" i="54"/>
  <c r="D178" i="36" s="1"/>
  <c r="R4" i="54"/>
  <c r="C178" i="36" s="1"/>
  <c r="U6" i="53"/>
  <c r="G90" i="58" s="1" a="1"/>
  <c r="G90" i="58" s="1"/>
  <c r="F165" i="36" s="1"/>
  <c r="T6" i="53"/>
  <c r="F90" i="58" s="1" a="1"/>
  <c r="F90" i="58" s="1"/>
  <c r="E165" i="36" s="1"/>
  <c r="S6" i="53"/>
  <c r="E90" i="58" s="1" a="1"/>
  <c r="E90" i="58" s="1"/>
  <c r="D165" i="36" s="1"/>
  <c r="R6" i="53"/>
  <c r="D90" i="58" s="1" a="1"/>
  <c r="D90" i="58" s="1"/>
  <c r="C165" i="36" s="1"/>
  <c r="C90" i="58" a="1"/>
  <c r="C90" i="58" s="1"/>
  <c r="U11" i="53"/>
  <c r="F169" i="36" s="1"/>
  <c r="T11" i="53"/>
  <c r="E169" i="36" s="1"/>
  <c r="S11" i="53"/>
  <c r="D169" i="36" s="1"/>
  <c r="R11" i="53"/>
  <c r="C169" i="36" s="1"/>
  <c r="U10" i="53"/>
  <c r="F168" i="36" s="1"/>
  <c r="T10" i="53"/>
  <c r="E168" i="36" s="1"/>
  <c r="S10" i="53"/>
  <c r="D168" i="36" s="1"/>
  <c r="R10" i="53"/>
  <c r="C168" i="36" s="1"/>
  <c r="U9" i="53"/>
  <c r="F167" i="36" s="1"/>
  <c r="T9" i="53"/>
  <c r="E167" i="36" s="1"/>
  <c r="S9" i="53"/>
  <c r="D167" i="36" s="1"/>
  <c r="R9" i="53"/>
  <c r="C167" i="36" s="1"/>
  <c r="U8" i="53"/>
  <c r="F166" i="36" s="1"/>
  <c r="T8" i="53"/>
  <c r="E166" i="36" s="1"/>
  <c r="S8" i="53"/>
  <c r="D166" i="36" s="1"/>
  <c r="R8" i="53"/>
  <c r="C166" i="36" s="1"/>
  <c r="U5" i="53"/>
  <c r="F164" i="36" s="1"/>
  <c r="T5" i="53"/>
  <c r="E164" i="36" s="1"/>
  <c r="S5" i="53"/>
  <c r="D164" i="36" s="1"/>
  <c r="R5" i="53"/>
  <c r="C164" i="36" s="1"/>
  <c r="U3" i="53"/>
  <c r="G88" i="58" s="1" a="1"/>
  <c r="G88" i="58" s="1"/>
  <c r="F163" i="36" s="1"/>
  <c r="T3" i="53"/>
  <c r="F88" i="58" s="1" a="1"/>
  <c r="F88" i="58" s="1"/>
  <c r="E163" i="36" s="1"/>
  <c r="S3" i="53"/>
  <c r="E88" i="58" s="1" a="1"/>
  <c r="E88" i="58" s="1"/>
  <c r="D163" i="36" s="1"/>
  <c r="R3" i="53"/>
  <c r="D88" i="58" s="1" a="1"/>
  <c r="D88" i="58" s="1"/>
  <c r="C163" i="36" s="1"/>
  <c r="C88" i="58" a="1"/>
  <c r="C88" i="58" s="1"/>
  <c r="U3" i="52"/>
  <c r="F156" i="36" s="1"/>
  <c r="T3" i="52"/>
  <c r="E156" i="36" s="1"/>
  <c r="S3" i="52"/>
  <c r="D156" i="36" s="1"/>
  <c r="R3" i="52"/>
  <c r="C156" i="36" s="1"/>
  <c r="U10" i="51"/>
  <c r="F149" i="36" s="1"/>
  <c r="T10" i="51"/>
  <c r="E149" i="36" s="1"/>
  <c r="S10" i="51"/>
  <c r="D149" i="36" s="1"/>
  <c r="R10" i="51"/>
  <c r="C149" i="36" s="1"/>
  <c r="U9" i="51"/>
  <c r="F148" i="36" s="1"/>
  <c r="T9" i="51"/>
  <c r="E148" i="36" s="1"/>
  <c r="S9" i="51"/>
  <c r="D148" i="36" s="1"/>
  <c r="R9" i="51"/>
  <c r="C148" i="36" s="1"/>
  <c r="U8" i="51"/>
  <c r="F147" i="36" s="1"/>
  <c r="T8" i="51"/>
  <c r="E147" i="36" s="1"/>
  <c r="S8" i="51"/>
  <c r="D147" i="36" s="1"/>
  <c r="R8" i="51"/>
  <c r="C147" i="36" s="1"/>
  <c r="U7" i="51"/>
  <c r="F146" i="36" s="1"/>
  <c r="T7" i="51"/>
  <c r="E146" i="36" s="1"/>
  <c r="S7" i="51"/>
  <c r="D146" i="36" s="1"/>
  <c r="R7" i="51"/>
  <c r="C146" i="36" s="1"/>
  <c r="U6" i="51"/>
  <c r="F145" i="36" s="1"/>
  <c r="T6" i="51"/>
  <c r="E145" i="36" s="1"/>
  <c r="S6" i="51"/>
  <c r="D145" i="36" s="1"/>
  <c r="R6" i="51"/>
  <c r="C145" i="36" s="1"/>
  <c r="U5" i="51"/>
  <c r="F144" i="36" s="1"/>
  <c r="T5" i="51"/>
  <c r="E144" i="36" s="1"/>
  <c r="S5" i="51"/>
  <c r="D144" i="36" s="1"/>
  <c r="R5" i="51"/>
  <c r="C144" i="36" s="1"/>
  <c r="U4" i="51"/>
  <c r="F143" i="36" s="1"/>
  <c r="T4" i="51"/>
  <c r="E143" i="36" s="1"/>
  <c r="S4" i="51"/>
  <c r="D143" i="36" s="1"/>
  <c r="R4" i="51"/>
  <c r="C143" i="36" s="1"/>
  <c r="U3" i="51"/>
  <c r="F142" i="36" s="1"/>
  <c r="T3" i="51"/>
  <c r="E142" i="36" s="1"/>
  <c r="S3" i="51"/>
  <c r="D142" i="36" s="1"/>
  <c r="R3" i="51"/>
  <c r="C142" i="36" s="1"/>
  <c r="U3" i="50"/>
  <c r="F134" i="36" s="1"/>
  <c r="T3" i="50"/>
  <c r="E134" i="36" s="1"/>
  <c r="S3" i="50"/>
  <c r="D134" i="36" s="1"/>
  <c r="R3" i="50"/>
  <c r="C134" i="36" s="1"/>
  <c r="U4" i="50"/>
  <c r="F135" i="36" s="1"/>
  <c r="T4" i="50"/>
  <c r="E135" i="36" s="1"/>
  <c r="S4" i="50"/>
  <c r="D135" i="36" s="1"/>
  <c r="R4" i="50"/>
  <c r="C135" i="36" s="1"/>
  <c r="U3" i="49"/>
  <c r="F126" i="36" s="1"/>
  <c r="T3" i="49"/>
  <c r="E126" i="36" s="1"/>
  <c r="S3" i="49"/>
  <c r="D126" i="36" s="1"/>
  <c r="R3" i="49"/>
  <c r="C126" i="36" s="1"/>
  <c r="U4" i="49"/>
  <c r="F127" i="36" s="1"/>
  <c r="T4" i="49"/>
  <c r="E127" i="36" s="1"/>
  <c r="S4" i="49"/>
  <c r="D127" i="36" s="1"/>
  <c r="R4" i="49"/>
  <c r="C127" i="36" s="1"/>
  <c r="P6" i="48"/>
  <c r="U5" i="48" s="1"/>
  <c r="G80" i="58" s="1"/>
  <c r="F118" i="36" s="1"/>
  <c r="O6" i="48"/>
  <c r="T5" i="48" s="1"/>
  <c r="F80" i="58" s="1"/>
  <c r="E118" i="36" s="1"/>
  <c r="N6" i="48"/>
  <c r="S5" i="48" s="1"/>
  <c r="E80" i="58" s="1"/>
  <c r="D118" i="36" s="1"/>
  <c r="M6" i="48"/>
  <c r="R5" i="48" s="1"/>
  <c r="D80" i="58" s="1"/>
  <c r="C118" i="36" s="1"/>
  <c r="C80" i="58"/>
  <c r="P4" i="48"/>
  <c r="U3" i="48" s="1"/>
  <c r="G78" i="58" s="1"/>
  <c r="F117" i="36" s="1"/>
  <c r="O4" i="48"/>
  <c r="T3" i="48" s="1"/>
  <c r="F78" i="58" s="1"/>
  <c r="E117" i="36" s="1"/>
  <c r="N4" i="48"/>
  <c r="S3" i="48" s="1"/>
  <c r="E78" i="58" s="1"/>
  <c r="D117" i="36" s="1"/>
  <c r="M4" i="48"/>
  <c r="R3" i="48" s="1"/>
  <c r="D78" i="58" s="1"/>
  <c r="C117" i="36" s="1"/>
  <c r="C78" i="58"/>
  <c r="C82" i="58"/>
  <c r="U7" i="48"/>
  <c r="G82" i="58" s="1"/>
  <c r="F119" i="36" s="1"/>
  <c r="T7" i="48"/>
  <c r="F82" i="58" s="1"/>
  <c r="E119" i="36" s="1"/>
  <c r="S7" i="48"/>
  <c r="E82" i="58" s="1"/>
  <c r="D119" i="36" s="1"/>
  <c r="R7" i="48"/>
  <c r="D82" i="58" s="1"/>
  <c r="C119" i="36" s="1"/>
  <c r="U18" i="47"/>
  <c r="F111" i="36" s="1"/>
  <c r="T18" i="47"/>
  <c r="E111" i="36" s="1"/>
  <c r="S18" i="47"/>
  <c r="D111" i="36" s="1"/>
  <c r="R18" i="47"/>
  <c r="C111" i="36" s="1"/>
  <c r="U17" i="47"/>
  <c r="F110" i="36" s="1"/>
  <c r="T17" i="47"/>
  <c r="E110" i="36" s="1"/>
  <c r="S17" i="47"/>
  <c r="D110" i="36" s="1"/>
  <c r="R17" i="47"/>
  <c r="C110" i="36" s="1"/>
  <c r="U15" i="47"/>
  <c r="G72" i="58" s="1"/>
  <c r="F109" i="36" s="1"/>
  <c r="T15" i="47"/>
  <c r="F72" i="58" s="1"/>
  <c r="E109" i="36" s="1"/>
  <c r="S15" i="47"/>
  <c r="E72" i="58" s="1"/>
  <c r="D109" i="36" s="1"/>
  <c r="R15" i="47"/>
  <c r="D72" i="58" s="1"/>
  <c r="C109" i="36" s="1"/>
  <c r="C72" i="58"/>
  <c r="U14" i="47"/>
  <c r="F108" i="36" s="1"/>
  <c r="T14" i="47"/>
  <c r="E108" i="36" s="1"/>
  <c r="S14" i="47"/>
  <c r="D108" i="36" s="1"/>
  <c r="R14" i="47"/>
  <c r="C108" i="36" s="1"/>
  <c r="U13" i="47"/>
  <c r="F107" i="36" s="1"/>
  <c r="T13" i="47"/>
  <c r="E107" i="36" s="1"/>
  <c r="S13" i="47"/>
  <c r="D107" i="36" s="1"/>
  <c r="R13" i="47"/>
  <c r="C107" i="36" s="1"/>
  <c r="U9" i="47"/>
  <c r="G68" i="58" s="1"/>
  <c r="F105" i="36" s="1"/>
  <c r="T9" i="47"/>
  <c r="F68" i="58" s="1"/>
  <c r="E105" i="36" s="1"/>
  <c r="S9" i="47"/>
  <c r="E68" i="58" s="1"/>
  <c r="D105" i="36" s="1"/>
  <c r="R9" i="47"/>
  <c r="D68" i="58" s="1"/>
  <c r="C105" i="36" s="1"/>
  <c r="C68" i="58"/>
  <c r="U3" i="47"/>
  <c r="G62" i="58" s="1"/>
  <c r="F102" i="36" s="1"/>
  <c r="T3" i="47"/>
  <c r="F62" i="58" s="1"/>
  <c r="E102" i="36" s="1"/>
  <c r="S3" i="47"/>
  <c r="E62" i="58" s="1"/>
  <c r="D102" i="36" s="1"/>
  <c r="R3" i="47"/>
  <c r="D62" i="58" s="1"/>
  <c r="C102" i="36" s="1"/>
  <c r="C62" i="58"/>
  <c r="U10" i="46"/>
  <c r="F95" i="36" s="1"/>
  <c r="T10" i="46"/>
  <c r="E95" i="36" s="1"/>
  <c r="S10" i="46"/>
  <c r="D95" i="36" s="1"/>
  <c r="R10" i="46"/>
  <c r="C95" i="36" s="1"/>
  <c r="U6" i="46"/>
  <c r="G54" i="58" s="1"/>
  <c r="F93" i="36" s="1"/>
  <c r="T6" i="46"/>
  <c r="F54" i="58" s="1"/>
  <c r="E93" i="36" s="1"/>
  <c r="S6" i="46"/>
  <c r="E54" i="58" s="1"/>
  <c r="D93" i="36" s="1"/>
  <c r="R6" i="46"/>
  <c r="D54" i="58" s="1"/>
  <c r="C93" i="36" s="1"/>
  <c r="C54" i="58"/>
  <c r="U4" i="46"/>
  <c r="G52" i="58" s="1"/>
  <c r="F92" i="36" s="1"/>
  <c r="T4" i="46"/>
  <c r="F52" i="58" s="1"/>
  <c r="E92" i="36" s="1"/>
  <c r="S4" i="46"/>
  <c r="E52" i="58" s="1"/>
  <c r="D92" i="36" s="1"/>
  <c r="R4" i="46"/>
  <c r="D52" i="58" s="1"/>
  <c r="C92" i="36" s="1"/>
  <c r="C52" i="58"/>
  <c r="U3" i="46"/>
  <c r="F91" i="36" s="1"/>
  <c r="T3" i="46"/>
  <c r="E91" i="36" s="1"/>
  <c r="S3" i="46"/>
  <c r="D91" i="36" s="1"/>
  <c r="R3" i="46"/>
  <c r="C91" i="36" s="1"/>
  <c r="P12" i="47"/>
  <c r="U11" i="47" s="1"/>
  <c r="G70" i="58" s="1"/>
  <c r="F106" i="36" s="1"/>
  <c r="O12" i="47"/>
  <c r="T11" i="47" s="1"/>
  <c r="F70" i="58" s="1"/>
  <c r="E106" i="36" s="1"/>
  <c r="N12" i="47"/>
  <c r="S11" i="47" s="1"/>
  <c r="E70" i="58" s="1"/>
  <c r="D106" i="36" s="1"/>
  <c r="M12" i="47"/>
  <c r="R11" i="47" s="1"/>
  <c r="D70" i="58" s="1"/>
  <c r="C106" i="36" s="1"/>
  <c r="C70" i="58"/>
  <c r="P8" i="47"/>
  <c r="U7" i="47" s="1"/>
  <c r="G66" i="58" s="1"/>
  <c r="F104" i="36" s="1"/>
  <c r="O8" i="47"/>
  <c r="T7" i="47" s="1"/>
  <c r="F66" i="58" s="1"/>
  <c r="E104" i="36" s="1"/>
  <c r="N8" i="47"/>
  <c r="S7" i="47" s="1"/>
  <c r="E66" i="58" s="1"/>
  <c r="D104" i="36" s="1"/>
  <c r="M8" i="47"/>
  <c r="R7" i="47" s="1"/>
  <c r="D66" i="58" s="1"/>
  <c r="C104" i="36" s="1"/>
  <c r="C66" i="58"/>
  <c r="P6" i="47"/>
  <c r="U5" i="47" s="1"/>
  <c r="G64" i="58" s="1"/>
  <c r="F103" i="36" s="1"/>
  <c r="O6" i="47"/>
  <c r="T5" i="47" s="1"/>
  <c r="F64" i="58" s="1"/>
  <c r="E103" i="36" s="1"/>
  <c r="N6" i="47"/>
  <c r="S5" i="47" s="1"/>
  <c r="E64" i="58" s="1"/>
  <c r="D103" i="36" s="1"/>
  <c r="M6" i="47"/>
  <c r="R5" i="47" s="1"/>
  <c r="D64" i="58" s="1"/>
  <c r="C103" i="36" s="1"/>
  <c r="C64" i="58"/>
  <c r="O9" i="46"/>
  <c r="T8" i="46" s="1"/>
  <c r="F56" i="58" s="1"/>
  <c r="E94" i="36" s="1"/>
  <c r="N9" i="46"/>
  <c r="S8" i="46" s="1"/>
  <c r="E56" i="58" s="1"/>
  <c r="D94" i="36" s="1"/>
  <c r="M9" i="46"/>
  <c r="R8" i="46" s="1"/>
  <c r="D56" i="58" s="1"/>
  <c r="C94" i="36" s="1"/>
  <c r="C56" i="58"/>
  <c r="U8" i="45"/>
  <c r="F85" i="36" s="1"/>
  <c r="T8" i="45"/>
  <c r="E85" i="36" s="1"/>
  <c r="S8" i="45"/>
  <c r="D85" i="36" s="1"/>
  <c r="R8" i="45"/>
  <c r="C85" i="36" s="1"/>
  <c r="U7" i="45"/>
  <c r="F84" i="36" s="1"/>
  <c r="T7" i="45"/>
  <c r="E84" i="36" s="1"/>
  <c r="S7" i="45"/>
  <c r="D84" i="36" s="1"/>
  <c r="R7" i="45"/>
  <c r="C84" i="36" s="1"/>
  <c r="U6" i="45"/>
  <c r="F83" i="36" s="1"/>
  <c r="T6" i="45"/>
  <c r="E83" i="36" s="1"/>
  <c r="S6" i="45"/>
  <c r="D83" i="36" s="1"/>
  <c r="R6" i="45"/>
  <c r="C83" i="36" s="1"/>
  <c r="U5" i="45"/>
  <c r="F82" i="36" s="1"/>
  <c r="T5" i="45"/>
  <c r="E82" i="36" s="1"/>
  <c r="S5" i="45"/>
  <c r="D82" i="36" s="1"/>
  <c r="R5" i="45"/>
  <c r="C82" i="36" s="1"/>
  <c r="U4" i="45"/>
  <c r="F81" i="36" s="1"/>
  <c r="T4" i="45"/>
  <c r="E81" i="36" s="1"/>
  <c r="S4" i="45"/>
  <c r="D81" i="36" s="1"/>
  <c r="R4" i="45"/>
  <c r="C81" i="36" s="1"/>
  <c r="U3" i="45"/>
  <c r="F80" i="36" s="1"/>
  <c r="T3" i="45"/>
  <c r="E80" i="36" s="1"/>
  <c r="S3" i="45"/>
  <c r="D80" i="36" s="1"/>
  <c r="R3" i="45"/>
  <c r="C80" i="36" s="1"/>
  <c r="U5" i="44"/>
  <c r="F74" i="36" s="1"/>
  <c r="T5" i="44"/>
  <c r="E74" i="36" s="1"/>
  <c r="S5" i="44"/>
  <c r="D74" i="36" s="1"/>
  <c r="R5" i="44"/>
  <c r="C74" i="36" s="1"/>
  <c r="U4" i="44"/>
  <c r="F73" i="36" s="1"/>
  <c r="T4" i="44"/>
  <c r="E73" i="36" s="1"/>
  <c r="S4" i="44"/>
  <c r="D73" i="36" s="1"/>
  <c r="R4" i="44"/>
  <c r="C73" i="36" s="1"/>
  <c r="U3" i="44"/>
  <c r="F72" i="36" s="1"/>
  <c r="T3" i="44"/>
  <c r="E72" i="36" s="1"/>
  <c r="S3" i="44"/>
  <c r="D72" i="36" s="1"/>
  <c r="R3" i="44"/>
  <c r="C72" i="36" s="1"/>
  <c r="P35" i="35"/>
  <c r="U34" i="35" s="1"/>
  <c r="G26" i="58" s="1"/>
  <c r="F29" i="36" s="1"/>
  <c r="O35" i="35"/>
  <c r="T34" i="35" s="1"/>
  <c r="F26" i="58" s="1"/>
  <c r="E29" i="36" s="1"/>
  <c r="N35" i="35"/>
  <c r="S34" i="35" s="1"/>
  <c r="E26" i="58" s="1"/>
  <c r="D29" i="36" s="1"/>
  <c r="M35" i="35"/>
  <c r="R34" i="35" s="1"/>
  <c r="D26" i="58" s="1"/>
  <c r="C29" i="36" s="1"/>
  <c r="U4" i="43"/>
  <c r="F66" i="36" s="1"/>
  <c r="T4" i="43"/>
  <c r="E66" i="36" s="1"/>
  <c r="S4" i="43"/>
  <c r="D66" i="36" s="1"/>
  <c r="R4" i="43"/>
  <c r="C66" i="36" s="1"/>
  <c r="U3" i="43"/>
  <c r="F65" i="36" s="1"/>
  <c r="T3" i="43"/>
  <c r="E65" i="36" s="1"/>
  <c r="S3" i="43"/>
  <c r="D65" i="36" s="1"/>
  <c r="R3" i="43"/>
  <c r="C65" i="36" s="1"/>
  <c r="U14" i="42"/>
  <c r="G46" i="58" s="1"/>
  <c r="F59" i="36" s="1"/>
  <c r="T14" i="42"/>
  <c r="F46" i="58" s="1"/>
  <c r="E59" i="36" s="1"/>
  <c r="S14" i="42"/>
  <c r="E46" i="58" s="1"/>
  <c r="D59" i="36" s="1"/>
  <c r="R14" i="42"/>
  <c r="D46" i="58" s="1"/>
  <c r="C59" i="36" s="1"/>
  <c r="C46" i="58"/>
  <c r="U12" i="42"/>
  <c r="G44" i="58" s="1"/>
  <c r="F58" i="36" s="1"/>
  <c r="T12" i="42"/>
  <c r="F44" i="58" s="1"/>
  <c r="E58" i="36" s="1"/>
  <c r="S12" i="42"/>
  <c r="E44" i="58" s="1"/>
  <c r="D58" i="36" s="1"/>
  <c r="R12" i="42"/>
  <c r="D44" i="58" s="1"/>
  <c r="C58" i="36" s="1"/>
  <c r="C44" i="58"/>
  <c r="U6" i="42"/>
  <c r="G40" i="58" s="1"/>
  <c r="F54" i="36" s="1"/>
  <c r="T6" i="42"/>
  <c r="F40" i="58" s="1"/>
  <c r="E54" i="36" s="1"/>
  <c r="S6" i="42"/>
  <c r="E40" i="58" s="1"/>
  <c r="D54" i="36" s="1"/>
  <c r="R6" i="42"/>
  <c r="D40" i="58" s="1"/>
  <c r="C54" i="36" s="1"/>
  <c r="C40" i="58"/>
  <c r="U4" i="42"/>
  <c r="G38" i="58" s="1"/>
  <c r="F53" i="36" s="1"/>
  <c r="T4" i="42"/>
  <c r="F38" i="58" s="1"/>
  <c r="E53" i="36" s="1"/>
  <c r="S4" i="42"/>
  <c r="E38" i="58" s="1"/>
  <c r="D53" i="36" s="1"/>
  <c r="R4" i="42"/>
  <c r="D38" i="58" s="1"/>
  <c r="C53" i="36" s="1"/>
  <c r="C38" i="58"/>
  <c r="U11" i="42"/>
  <c r="F57" i="36" s="1"/>
  <c r="T11" i="42"/>
  <c r="E57" i="36" s="1"/>
  <c r="S11" i="42"/>
  <c r="D57" i="36" s="1"/>
  <c r="R11" i="42"/>
  <c r="C57" i="36" s="1"/>
  <c r="U10" i="42"/>
  <c r="F56" i="36" s="1"/>
  <c r="T10" i="42"/>
  <c r="E56" i="36" s="1"/>
  <c r="S10" i="42"/>
  <c r="D56" i="36" s="1"/>
  <c r="R10" i="42"/>
  <c r="C56" i="36" s="1"/>
  <c r="U3" i="42"/>
  <c r="F52" i="36" s="1"/>
  <c r="T3" i="42"/>
  <c r="E52" i="36" s="1"/>
  <c r="S3" i="42"/>
  <c r="D52" i="36" s="1"/>
  <c r="R3" i="42"/>
  <c r="C52" i="36" s="1"/>
  <c r="P9" i="42"/>
  <c r="U8" i="42" s="1"/>
  <c r="G42" i="58" s="1"/>
  <c r="F55" i="36" s="1"/>
  <c r="O9" i="42"/>
  <c r="T8" i="42" s="1"/>
  <c r="F42" i="58" s="1"/>
  <c r="E55" i="36" s="1"/>
  <c r="N9" i="42"/>
  <c r="S8" i="42" s="1"/>
  <c r="E42" i="58" s="1"/>
  <c r="D55" i="36" s="1"/>
  <c r="M9" i="42"/>
  <c r="R8" i="42" s="1"/>
  <c r="D42" i="58" s="1"/>
  <c r="C55" i="36" s="1"/>
  <c r="U8" i="41"/>
  <c r="F44" i="36" s="1"/>
  <c r="T8" i="41"/>
  <c r="E44" i="36" s="1"/>
  <c r="S8" i="41"/>
  <c r="D44" i="36" s="1"/>
  <c r="R8" i="41"/>
  <c r="C44" i="36" s="1"/>
  <c r="U7" i="41"/>
  <c r="F43" i="36" s="1"/>
  <c r="T7" i="41"/>
  <c r="E43" i="36" s="1"/>
  <c r="S7" i="41"/>
  <c r="D43" i="36" s="1"/>
  <c r="R7" i="41"/>
  <c r="C43" i="36" s="1"/>
  <c r="U6" i="41"/>
  <c r="F42" i="36" s="1"/>
  <c r="T6" i="41"/>
  <c r="E42" i="36" s="1"/>
  <c r="S6" i="41"/>
  <c r="D42" i="36" s="1"/>
  <c r="R6" i="41"/>
  <c r="C42" i="36" s="1"/>
  <c r="U5" i="41"/>
  <c r="F41" i="36" s="1"/>
  <c r="T5" i="41"/>
  <c r="E41" i="36" s="1"/>
  <c r="S5" i="41"/>
  <c r="D41" i="36" s="1"/>
  <c r="R5" i="41"/>
  <c r="C41" i="36" s="1"/>
  <c r="U4" i="41"/>
  <c r="F40" i="36" s="1"/>
  <c r="T4" i="41"/>
  <c r="E40" i="36" s="1"/>
  <c r="S4" i="41"/>
  <c r="D40" i="36" s="1"/>
  <c r="R4" i="41"/>
  <c r="C40" i="36" s="1"/>
  <c r="U3" i="41"/>
  <c r="F39" i="36" s="1"/>
  <c r="T3" i="41"/>
  <c r="E39" i="36" s="1"/>
  <c r="S3" i="41"/>
  <c r="D39" i="36" s="1"/>
  <c r="R3" i="41"/>
  <c r="C39" i="36" s="1"/>
  <c r="U9" i="41"/>
  <c r="G32" i="58" s="1"/>
  <c r="F45" i="36" s="1"/>
  <c r="T9" i="41"/>
  <c r="F32" i="58" s="1"/>
  <c r="E45" i="36" s="1"/>
  <c r="S9" i="41"/>
  <c r="E32" i="58" s="1"/>
  <c r="D45" i="36" s="1"/>
  <c r="R9" i="41"/>
  <c r="D32" i="58" s="1"/>
  <c r="C45" i="36" s="1"/>
  <c r="C32" i="58"/>
  <c r="U27" i="35"/>
  <c r="G20" i="58" s="1"/>
  <c r="F26" i="36" s="1"/>
  <c r="T27" i="35"/>
  <c r="F20" i="58" s="1"/>
  <c r="E26" i="36" s="1"/>
  <c r="S27" i="35"/>
  <c r="E20" i="58" s="1"/>
  <c r="D26" i="36" s="1"/>
  <c r="R27" i="35"/>
  <c r="D20" i="58" s="1"/>
  <c r="C26" i="36" s="1"/>
  <c r="C20" i="58"/>
  <c r="U24" i="35"/>
  <c r="G18" i="58" s="1"/>
  <c r="F24" i="36" s="1"/>
  <c r="T24" i="35"/>
  <c r="F18" i="58" s="1"/>
  <c r="E24" i="36" s="1"/>
  <c r="S24" i="35"/>
  <c r="E18" i="58" s="1"/>
  <c r="D24" i="36" s="1"/>
  <c r="R24" i="35"/>
  <c r="D18" i="58" s="1"/>
  <c r="C24" i="36" s="1"/>
  <c r="U18" i="35"/>
  <c r="G16" i="58" s="1"/>
  <c r="F19" i="36" s="1"/>
  <c r="T18" i="35"/>
  <c r="F16" i="58" s="1"/>
  <c r="E19" i="36" s="1"/>
  <c r="S18" i="35"/>
  <c r="E16" i="58" s="1"/>
  <c r="D19" i="36" s="1"/>
  <c r="R18" i="35"/>
  <c r="D16" i="58" s="1"/>
  <c r="C19" i="36" s="1"/>
  <c r="C16" i="58"/>
  <c r="U13" i="35"/>
  <c r="G14" i="58" s="1"/>
  <c r="F15" i="36" s="1"/>
  <c r="T13" i="35"/>
  <c r="F14" i="58" s="1"/>
  <c r="E15" i="36" s="1"/>
  <c r="S13" i="35"/>
  <c r="E14" i="58" s="1"/>
  <c r="D15" i="36" s="1"/>
  <c r="R13" i="35"/>
  <c r="D14" i="58" s="1"/>
  <c r="C15" i="36" s="1"/>
  <c r="C14" i="58"/>
  <c r="U9" i="35"/>
  <c r="G12" i="58" s="1"/>
  <c r="T9" i="35"/>
  <c r="F12" i="58" s="1"/>
  <c r="S9" i="35"/>
  <c r="E12" i="58" s="1"/>
  <c r="R9" i="35"/>
  <c r="D12" i="58" s="1"/>
  <c r="C12" i="58"/>
  <c r="U7" i="35"/>
  <c r="G10" i="58" s="1"/>
  <c r="F11" i="36" s="1"/>
  <c r="T7" i="35"/>
  <c r="F10" i="58" s="1"/>
  <c r="E11" i="36" s="1"/>
  <c r="S7" i="35"/>
  <c r="E10" i="58" s="1"/>
  <c r="D11" i="36" s="1"/>
  <c r="R7" i="35"/>
  <c r="D10" i="58" s="1"/>
  <c r="C11" i="36" s="1"/>
  <c r="C10" i="58"/>
  <c r="U5" i="35"/>
  <c r="G8" i="58" s="1"/>
  <c r="F10" i="36" s="1"/>
  <c r="T5" i="35"/>
  <c r="F8" i="58" s="1"/>
  <c r="E10" i="36" s="1"/>
  <c r="S5" i="35"/>
  <c r="E8" i="58" s="1"/>
  <c r="D10" i="36" s="1"/>
  <c r="R5" i="35"/>
  <c r="D8" i="58" s="1"/>
  <c r="C10" i="36" s="1"/>
  <c r="C8" i="58"/>
  <c r="U39" i="35"/>
  <c r="F33" i="36" s="1"/>
  <c r="T39" i="35"/>
  <c r="E33" i="36" s="1"/>
  <c r="S39" i="35"/>
  <c r="D33" i="36" s="1"/>
  <c r="R39" i="35"/>
  <c r="C33" i="36" s="1"/>
  <c r="U38" i="35"/>
  <c r="F32" i="36" s="1"/>
  <c r="T38" i="35"/>
  <c r="E32" i="36" s="1"/>
  <c r="S38" i="35"/>
  <c r="D32" i="36" s="1"/>
  <c r="R38" i="35"/>
  <c r="C32" i="36" s="1"/>
  <c r="U37" i="35"/>
  <c r="F31" i="36" s="1"/>
  <c r="T37" i="35"/>
  <c r="E31" i="36" s="1"/>
  <c r="S37" i="35"/>
  <c r="D31" i="36" s="1"/>
  <c r="R37" i="35"/>
  <c r="C31" i="36" s="1"/>
  <c r="U36" i="35"/>
  <c r="F30" i="36" s="1"/>
  <c r="T36" i="35"/>
  <c r="E30" i="36" s="1"/>
  <c r="S36" i="35"/>
  <c r="D30" i="36" s="1"/>
  <c r="R36" i="35"/>
  <c r="C30" i="36" s="1"/>
  <c r="U33" i="35"/>
  <c r="F28" i="36" s="1"/>
  <c r="T33" i="35"/>
  <c r="E28" i="36" s="1"/>
  <c r="S33" i="35"/>
  <c r="D28" i="36" s="1"/>
  <c r="R33" i="35"/>
  <c r="C28" i="36" s="1"/>
  <c r="U26" i="35"/>
  <c r="F25" i="36" s="1"/>
  <c r="T26" i="35"/>
  <c r="E25" i="36" s="1"/>
  <c r="S26" i="35"/>
  <c r="D25" i="36" s="1"/>
  <c r="R26" i="35"/>
  <c r="C25" i="36" s="1"/>
  <c r="U23" i="35"/>
  <c r="F23" i="36" s="1"/>
  <c r="T23" i="35"/>
  <c r="E23" i="36" s="1"/>
  <c r="S23" i="35"/>
  <c r="D23" i="36" s="1"/>
  <c r="R23" i="35"/>
  <c r="C23" i="36" s="1"/>
  <c r="U22" i="35"/>
  <c r="F22" i="36" s="1"/>
  <c r="T22" i="35"/>
  <c r="E22" i="36" s="1"/>
  <c r="S22" i="35"/>
  <c r="D22" i="36" s="1"/>
  <c r="R22" i="35"/>
  <c r="C22" i="36" s="1"/>
  <c r="U21" i="35"/>
  <c r="F21" i="36" s="1"/>
  <c r="T21" i="35"/>
  <c r="E21" i="36" s="1"/>
  <c r="S21" i="35"/>
  <c r="D21" i="36" s="1"/>
  <c r="R21" i="35"/>
  <c r="C21" i="36" s="1"/>
  <c r="U20" i="35"/>
  <c r="F20" i="36" s="1"/>
  <c r="T20" i="35"/>
  <c r="E20" i="36" s="1"/>
  <c r="S20" i="35"/>
  <c r="D20" i="36" s="1"/>
  <c r="R20" i="35"/>
  <c r="C20" i="36" s="1"/>
  <c r="U17" i="35"/>
  <c r="F18" i="36" s="1"/>
  <c r="T17" i="35"/>
  <c r="E18" i="36" s="1"/>
  <c r="S17" i="35"/>
  <c r="D18" i="36" s="1"/>
  <c r="R17" i="35"/>
  <c r="C18" i="36" s="1"/>
  <c r="U16" i="35"/>
  <c r="F17" i="36" s="1"/>
  <c r="T16" i="35"/>
  <c r="E17" i="36" s="1"/>
  <c r="S16" i="35"/>
  <c r="D17" i="36" s="1"/>
  <c r="R16" i="35"/>
  <c r="C17" i="36" s="1"/>
  <c r="U15" i="35"/>
  <c r="F16" i="36" s="1"/>
  <c r="T15" i="35"/>
  <c r="E16" i="36" s="1"/>
  <c r="S15" i="35"/>
  <c r="D16" i="36" s="1"/>
  <c r="R15" i="35"/>
  <c r="C16" i="36" s="1"/>
  <c r="U12" i="35"/>
  <c r="F14" i="36" s="1"/>
  <c r="T12" i="35"/>
  <c r="E14" i="36" s="1"/>
  <c r="S12" i="35"/>
  <c r="D14" i="36" s="1"/>
  <c r="R12" i="35"/>
  <c r="C14" i="36" s="1"/>
  <c r="U11" i="35"/>
  <c r="F13" i="36" s="1"/>
  <c r="T11" i="35"/>
  <c r="E13" i="36" s="1"/>
  <c r="S11" i="35"/>
  <c r="D13" i="36" s="1"/>
  <c r="R11" i="35"/>
  <c r="C13" i="36" s="1"/>
  <c r="U4" i="35"/>
  <c r="F9" i="36" s="1"/>
  <c r="T4" i="35"/>
  <c r="E9" i="36" s="1"/>
  <c r="S4" i="35"/>
  <c r="D9" i="36" s="1"/>
  <c r="R4" i="35"/>
  <c r="C9" i="36" s="1"/>
  <c r="U3" i="35"/>
  <c r="F8" i="36" s="1"/>
  <c r="T3" i="35"/>
  <c r="E8" i="36" s="1"/>
  <c r="S3" i="35"/>
  <c r="D8" i="36" s="1"/>
  <c r="R3" i="35"/>
  <c r="C8" i="36" s="1"/>
  <c r="F177" i="36" l="1"/>
  <c r="D27" i="36"/>
  <c r="E27" i="36"/>
  <c r="F27" i="36"/>
  <c r="V29" i="35"/>
  <c r="D22" i="58"/>
  <c r="H29" i="36"/>
  <c r="H11" i="36"/>
  <c r="H10" i="36"/>
  <c r="C12" i="36"/>
  <c r="D12" i="36"/>
  <c r="E12" i="36"/>
  <c r="F12" i="36"/>
  <c r="H22" i="58" l="1"/>
  <c r="G2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Lorena Maya</author>
  </authors>
  <commentList>
    <comment ref="L3" authorId="0" shapeId="0" xr:uid="{8815432F-B65A-41BD-9C76-FFA255C80E1A}">
      <text>
        <r>
          <rPr>
            <sz val="11"/>
            <color indexed="81"/>
            <rFont val="Tahoma"/>
            <family val="2"/>
          </rPr>
          <t xml:space="preserve">
Se baja a todos los espacios académicos que cuenten con revistas científicas.</t>
        </r>
      </text>
    </comment>
    <comment ref="L5" authorId="0" shapeId="0" xr:uid="{614B17A1-0A56-47AA-AB23-3972D863A005}">
      <text>
        <r>
          <rPr>
            <sz val="11"/>
            <color indexed="81"/>
            <rFont val="Tahoma"/>
            <family val="2"/>
          </rPr>
          <t xml:space="preserve">
Que cada revista científica se someta a evaluación.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tc={E31F892F-0D40-4157-AD71-90FA86DAB076}</author>
    <author>tc={2BADE1CA-6C33-4B38-B6BC-6D87124EE9D7}</author>
  </authors>
  <commentList>
    <comment ref="G5" authorId="0" shapeId="0" xr:uid="{E31F892F-0D40-4157-AD71-90FA86DAB076}">
      <text>
        <t>[Comentario encadenado]
Su versión de Excel le permite leer este comentario encadenado; sin embargo, las ediciones que se apliquen se quitarán si el archivo se abre en una versión más reciente de Excel. Más información: https://go.microsoft.com/fwlink/?linkid=870924
Comentario:
    SDyFI:
Esta meta SI DEBE BAJAR A LOS ESPACIOS ACADÉMICOS, pero de manera específica a las Facultades de Artes y Ciencias Políticas y Sociales; así como a la Escuela de Artes Escénicas, ya que son los espacios académicos propicios para poder colaborar en el desarrollo de la misma</t>
      </text>
    </comment>
    <comment ref="G6" authorId="1" shapeId="0" xr:uid="{2BADE1CA-6C33-4B38-B6BC-6D87124EE9D7}">
      <text>
        <t>[Comentario encadenado]
Su versión de Excel le permite leer este comentario encadenado; sin embargo, las ediciones que se apliquen se quitarán si el archivo se abre en una versión más reciente de Excel. Más información: https://go.microsoft.com/fwlink/?linkid=870924
Comentario:
    SDyFI:
Esta meta SI DEBE BAJAR A LOS ESPACIOS ACADÉMICOS, pero de manera específica a las Facultades de Artes y Ciencias Políticas y Sociales; así como a la Escuela de Artes Escénicas, ya que son los espacios académicos propicios para poder colaborar en el desarrollo de la misma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tc={D4C7AA74-F169-4146-AE5A-009AB5F44204}</author>
  </authors>
  <commentList>
    <comment ref="L3" authorId="0" shapeId="0" xr:uid="{D4C7AA74-F169-4146-AE5A-009AB5F44204}">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espacio académico debe coordinarse con la Dirección de Organización y Desarrollo Administrativo (DODA) para realizar los trabajos necesarios para elaboración, actualización o armonización de su manual de procedimientos. Es importante señalar que antes de programar en sus planes de desarrollo esta meta, deberán consultar con la DODA  la programación anual de esta meta.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<sst xmlns="http://schemas.openxmlformats.org/spreadsheetml/2006/main" count="1779" uniqueCount="633">
  <si>
    <t>Meta  PRDI</t>
  </si>
  <si>
    <t>Meta del espacio académico</t>
  </si>
  <si>
    <t>Actividad/Indicador</t>
  </si>
  <si>
    <t>Nombre de las variables</t>
  </si>
  <si>
    <t>Valor de las variables</t>
  </si>
  <si>
    <t>Valor de los indicadores</t>
  </si>
  <si>
    <t>Medición
(anual o acumulada)</t>
  </si>
  <si>
    <t>Área responsable</t>
  </si>
  <si>
    <t>ESTATUS</t>
  </si>
  <si>
    <t>Actividad</t>
  </si>
  <si>
    <t>Anual</t>
  </si>
  <si>
    <t>Certificar internacionalmente en una segunda lengua a estudiantes de estudios profesionales</t>
  </si>
  <si>
    <t>Indicador</t>
  </si>
  <si>
    <t>(Titulados al primer año de egreso/Nuevo ingreso n-5 )*100</t>
  </si>
  <si>
    <t>Titulados al primer año de egreso</t>
  </si>
  <si>
    <t>(1-((Matrícula total n mas 1-Nuevo ingreso 1o n mas 1+Egresados n)/(Matrícula total n)))*100</t>
  </si>
  <si>
    <t>Acumulada</t>
  </si>
  <si>
    <t>Número de sustentantes de estudios profesionales que obtienen testimonio de desempeño sobresaliente o satisfactorio en el EGEL</t>
  </si>
  <si>
    <t>Total de sustentantes de estudios profesionales que presentan los EGEL</t>
  </si>
  <si>
    <t>Número de programas educativos de Estudios Profesionales evaluables</t>
  </si>
  <si>
    <t>(La suma acumulada del número de egresados de la cohorte de estudios profesionales en cada uno de los años que dura la cohorte/Número total de alumnos de ingreso a primer año de la cohorte)*100</t>
  </si>
  <si>
    <t>La suma acumulada del número de egresados de la cohorte de estudios profesionales en cada uno de los años que dura la cohorte</t>
  </si>
  <si>
    <t>Número total de alumnos de ingreso a primer año de la cohorte</t>
  </si>
  <si>
    <t>No.</t>
  </si>
  <si>
    <t>Meta</t>
  </si>
  <si>
    <t>Medición</t>
  </si>
  <si>
    <t>Atender la matrícula de estudios avanzados para la generación y aplicación del conocimiento</t>
  </si>
  <si>
    <t>Lograr la participación de alumnos en los sectores gubernamental, productivo y social mediante las prácticas o estancias profesionales</t>
  </si>
  <si>
    <t>Otorgar becas, apoyos o estímulos a alumnos de estudios profesionales para la permanencia y conclusión de estudios</t>
  </si>
  <si>
    <t xml:space="preserve">Fecha de toma de protesta </t>
  </si>
  <si>
    <t xml:space="preserve">Clave Objetivo General </t>
  </si>
  <si>
    <t xml:space="preserve">Objetivo General </t>
  </si>
  <si>
    <t xml:space="preserve">Clave Objetivo Específico </t>
  </si>
  <si>
    <t xml:space="preserve"> Objetivo Específico </t>
  </si>
  <si>
    <t>Método de cálculo</t>
  </si>
  <si>
    <t>PRDI25-29-Obj-36</t>
  </si>
  <si>
    <t>Formar estudiantes de excelencia, a través de estudios profesionales pertinentes e inclusivos, con una vinculación permanente con estudiantes y personas egresadas, para su pleno desarrollo profesional y su contribución al bienestar social.</t>
  </si>
  <si>
    <t>PRDI2025-2029-Obj-58</t>
  </si>
  <si>
    <t>Incorporar contenidos temáticos o actividades académicas sobre los criterios transversales del seaes, en 30 planes de estudio reestructurados, durante la administración</t>
  </si>
  <si>
    <t>Incorporar contenidos temáticos o actividades académicas sobre los criterios transversales del seaes, en planes de estudio reestructurados</t>
  </si>
  <si>
    <t>Contar con el acervo de 120 unidades de aprendizaje de estudios profesionales apegados a las referencias documentales básicas durante la administración</t>
  </si>
  <si>
    <t xml:space="preserve">Contar con el acervo de unidades de aprendizaje de estudios profesionales apegados a las referencias documentales básicas </t>
  </si>
  <si>
    <t>Lograr que 89.13% de los programas educativos de estudios profesionales evaluables cuenten con reconocimiento por su excelencia, para 2029</t>
  </si>
  <si>
    <t>(Número de programas educativos de estudios profesionales con reconocimiento por su excelencia / Número de programas educativos de Estudios Profesionales evaluables)*100</t>
  </si>
  <si>
    <t>Número de programas educativos de estudios profesionales con reconocimiento por su excelencia</t>
  </si>
  <si>
    <t>Lograr que 92.9% de la matrícula en programas educativos de estudios profesionales evaluables, curse en programas educativos reconocidos por su excelencia, para 2029</t>
  </si>
  <si>
    <t>(Matrícula de estudiantes de estudios profesionales del sistema dependiente en programas educativos reconocidos por su excelencia / Matrícula de estudiantes de estudios profesionales del sistema dependiente en programas educativos evaluables)*100</t>
  </si>
  <si>
    <t>Matrícula de estudiantes de estudios profesionales del sistema dependiente en programas educativos reconocidos por su excelencia</t>
  </si>
  <si>
    <t>Matrícula de estudiantes de estudios profesionales del sistema dependiente en programas educativos evaluables</t>
  </si>
  <si>
    <t>PRDI25-29-Obj-81</t>
  </si>
  <si>
    <t>Lograr que 72% de los sustentantes que presentan el EGEL obtengan testimonios de desempeño sobresaliente o satisfactorio, para 2029</t>
  </si>
  <si>
    <t>(Número de sustentantes de estudios profesionales que obtienen testimonio de desempeño sobresaliente o satisfactorio en el EGEL / 
Total de sustentantes de estudios profesionales que presentan los EGEL)*100</t>
  </si>
  <si>
    <t>Implementar 1 programa de preparación para EGEL anualmente</t>
  </si>
  <si>
    <t xml:space="preserve">Implementar un programa de preparación para EGEL </t>
  </si>
  <si>
    <t>Lograr que 550 estudiantes de estudios profesionales participen en movilidad intrainstitucional durante la administración</t>
  </si>
  <si>
    <t>Lograr que estudiantes de estudios profesionales participen en movilidad intrainstitucional</t>
  </si>
  <si>
    <t>Lograr anualmente que 100% de los estudiantes de estudios profesionales estén beneficiados con el nuevo Programa Institucional de Tutoría Académica</t>
  </si>
  <si>
    <t>(Número de estudiantes de estudios profesionales beneficiados con tutoría/ Total de estudiantes de estudios profesionales) * 100</t>
  </si>
  <si>
    <t>Número de estudiantes de estudios profesionales beneficiados con tutoría</t>
  </si>
  <si>
    <t>Total de estudiantes de estudios profesionales</t>
  </si>
  <si>
    <t>Lograr que 1 030 estudiantes de estudios profesionales participen en movilidad nacional e internacional durante la administración</t>
  </si>
  <si>
    <t xml:space="preserve">Lograr que estudiantes de estudios profesionales participen en movilidad nacional e internacional </t>
  </si>
  <si>
    <t>Realizar anualmente en los 55 espacios académicos un proyecto colaborativo de beneficio social</t>
  </si>
  <si>
    <t xml:space="preserve">Realizar en los espacios académicos un proyecto colaborativo de beneficio social </t>
  </si>
  <si>
    <t>Contar con 70 manuales de prácticas apegados a los indicadores del Sistema para Evaluar la Calidad de Medios Educativos anualmente</t>
  </si>
  <si>
    <t xml:space="preserve">Contar con manuales de prácticas apegados a los indicadores del Sistema para Evaluar la Calidad de Medios Educativos </t>
  </si>
  <si>
    <t>Lograr que 80.03% de las GEI disponibles en SEDUCA sean utilizadas, para 2029</t>
  </si>
  <si>
    <t>(Número de guías de estudio independiente utilizadas / Número total de guías de estudio independiente vigentes disponibles en SEDUCA) *100</t>
  </si>
  <si>
    <t>Número de guías de estudio independiente utilizadas</t>
  </si>
  <si>
    <t>Número total de guías de estudio independiente vigentes disponibles en SEDUCA</t>
  </si>
  <si>
    <t>Incrementar a 52 000 el número de estudiantes de estudios profesionales en la renovada plataforma seduca, para 2029</t>
  </si>
  <si>
    <t xml:space="preserve">Incrementar el número de estudiantes de estudios profesionales en la renovada plataforma seduca </t>
  </si>
  <si>
    <t>Desarrollar 470 actividades académicas de educación continua al año</t>
  </si>
  <si>
    <t>Desarrollar actividades académicas de educación continua</t>
  </si>
  <si>
    <t>Certificar en una segunda lengua a 720 estudiantes de estudios profesionales anualmente</t>
  </si>
  <si>
    <t>PRDI25-29-Obj-82</t>
  </si>
  <si>
    <t>Incrementar la matrícula a 78 002 estudiantes de estudios profesionales en sus diversas modalidades para 2029</t>
  </si>
  <si>
    <t xml:space="preserve">
Atender la matrícula de Estudios Profesionales en sus diversas modalidades</t>
  </si>
  <si>
    <t>Contar con una titulación por cohorte a 2029 de 30.5%</t>
  </si>
  <si>
    <t>Nuevo ingreso n-5</t>
  </si>
  <si>
    <t>Implementar semestralmente 1 programa de fomento a la titulación</t>
  </si>
  <si>
    <t>Implementar un programa de fomento a la titulación</t>
  </si>
  <si>
    <t>Lograr la eficiencia terminal por cohorte en estudios Profesionales de 53.59% en 2029</t>
  </si>
  <si>
    <t>Disminuir a 7.80% el abandono escolar de estudios profesionales al término de la administración</t>
  </si>
  <si>
    <t>Matrícula total n mas 1</t>
  </si>
  <si>
    <t>Nuevo ingreso 1o n mas 1</t>
  </si>
  <si>
    <t>Matrícula total n</t>
  </si>
  <si>
    <t>Egresados n</t>
  </si>
  <si>
    <t>Otorgar anualmente 38 000 becas, apoyos o estímulos institucionales a estudiantes de Estudios Profesionales</t>
  </si>
  <si>
    <t>Lograr que 98% del total de estudiantes activos de Estudios Profesionales cuenten con servicios de salud a 2029</t>
  </si>
  <si>
    <t>(Alumnos afiliados al Seguro Facultativo de Estudios Profesionales / Matrícula activa de Estudios Profesionales)*100</t>
  </si>
  <si>
    <t>Alumnos afiliados al Seguro Facultativo de Estudios Profesionales</t>
  </si>
  <si>
    <t>Matrícula activa de Estudios Profesionales</t>
  </si>
  <si>
    <t>Lograr la participación de 32 300 estudiantes y personas egresadas en los sectores gubernamental, productivo y social, mediante las prácticas o estancias profesionales, al cierre de la administración</t>
  </si>
  <si>
    <t>Lograr la participación de 500 estudiantes de estudios profesionales en cursos, talleres o actividades de capacitación de empleabilidad, realizadas en conjunto con instituciones externas, anualmente</t>
  </si>
  <si>
    <t>Lograr la participación de estudiantes de estudios profesionales en cursos, talleres o actividades de capacitación de empleabilidad, realizadas en conjunto con instituciones externas</t>
  </si>
  <si>
    <t>Realizar 10 eventos de promoción y difusión en apoyo al desarrollo profesional para el empleo y la inserción laboral, durante la administración</t>
  </si>
  <si>
    <t>Realizar  eventos de promoción y difusión en apoyo al desarrollo profesional para el empleo y la inserción laboral</t>
  </si>
  <si>
    <t>PRDI25-29-Obj-83</t>
  </si>
  <si>
    <t>Realizar 40 intervenciones de impacto anuales en espacios académicos para fortalecer la vinculación colaborativa entre egresados y estudiantes</t>
  </si>
  <si>
    <t>Realizar intervenciones de impacto en espacios académicos para fortalecer la vinculación colaborativa entre egresados y estudiantes</t>
  </si>
  <si>
    <t>Contar con planes de estudio pertinentes y de excelencia, en diferentes modalidades, que incorporen los criterios transversales del SEAES, de indicadores de instancias de evaluación externa y acreditación, y de organismos acreditadores, para formar profesionistas que contribuyan a la conformación de una sociedad más justa, libre, incluyente y pacífica, con una visión de sostenibilidad.</t>
  </si>
  <si>
    <t>Fortalecer la formación disciplinar e integral del estudiantado y su educación continua, en congruencia con el modelo educativo institucional, para fomentar su desarrollo humano completo y maximizar su potencial académico y profesional, así como su retribución social, en los diferentes sectores.</t>
  </si>
  <si>
    <t>Contribuir al acceso, permanencia y egreso del alumnado de estudios profesionales para su formación integral y la conclusión de sus estudios profesionales.</t>
  </si>
  <si>
    <t>Fortalecer la vinculación, acompañamiento y seguimiento de egresados de estudios profesionales, para favorecer las prácticas profesionales, empleabilidad y colaboración con el sector productivo, con un sentido de identidad.</t>
  </si>
  <si>
    <t>Ref. 
2025</t>
  </si>
  <si>
    <t xml:space="preserve">No. de meta en el PRDI </t>
  </si>
  <si>
    <t>PRDI25-29-Obj-37</t>
  </si>
  <si>
    <t>Garantizar una formación en estudios avanzados de excelencia y pertinencia social, a través del desarrollo de programas innovadores con la integración de la investigación de la Agenda Estratégica de Investigación, para asegurar que el conocimiento generado impulse la transformación social.</t>
  </si>
  <si>
    <t>PRDI2025-2029-Obj-59</t>
  </si>
  <si>
    <t>Incrementar la matrícula de estudios avanzados con enfoque de equidad e inclusión regional para diversificar el acceso a la formación de alto nivel.</t>
  </si>
  <si>
    <t>Contar con 233 estudiantes de estudios avanzados participantes en estancias cortas o movilidad académica, a 2029</t>
  </si>
  <si>
    <t>Contar con estudiantes de estudios avanzados participantes en estancias cortas o movilidad académica</t>
  </si>
  <si>
    <t>Contar  4 350 alumnos en estudios avanzados, a 2029</t>
  </si>
  <si>
    <t>PRDI25-29-Obj-84</t>
  </si>
  <si>
    <t>Consolidar una oferta educativa de estudios avanzados de excelencia, para garantizar la inclusión, la pertinencia social y la alineación con las demandas de los sectores productivo, gubernamental y social.</t>
  </si>
  <si>
    <t>Ofertar 1 nuevo programa de estudios avanzados o diplomado superior en los CU y UAP vinculado con entidades de gobierno o industria, anualmente</t>
  </si>
  <si>
    <t>Ofertar nuevos programas de estudios avanzados o diplomado superior en los CU y UAP vinculado con entidades de gobierno o industria</t>
  </si>
  <si>
    <t>Registrar 50 protocolos de investigación de alumnos de estudios avanzados con temáticas vinculadas a la Agenda Estratégica de Investigación, anualmente</t>
  </si>
  <si>
    <t>Registrar protocolos de investigación de alumnos de estudios avanzados con temáticas vinculadas a la Agenda Estratégica de Investigación</t>
  </si>
  <si>
    <t>Generar protocolos de acción para incrementar la tasa de graduación y la eficiencia terminal en 10 espacios académicos, en 2026</t>
  </si>
  <si>
    <t>Generar protocolos de acción para incrementar la tasa de graduación y la eficiencia terminal en espacios académicos</t>
  </si>
  <si>
    <t>Incrementar a 1190 graduados de estudios avanzados, a 2029</t>
  </si>
  <si>
    <t>Incrementar graduados de estudios avanzados</t>
  </si>
  <si>
    <t>Incrementar a 17.56% la graduación de estudios avanzados por la opción de trabajo terminal de grado, a 2029</t>
  </si>
  <si>
    <t>(Número de alumnos graduados por la opción de trabajo terminal de grado en el año que se reporta/Total de alumnos graduados en el año que se reporta)*100</t>
  </si>
  <si>
    <t>Número de alumnos graduados por la opción de trabajo terminal de grado en el año que se reporta</t>
  </si>
  <si>
    <t>Total de alumnos graduados en el año que se reporta)*100</t>
  </si>
  <si>
    <t>Sin fórmula</t>
  </si>
  <si>
    <t>PRDI25-29-Obj-38</t>
  </si>
  <si>
    <t>Impulsar la investigación científica, humanística, tecnológica y de innovación priorizando la calidad, inclusión,  equidad, retribución social y multilingüismo, a través del apoyo a proyectos sólidos, el fortalecimiento de redes en la comunidad investigadora y la optimización de recursos e infraestructura, en el marco del nuevo Modelo de Ciencia Abierta para la Transformación Social</t>
  </si>
  <si>
    <t>PRDI2025-2029-Obj-60</t>
  </si>
  <si>
    <t>Fomentar la investigación abierta, equitativa y de calidad, así como transparentar su dimensión de retribución social, incentivar el diálogo de saberes y la participación activa de la comunidad universitaria de forma incluyente.</t>
  </si>
  <si>
    <t>Contar con 200 CA de calidad, a 2028</t>
  </si>
  <si>
    <t>Contar con Cuerpos Académicos de calidad</t>
  </si>
  <si>
    <t>Mantener 98.68% de los CA que realizan investigación que contribuye a la solución de problemas sociales, a 2029</t>
  </si>
  <si>
    <t>(Número de cuerpos académicos registrados en SEP que realizan investigación que contribuyen a la solución de problemas sociales/Total de cuerpos académicos registrados en SEP)*100</t>
  </si>
  <si>
    <t>Número de cuerpos académicos registrados en SEP que realizan investigación que contribuyen a la solución de problemas sociales</t>
  </si>
  <si>
    <t>Total de cuerpos académicos registrados en SEP</t>
  </si>
  <si>
    <t>Mantener el 49.59% de los PTC con participación en redes con pares extranjeros, anualmente</t>
  </si>
  <si>
    <t>(Número de Profesores de Tiempo Completo  con participación en redes con pares extranjeros/Total de Profesores de Tiempo Completo)*100</t>
  </si>
  <si>
    <t>Número de Profesores de Tiempo Completo  con participación en redes con pares extranjeros</t>
  </si>
  <si>
    <t>Total de Profesores de Tiempo Completo</t>
  </si>
  <si>
    <t>Mantener 49.81% de los PTC que participan en redes nacionales, anualmente</t>
  </si>
  <si>
    <t>(Número de Profesores de Tiempo Completo con participación en redes nacionales/Total de Profesores de Tiempo Completo)*100</t>
  </si>
  <si>
    <t>Número de Profesores de Tiempo Completo con participación en redes nacionales</t>
  </si>
  <si>
    <t>PRDI25-29-Obj-85</t>
  </si>
  <si>
    <t>Optimizar el proceso de asignación y gestión de recursos financieros para consolidar la investigación con proyectos que respondan a los principios de calidad, equidad, inclusión, retribución social y multilingüismo.</t>
  </si>
  <si>
    <t>Atender las necesidades prioritarias de mantenimiento, equipamiento y medidas de seguridad de 115 laboratorios de investigación, a 2029</t>
  </si>
  <si>
    <t>Atender las necesidades prioritarias de mantenimiento, equipamiento y medidas de seguridad de laboratorios de investigación</t>
  </si>
  <si>
    <t>Promover la participación en 2 convocatorias externas de proyectos de investigación, anualmente</t>
  </si>
  <si>
    <t>Promover la participación en convocatorias externas de proyectos de investigación</t>
  </si>
  <si>
    <t>Contar con 19.51% de los proyectos de investigación en DT e innovación que cuenten con un plan de transferencia, innovación o impacto social documentado, a 2029</t>
  </si>
  <si>
    <t>(Número de proyectos de investigación en DT e Innovación que cuentan con plan de transferencia, innovación impacto social documentado/Total de proyectos de investigación en DT e Innovación)*100</t>
  </si>
  <si>
    <t>Número de proyectos de investigación en DT e Innovación que cuentan con plan de transferencia, innovación impacto social documentado</t>
  </si>
  <si>
    <t>Total de proyectos de investigación en DT e Innovación</t>
  </si>
  <si>
    <t>Contar con 53.22% de producción científica con sentido social, anualmente</t>
  </si>
  <si>
    <t>(Número de producción científica con sentido social/Total de la producción científica reportada)*100</t>
  </si>
  <si>
    <t>Número de producción científica con sentido social</t>
  </si>
  <si>
    <t>Total de la producción científica reportada</t>
  </si>
  <si>
    <t>PRDI25-29-Obj-39</t>
  </si>
  <si>
    <t>Impulsar la innovación y el desarrollo tecnológico de manera sostenible y equitativa, a través de la articulación de plataformas multiactor, la gestión de la propiedad intelectual y transferencia tecnológica, en el marco de proyectos Penta-Hélice.</t>
  </si>
  <si>
    <t>PRDI25-29-Obj-86</t>
  </si>
  <si>
    <t>Fortalecer la gestión institucional de la propiedad intelectual y transferencia tecnológica a través de mecanismos equitativos, sostenibles y con retribución social.</t>
  </si>
  <si>
    <t>Contar con 222 expedientes, registros y patentes ante el IMPI, a 2029</t>
  </si>
  <si>
    <t>Contar con expedientes, registros y patentes ante el IMPI</t>
  </si>
  <si>
    <t>Capacitar a 100 miembros de la comunidad universitaria en materia de propiedad intelectual y gestión de activos de conocimiento, anualmente</t>
  </si>
  <si>
    <t>Capacitar a miembros de la comunidad universitaria en materia de propiedad intelectual y gestión de activos de conocimiento</t>
  </si>
  <si>
    <t>PRDI25-29-Obj-40</t>
  </si>
  <si>
    <t>Comunicar en abierto los resultados de investigación con la finalidad de democratizar el acceso al conocimiento generado en la Universidad y asegurar su máxima difusión y retribución social en formatos accesibles y multilingües que se posicionen como bien público digital.</t>
  </si>
  <si>
    <t>PRDI25-29-Obj-87</t>
  </si>
  <si>
    <t>Fortalecer los procesos editoriales y tecnológicos para sostener y generar libros y revistas científicas como bienes públicos digitales.</t>
  </si>
  <si>
    <t xml:space="preserve">Realizar 1 programa de sostenibilidad y  fortalecimiento del Acceso Abierto no comercial para las revistas científicas editadas en la Universidad, anualmente </t>
  </si>
  <si>
    <t>Realizar un programa de sostenibilidad y  fortalecimiento del Acceso Abierto no comercial para las revistas científicas editadas en la Universidad</t>
  </si>
  <si>
    <t>Capacitar a 1000 miembros de la comunidad universitaria en Ciencia Abierta, anualmente</t>
  </si>
  <si>
    <t>Capacitar a  miembros de la comunidad universitaria en Ciencia Abierta</t>
  </si>
  <si>
    <t>Realizar 1 evaluación de la calidad, criterios y políticas de Acceso Abierto Diamante de las publicaciones periódicas científicas institucionales, anualmente</t>
  </si>
  <si>
    <t>Realizar evaluaciones de la calidad, criterios y políticas de Acceso Abierto Diamante de las publicaciones periódicas científicas institucionales</t>
  </si>
  <si>
    <t>PRDI25-29-Obj-41</t>
  </si>
  <si>
    <t>PRDI25-29-Obj-41 -Fortalecer la cultura a través de proyectos y actividades que articulen la expresión artística y cultural como parte del desarrollo de la comunidad universitaria..</t>
  </si>
  <si>
    <t>Abrir 850 talleres culturales anualmente en beneficio de la colectividad universitaria de nivel superior</t>
  </si>
  <si>
    <t>Abrir talleres culturales en beneficio de la colectividad universitaria de nivel superior</t>
  </si>
  <si>
    <t xml:space="preserve">Anual </t>
  </si>
  <si>
    <t>Realizar 850 presentaciones artísticas anualmente.</t>
  </si>
  <si>
    <t xml:space="preserve">Realizar presentaciones artísticas </t>
  </si>
  <si>
    <t>Organizar 3 programas de fortalecimiento al talento audiovisual para desarrollar la creatividad cultural de los universitarios, durante la administración</t>
  </si>
  <si>
    <t>Organizar programas de fortalecimiento al talento audiovisual para desarrollar la creatividad cultural de los universitarios</t>
  </si>
  <si>
    <t>PRDI25-29-Obj-88</t>
  </si>
  <si>
    <t>Organizar 6 programas audiovisuales vanguardistas que fomenten la innovación cultural durante la administración</t>
  </si>
  <si>
    <t xml:space="preserve">Organizar programas audiovisuales vanguardistas que fomenten la innovación cultural </t>
  </si>
  <si>
    <t>Realizar al año, 4 programas artísticos que contribuyan al fortalecimiento cultural de la comunidad universitaria</t>
  </si>
  <si>
    <t>Realizar programas artísticos que contribuyan al fortalecimiento cultural de la comunidad universitaria</t>
  </si>
  <si>
    <t xml:space="preserve">Realizar al año 1 festival cultural que reúna a los talentos de distintos talleres y espacios académicos
</t>
  </si>
  <si>
    <t xml:space="preserve">Realizar festivales culturales que reúna a los talentos de distintos talleres y espacios académicos
</t>
  </si>
  <si>
    <t xml:space="preserve">Fomentar la participación activa de la comunidad universitaria y sociedad en general en actividades culturales innovadoras que fortalezcan la identidad y el sentido de pertenencia institucional que contribuyan a la cohesión social y la igualdad.
</t>
  </si>
  <si>
    <t>Fortalecer espacios de formación y reflexión que integren a la cultura con inclusión y transformación social.</t>
  </si>
  <si>
    <t>PRDI25-29-Obj-63</t>
  </si>
  <si>
    <t>PRDI25-29-Obj-42</t>
  </si>
  <si>
    <t>Fortalecer, mediante la promoción y participación, una cultura física para favorecer el desarrollo integral y la adopción de hábitos de bienestar en la comunidad universitaria.</t>
  </si>
  <si>
    <t>PRDI25-29-Obj-64</t>
  </si>
  <si>
    <t>Generar la cultura física en la comunidad universitaria para fomentar hábitos de vida saludable.</t>
  </si>
  <si>
    <t>Organizar anualmente 12 eventos regionales que promuevan el bienestar, el autocuidado y la actividad física responsable</t>
  </si>
  <si>
    <t>Organizar eventos regionales que promuevan el bienestar, el autocuidado y la actividad física responsable</t>
  </si>
  <si>
    <t>Mantener anualmente la participación de 41.01% del personal académico en actividades de cultura física</t>
  </si>
  <si>
    <t>(Número de académicos que participan en actividades deportivas/ Total del personal académico)*100</t>
  </si>
  <si>
    <t>Número de académicos que participan en actividades deportivas</t>
  </si>
  <si>
    <t>Total del personal académico</t>
  </si>
  <si>
    <t>Lograr que 30.02% del personal administrativo participe en actividades de cultura física, anualmente</t>
  </si>
  <si>
    <t>(Número de administrativos en actividades deportivas/ Total del personal administrativo)*100</t>
  </si>
  <si>
    <t>Número de administrativos en actividades deportivas</t>
  </si>
  <si>
    <t>Total del personal administrativo</t>
  </si>
  <si>
    <t>Lograr anualmente que 50% de estudiantes del nivel superior participen en actividades de cultura física</t>
  </si>
  <si>
    <t>(Número de estudiantes de nivel superior que participan en actividades deportivas/ Total matrícula estudiantil de estudios profesionales)*100</t>
  </si>
  <si>
    <t>Número de estudiantes de nivel superior que participan en actividades deportivas</t>
  </si>
  <si>
    <t>PRDI25-29-Obj-90</t>
  </si>
  <si>
    <t>Ampliar las oportunidades de acceso al deporte dirigidas a la comunidad universitaria para su desarrollo integral y proyección competitiva con equidad e inclusión.</t>
  </si>
  <si>
    <t>Contar con la participación anual de 300 deportistas universitarios para impulsar su talento competitivo a nivel estatal, nacional e internacional</t>
  </si>
  <si>
    <t>Contar con la participación deportistas universitarios para impulsar su talento competitivo a nivel estatal, nacional e internacional</t>
  </si>
  <si>
    <t>Total matrícula estudiantil de estudios profesionales</t>
  </si>
  <si>
    <t xml:space="preserve">PRDI25-29-Obj-43 </t>
  </si>
  <si>
    <t>Fortalecer la habilitación académica, científica y el desarrollo integral del personal académico mediante una formación humanista e innovadora, que dignifique su labor, promueva la excelencia educativa y contribuya al bienestar de la comunidad docente.</t>
  </si>
  <si>
    <t>PRDI2025-2029-Obj-65</t>
  </si>
  <si>
    <t>Lograr a 2029 que 65% del personal académico de nivel superior participe en actividades de formación</t>
  </si>
  <si>
    <t>(Número de académicos de nivel superior que participan en actividades de formación./Total de académicos de nivel superior)*100</t>
  </si>
  <si>
    <t>Número de académicos de nivel superior que participan en actividades de formación.</t>
  </si>
  <si>
    <t>Total de académicos de nivel superior</t>
  </si>
  <si>
    <t>Actualizar anualmente a 25.01% del personal académico del nivel superior en conocimientos propios de la disciplina que enseñan</t>
  </si>
  <si>
    <t>(Número de personal académico de nivel superior que participa en actividades de capacitación de actualización disciplinar/Total de personal académico de nivel superior)*100</t>
  </si>
  <si>
    <t>Número de personal académico de nivel superior que participa en actividades de capacitación de actualización disciplinar</t>
  </si>
  <si>
    <t>Total de personal académico de nivel superior</t>
  </si>
  <si>
    <t>(Número de personal académico de nivel superior que participa en actividades de capacitación en el desarrollo de competencias didácticas y digitales/Total de personal académico de nivel superior)*100</t>
  </si>
  <si>
    <t>Número de personal académico de nivel superior que participa en actividades de capacitación en el desarrollo de competencias didácticas y digitales</t>
  </si>
  <si>
    <t>Capacitar a 100% del personal académico en el nuevo modelo educativo durante la administración</t>
  </si>
  <si>
    <t>(Número de personal académico capacitado en el nuevo modelo educativo/Total de personal académico)*100</t>
  </si>
  <si>
    <t>Número de personal académico capacitado en el nuevo modelo educativo</t>
  </si>
  <si>
    <t xml:space="preserve">Total de personal académico </t>
  </si>
  <si>
    <t>Brindar capacitación en temas transversales a 25.01% del personal académico de nivel superior anualmente</t>
  </si>
  <si>
    <t>(Número de personal académico de nivel superior que participa en actividades de capacitación en temas transversales/Total de personal académico de nivel superior)*100</t>
  </si>
  <si>
    <t>Número de personal académico de nivel superior que participa en actividades de capacitación en temas transversales</t>
  </si>
  <si>
    <t>PRDI25-29-Obj-92</t>
  </si>
  <si>
    <t>Lograr la certificación internacional en una segunda lengua en nivel C1 de cuatro habilidades de 360 profesores de lengua de estudios profesionales al final de la administración</t>
  </si>
  <si>
    <t>Lograr la certificación internacional en una segunda lengua en nivel C1 de cuatro habilidades de profesores de lengua de estudios profesionales</t>
  </si>
  <si>
    <t>PRDI25-29-Obj-93</t>
  </si>
  <si>
    <t>Contar con 715 PTC en el SNII para 2029</t>
  </si>
  <si>
    <t xml:space="preserve">Contar con PTC en el SNII </t>
  </si>
  <si>
    <t>Alcanzar 75.06% del profesorado de tiempo completo (PTC) con Perfil PRODEP, para 2029</t>
  </si>
  <si>
    <t>(PTC registrados en la SEP que cuentan con perfil Prodep/Total de PTC registrados en la SEP)*100</t>
  </si>
  <si>
    <t>PTC registrados en la SEP que cuentan con perfil Prodep</t>
  </si>
  <si>
    <t>Total de PTC registrados en la SEP</t>
  </si>
  <si>
    <t>Lograr 34 participantes del personal académico de Estudios Avanzados en actividades de internacionalización (seminarios, coil, cátedras), durante la administración</t>
  </si>
  <si>
    <t>Lograr participantes del personal académico de Estudios Avanzados en actividades de internacionalización (seminarios, coil, cátedras)</t>
  </si>
  <si>
    <t>Lograr que 316 académicos e investigadores participen en estancias internacionales o de movilidad durante la administración</t>
  </si>
  <si>
    <t>Lograr que académicos e investigadores participen en estancias internacionales o de movilidad</t>
  </si>
  <si>
    <t>Formar al profesorado de nivel superior integralmente, para promover la excelencia educativa.</t>
  </si>
  <si>
    <t>Fortalecer la formación y certificación del profesorado en una segunda lengua, con el propósito de consolidar su desarrollo profesional.</t>
  </si>
  <si>
    <t>Mejorar la habilitación académica y científica de los investigadores para su reconocimiento y excelencia.</t>
  </si>
  <si>
    <t>PRDI25-29-Obj-44</t>
  </si>
  <si>
    <t>Mejorar la dignificación de las y los trabajadores universitarios a través del reconocimiento institucional y actualización de conocimiento para fortalecer su perfil profesional y personal; lo cual se verá reflejado en un mejor servicio universitario.</t>
  </si>
  <si>
    <t>PRDI2025-2029-Obj-66</t>
  </si>
  <si>
    <t>Capacitar a 80% de los integrantes del personal administrativo en competencias básicas y técnicas a 2029</t>
  </si>
  <si>
    <t>Capacitar 35.01% del personal administrativo en competencias transversales, equidad de género, ética y cultura de paz a 2029</t>
  </si>
  <si>
    <t>Capacitar a 20% del personal universitario en Tecnologías de la Información y Comunicación, anualmente</t>
  </si>
  <si>
    <t>(Número de personal administrativo capacitado en  competencias básicas y técnicas / Total de personal administrativo)*100</t>
  </si>
  <si>
    <t>Número de personal administrativo capacitado en en competencias básicas y técnicas</t>
  </si>
  <si>
    <t>Total de personal administrativo</t>
  </si>
  <si>
    <t>(Número de personal administrativo capacitado en  competencias transversales, equidad de género, ética y paz / Total de personal administrativo)*100</t>
  </si>
  <si>
    <t xml:space="preserve">Número de personal administrativo capacitado en  competencias transversales, equidad de género, ética y paz </t>
  </si>
  <si>
    <t>(Número de personal universitario capacitado en temas de Tecnologías de la Información/ Total de personal universitario)*100</t>
  </si>
  <si>
    <t>Número de personal universitario capacitado en temas de Tecnologías de la Información</t>
  </si>
  <si>
    <t>Total de personal universitario</t>
  </si>
  <si>
    <t>Fortalecer las competencias laborales del personal administrativo para la mejora de perfiles de puesto.</t>
  </si>
  <si>
    <t>PRDI25-29-Obj-45</t>
  </si>
  <si>
    <t>Fortalecer la administración universitaria mediante acciones integrales de infraestructura, cultura organizacional de la calidad y proceso orgánico funcional, eficientes para atender las necesidades de la comunidad universitaria.</t>
  </si>
  <si>
    <t>PRDI25-29-Obj-99</t>
  </si>
  <si>
    <t>PRDI25-29-Obj-99 -Fortalecer el proceso orgánico-funcional de la Institución que permita tener una gestión más eficiente en los espacios universitarios.</t>
  </si>
  <si>
    <t>Armonizar 70 manuales de organización de espacios universitarios a 2029</t>
  </si>
  <si>
    <t xml:space="preserve">Armonizar manuales de organización de espacios universitarios </t>
  </si>
  <si>
    <t>Armonizar 50 manuales de procedimientos de espacios universitarios a 2029</t>
  </si>
  <si>
    <t>Armonizar manuales de procedimientos de espacios universitarios</t>
  </si>
  <si>
    <t>PRDI25-29-Obj-46</t>
  </si>
  <si>
    <t>Fortalecer la infraestructura tecnológica de la Universidad mediante la actualización de recursos, cultura digital, modernización de procesos y seguridad de la información para mejorar la gestión académica, administrativa y de investigación.</t>
  </si>
  <si>
    <t>PRDI25-29-Obj-101</t>
  </si>
  <si>
    <t>PRDI25-29-Obj-101 -Fortalecer la cultura digital de la comunidad universitaria para mejorar sus habilidades tecnológicas y promover un uso efectivo de tic.</t>
  </si>
  <si>
    <t>Desarrollar 160 guías de estudio independiente (GEI) al año</t>
  </si>
  <si>
    <t xml:space="preserve">Desarrollar guías de estudio independiente (GEI) </t>
  </si>
  <si>
    <t>PRDI25-29-Obj-103</t>
  </si>
  <si>
    <t>PRDI25-29-Obj-103 -Garantizar la operación continua y eficiente de la infraestructura tecnológica institucional para proporcionar la disponibilidad y funcionalidad de los equipos y sistemas en los espacios académicos.</t>
  </si>
  <si>
    <t>Contar con 100% de los espacios académicos con mantenimiento preventivo a equipos de salas de cómputo, anualmente</t>
  </si>
  <si>
    <t>PRDI25-29-Obj-47</t>
  </si>
  <si>
    <t>PRDI25-29-Obj-104</t>
  </si>
  <si>
    <t>Realizar anualmente 1 campaña de protección universitaria en materia de autoprotección y reacción ante emergencias para la comunidad universitaria de nivel superior</t>
  </si>
  <si>
    <t>Realizar campañas de protección universitaria en materia de autoprotección y reacción ante emergencias para la comunidad universitaria de nivel superior</t>
  </si>
  <si>
    <t>Realizar anualmente 1 simulacro de acuerdo con la convocatoria nacional</t>
  </si>
  <si>
    <t>Realizar simulacro de acuerdo con la convocatoria nacional</t>
  </si>
  <si>
    <t>PRDI25-29-Obj-105</t>
  </si>
  <si>
    <t>Efectuar anualmente 1 campaña del protocolo de atención integral a víctimas en todas las áreas universitarias</t>
  </si>
  <si>
    <t>Efectuar campañas del protocolo de atención integral a víctimas en todas las áreas universitarias</t>
  </si>
  <si>
    <t>Difundir anualmente 1 campaña de los Protocolos de Seguridad y Protección Civil</t>
  </si>
  <si>
    <t>Difundir la campaña de los Protocolos de Seguridad y Protección Civil</t>
  </si>
  <si>
    <t>Realizar 1 curso anual dirigido al personal de Protección Universitaria sobre Derechos Humanos y perspectiva de Género</t>
  </si>
  <si>
    <t>Realizar cursos dirigidos al personal de Protección Universitaria sobre Derechos Humanos y perspectiva de Género</t>
  </si>
  <si>
    <t>PRDI25-29-Obj-108</t>
  </si>
  <si>
    <t>Atender anualmente a 15 000 asistentes a conferencias, foros y charlas, relacionados con la pertenencia universitaria</t>
  </si>
  <si>
    <t>Atender anualmente a asistentes a conferencias, foros y charlas, relacionados con la pertenencia universitaria</t>
  </si>
  <si>
    <t>Contar anualmente con 8 500 asistentes a visitas guiadas</t>
  </si>
  <si>
    <t>Contar con  asistentes a visitas guiadas</t>
  </si>
  <si>
    <t>Lograr que 100% de los espacios universitarios con cronista cuente con una nueva crónica sobre la historia de su espacio, al final de la administración</t>
  </si>
  <si>
    <t>Consolidar el diálogo, la participación y transparencia en la vida institucional, mediante la gestión colaborativa, corresponsable y cercana para incrementar el sentido de pertenencia, construyendo la memoria colectiva y la historia institucional, articular la expresión artística y cultural, la seguridad y el deporte en favor de la comunidad universitaria.</t>
  </si>
  <si>
    <t>Fortalecer la autoprotección y los protocolos de reacción para salvaguardar la seguridad de la comunidad universitaria.</t>
  </si>
  <si>
    <t>Capacitar a elementos del personal de Seguridad y Protección Universitaria en materia de perspectiva de género y atención prioritaria a grupos vulnerables para garantizar una atención oportuna.</t>
  </si>
  <si>
    <t>Preservar entre las y los universitarios una pertenencia universitaria fortalecida, así como la valoración y difusión de contenidos promocionales para consolidar productos editoriales y publicaciones sobre la historia y el acontecer universitario, para impulsar el orgullo de pertenencia.</t>
  </si>
  <si>
    <t>Contar con una nueva crónica sobre la historia del espacio universitario</t>
  </si>
  <si>
    <t>PRDI25-29-Obj-50</t>
  </si>
  <si>
    <t>Lograr que las finanzas universitarias se administren con integridad, transparencia y eficiencia, mediante la implementación de un presupuesto responsable que contribuya a la sostenibilidad institucional bajo los principios de austeridad, equidad y visión estratégica.</t>
  </si>
  <si>
    <t>PRDI25-29-Obj-117</t>
  </si>
  <si>
    <t>Implementar anualmente 1 programa institucional que fortalezca la generación de ingresos extraordinarios</t>
  </si>
  <si>
    <t>Implementar un programa institucional que fortalezca la generación de ingresos extraordinarios</t>
  </si>
  <si>
    <t>Potenciar de manera eficiente, transparente y sostenible la generación de recursos extraordinarios alternos para que contribuyan a fortalecer las funciones sustantivas y adjetivas de la Universidad.</t>
  </si>
  <si>
    <t>PRDI25-29-Obj-52</t>
  </si>
  <si>
    <t>Fortalecer una cultura universitaria incluyente, equitativa y libre de discriminación mediante la implementación de acciones integrales de reconocimiento, atención y prevención, que incorporen la perspectiva de diversidad, género y cuidados.</t>
  </si>
  <si>
    <t>PRDI2025-2029-Obj-74</t>
  </si>
  <si>
    <t>(Número de estudiantes sensibilizados / Total del estudiantado)*100</t>
  </si>
  <si>
    <t>Número de estudiantes sensibilizados</t>
  </si>
  <si>
    <t>Total del estudiantado</t>
  </si>
  <si>
    <t>PRDI25-29-Obj-122</t>
  </si>
  <si>
    <t>Difundir 3 materiales de divulgación al año (guías, cartillas y manuales) orientados a promover el respeto y reconocimiento de las identidades entre la comunidad universitaria</t>
  </si>
  <si>
    <t>Difundir materiales de divulgación (guías, cartillas y manuales) orientados a promover el respeto y reconocimiento de las identidades entre la comunidad universitaria</t>
  </si>
  <si>
    <t>PRDI25-29-Obj-124</t>
  </si>
  <si>
    <t>Incrementar a 4.90% los proyectos de investigación en materia de cultura de paz y estudios de género respecto al total de proyectos de investigación, para 2029</t>
  </si>
  <si>
    <t>(Proyectos de investigación en materia de cultura de paz y estudios de género/Total de proyectos de investigación)*100</t>
  </si>
  <si>
    <t>Proyectos de investigación en materia de cultura de paz y estudios de género</t>
  </si>
  <si>
    <t>Total de proyectos de investigación</t>
  </si>
  <si>
    <t>Implementar 2 eventos socioculturales al año con temáticas de inclusión y vulnerabilidad</t>
  </si>
  <si>
    <t>Implementar eventos socioculturales con temáticas de inclusión y vulnerabilidad</t>
  </si>
  <si>
    <t>Realizar 1 actividad anual sobre equidad social y de género</t>
  </si>
  <si>
    <t>Realizar actividades sobre equidad social y de género</t>
  </si>
  <si>
    <t>PRDI25-29-Obj-125</t>
  </si>
  <si>
    <t>Implementar 4 programas de sensibilización al año en temas de corresponsabilidad y autocuidado</t>
  </si>
  <si>
    <t>Implementar programas de sensibilización en temas de corresponsabilidad y autocuidado</t>
  </si>
  <si>
    <t>Realizar anualmente 10 talleres articulados que fortalezcan el Programa Universitario de Bienestar Integral</t>
  </si>
  <si>
    <t>Realizar talleres articulados que fortalezcan el Programa Universitario de Bienestar Integral</t>
  </si>
  <si>
    <t xml:space="preserve">Actividad </t>
  </si>
  <si>
    <t>Certificar anualmente a 10% del personal académico, administrativo de confianza y directivo en materia de bienestar integral</t>
  </si>
  <si>
    <t>Fortalecer la igualdad y la inclusión entre la comunidad universitaria para reconocer y respetar la diversidad social.</t>
  </si>
  <si>
    <t>Mejorar los mecanismos y las prácticas institucionales para generar entornos libres de discriminación.</t>
  </si>
  <si>
    <t>Impulsar programas de apoyo dirigidos a grupos en situación de vulnerabilidad, para fomentar su inclusión, desarrollo académico y laboral dentro de la Universidad.</t>
  </si>
  <si>
    <t>Incorporar la perspectiva de cuidados y corresponsabilidad en los procesos institucionales para garantizar entornos seguros en los espacios universitarios.</t>
  </si>
  <si>
    <t>PRDI25-29-Obj-53</t>
  </si>
  <si>
    <t>Promover la construcción de una cultura de paz en la comunidad universitaria, 
mediante estrategias educativas, participativas y de sensibilización que fortalezcan 
la convivencia armónica y el respeto a los derechos humanos.</t>
  </si>
  <si>
    <t>PRDI25-29-Obj-126</t>
  </si>
  <si>
    <t>Generar capacidades individuales y colectivas para la gestión pacífica de los 
conflictos, la convivencia respetuosa y la prevención de situaciones de violencia 
entre la comunidad universitaria.</t>
  </si>
  <si>
    <t>Certificar anualmente a 10.03% del personal académico, administrativo de confianza y directivo, en competencias básicas de mediación, gestión pacífica de conflictos y atención a las violencias</t>
  </si>
  <si>
    <t>Involucrar a 400 estudiantes en actividades comunitarias, proyectos de intervención social y programas extracurriculares orientados a la construcción de paz durante la administración</t>
  </si>
  <si>
    <t xml:space="preserve">Involucrar  a estudiantes en actividades comunitarias, proyectos de intervención social y programas extracurriculares orientados a la construcción de paz </t>
  </si>
  <si>
    <t>PRDI25-29-Obj-127</t>
  </si>
  <si>
    <t>Fomentar una cultura institucional de respeto e igualdad para prevenir conductas 
violentas dentro de los espacios universitarios.</t>
  </si>
  <si>
    <t>Lograr que 100% de los espacios académicos, realicen actividades culturales con temáticas de igualdad de género y cultura de paz, durante la administración</t>
  </si>
  <si>
    <t xml:space="preserve">Realizar 2 campañas anuales para difundir los protocolos institucionales de atención y prevención de violencias a toda la comunidad universitaria </t>
  </si>
  <si>
    <t xml:space="preserve">Realizar campañas para difundir los protocolos institucionales de atención y prevención de violencias a toda la comunidad universitaria </t>
  </si>
  <si>
    <t>PRDI25-29-Obj-128</t>
  </si>
  <si>
    <t>Evaluar el impacto de las acciones implementadas para medir los avances 
en la construcción de una cultura de paz y la transformación de las relaciones 
interpersonales e institucionales.</t>
  </si>
  <si>
    <t>Lograr la participación de 40% de la comunidad universitaria en actividades y programas que promuevan la convivencia pacífica, la inclusión y el respeto, durante la administración</t>
  </si>
  <si>
    <t>(Número de participantes  en actividades y programas que promuevan la convivencia pacífica, la inclusión y el respeto/Número de integrantes de la comunidad universitaria)*100</t>
  </si>
  <si>
    <t>Número de participantes  en actividades y programas que promuevan la convivencia pacífica, la inclusión y el respeto</t>
  </si>
  <si>
    <t>Número de integrantes de la comunidad universitaria</t>
  </si>
  <si>
    <t>PRDI25-29-Obj-75</t>
  </si>
  <si>
    <t>Fortalecer la educación para la paz, la no violencia y los derechos humanos para 
lograr la convivencia pacífica en los espacios universitarios.</t>
  </si>
  <si>
    <t>Realizar 1 jornada anual sobre los 16 días de activismo con diversas actividades (conferencias, talleres, capacitaciones) presenciales y virtuales en los diversos espacios de la universidad</t>
  </si>
  <si>
    <t>Realizar jornadas sobre los 16 días de activismo con diversas actividades (conferencias, talleres, capacitaciones) presenciales y virtuales en los diversos espacios de la universidad</t>
  </si>
  <si>
    <t>Publicar 30 contenidos anuales en las redes sociales oficiales sobre temas que promuevan la igualdad sustantiva, la prevención de las violencias, la inclusión, el cuidado y la cultura de paz</t>
  </si>
  <si>
    <t>Publicar contenidos en las redes sociales oficiales sobre temas que promuevan la igualdad sustantiva, la prevención de las violencias, la inclusión, el cuidado y la cultura de paz</t>
  </si>
  <si>
    <t>Realizar actividades culturales con temáticas de igualdad de género y cultura de paz</t>
  </si>
  <si>
    <t>PRDI25-29-Obj-54</t>
  </si>
  <si>
    <t>Fomentar la vinculación estratégica de la Universidad con los sectores social, productivo y gubernamental, para el desarrollo de proyectos inclusivos y sostenibles, que favorezcan el desarrollo humano y la salud; fomenten las competencias profesionales; promuevan la conciencia ética, motiven la responsabilidad social, el interés colectivo; y sean promotores del desarrollo tecnológico y la innovación.</t>
  </si>
  <si>
    <t>PRDI2025-2029-Obj-76</t>
  </si>
  <si>
    <t>Coordinar cada año 15 eventos de emprendimiento con los responsables del Programa Emprendedor de todos los espacios académicos</t>
  </si>
  <si>
    <t>Coordinar eventos de emprendimiento con los responsables del Programa Emprendedor de todos los espacios académicos</t>
  </si>
  <si>
    <t>Realizar 8 pláticas o talleres al año para desarrollar proyectos de negocio, innovación y desarrollo tecnológico, dirigidos a la comunidad universitaria y abiertos a la sociedad en general</t>
  </si>
  <si>
    <t>Realizar pláticas o talleres para desarrollar proyectos de negocio, innovación y desarrollo tecnológico, dirigidos a la comunidad universitaria y abiertos a la sociedad en general</t>
  </si>
  <si>
    <t>PRDI25-29-Obj-129</t>
  </si>
  <si>
    <t xml:space="preserve">Capacitar al año a 250 universitarios y público en general en temas relacionados con la economía social y solidaria </t>
  </si>
  <si>
    <t xml:space="preserve">Capacitar a universitarios y público en general en temas relacionados con la economía social y solidaria </t>
  </si>
  <si>
    <t>Atender 40 proyectos de economía social y solidaria en el territorio mexiquense al cierre de la administración</t>
  </si>
  <si>
    <t xml:space="preserve">Atender proyectos de economía social y solidaria en el territorio mexiquense </t>
  </si>
  <si>
    <t>Ejecutar 6 colaboraciones de impacto social con organizaciones locales o sectores productivos de mediano y largo plazo durante la administración</t>
  </si>
  <si>
    <t xml:space="preserve">Ejecutar colaboraciones de impacto social con organizaciones locales o sectores productivos de mediano y largo plazo </t>
  </si>
  <si>
    <t>Lograr cada año la participación de 35 espacios académicos en servicios comunitarios de beneficio social y proyectos de Brigadas Universitarias Multidisciplinarias (BUM TUAEMEX)</t>
  </si>
  <si>
    <t>Lograr  la participación de espacios académicos en servicios comunitarios de beneficio social y proyectos de Brigadas Universitarias Multidisciplinarias (BUM TUUAEMEX)</t>
  </si>
  <si>
    <t>PRDI25-29-Obj-130</t>
  </si>
  <si>
    <t>PRDI25-29-Obj-130 -Impulsar la colaboración con instancias de los sectores público y privado para fortalecer el desarrollo de competencias profesionales, transversales y complementarias en el estudiantado, favorecer su empleabilidad y contribuir al progreso socialmente responsable.</t>
  </si>
  <si>
    <t>Incrementar 5% al año la participación de universitarios en el Programa de Competencias Laborales</t>
  </si>
  <si>
    <t>((Número de universitarios participantes en el programa de competencias laborales en el año actual/Número de universitarios participantes en el programa de competencias laborales en el año anterior)-1)*100</t>
  </si>
  <si>
    <t>Número de universitarios participantes en el programa de competencias laborales en el año actual</t>
  </si>
  <si>
    <t>Número de universitarios participantes en el programa de competencias laborales en el año anterior</t>
  </si>
  <si>
    <t>Mantener 35 colaboraciones al año con empresas, instituciones y organizaciones para el Catálogo de descuentos universitarios</t>
  </si>
  <si>
    <t>Mantener colaboraciones con empresas, instituciones y organizaciones para el Catálogo de descuentos universitarios</t>
  </si>
  <si>
    <t>PRDI25-29-Obj-131</t>
  </si>
  <si>
    <t>Fortalecer la formación, evaluación y certificación lingüística para impulsar la empleabilidad, la movilidad académica y la proyección cultural de la comunidad universitaria y la sociedad.</t>
  </si>
  <si>
    <t>Aperturar anualmente 1 grupo de lenguas originarias en algún espacio universitario, CELE o extensión de CELE</t>
  </si>
  <si>
    <t>Aperturar grupos de lenguas originarias en algún espacio universitario, CELE o extensión de CELE</t>
  </si>
  <si>
    <t>PRDI25-29-Obj-132</t>
  </si>
  <si>
    <t>PRDI25-29-Obj-132 -Fortalecer la promoción, prevención y atención a la salud de primer nivel para mejorar el bienestar integral y la calidad de vida de la comunidad universitaria y la sociedad mexiquense.</t>
  </si>
  <si>
    <t>Lograr que 100% de los espacios académicos cuenten con servicios de Atención Psicológica al cierre de la administración</t>
  </si>
  <si>
    <t>PRDI25-29-Obj-55</t>
  </si>
  <si>
    <t>Promover una comunicación social efectiva y cercana que fortalezca la identidad institucional de la uaemex, impulsando la inclusión y el diálogo abierto con toda la comunidad universitaria y la sociedad, a fin de difundir y consolidar valores que contribuyan al desarrollo académico, cultural y social.</t>
  </si>
  <si>
    <t>PRDI25-29-Obj-77</t>
  </si>
  <si>
    <t>Impulsar canales efectivos de comunicación que faciliten el diálogo continuo con la comunidad universitaria, promoviendo la participación, la difusión de logros y el empleo de plataformas tecnológicas modernas.</t>
  </si>
  <si>
    <t>Realizar 3 campañas anuales que promuevan los valores universitarios de cercanía, inclusión y progresismo tanto en medios impresos como digitales</t>
  </si>
  <si>
    <t>PRDI25-29-Obj-56</t>
  </si>
  <si>
    <t>PRDI25-29-Obj-56 -Fortalecer una cultura de respeto mediante la educación ambiental, que permita la conservación y protección del medio ambiente entre la comunidad universitaria, para alcanzar el desarrollo sostenible.</t>
  </si>
  <si>
    <t>PRDI2025-2029-Obj-78</t>
  </si>
  <si>
    <t>PRDI2025-2029-Obj-78 -Impulsar acciones sustentables para reducir el impacto negativo en el medio ambiente, ocasionado por las funciones sustantivas y adjetivas de la Institución.</t>
  </si>
  <si>
    <t>Establecer 1 programa de reducción del uso de unicel y desechables</t>
  </si>
  <si>
    <t>Establecer un programa de reducción del uso de unicel y desechables</t>
  </si>
  <si>
    <t>Operar anualmente 1 campaña de acopio de residuos de aceite vegetal-comestible generado en las cafeterías de los espacios académicos y cocinas de la Licenciatura en Gastronomía</t>
  </si>
  <si>
    <t>Realizar anualmente 1 campaña institucional de reforestación que incluya las 4 regiones con presencia universitaria</t>
  </si>
  <si>
    <t>Realizar campañas institucionales de reforestación que incluya las regiones con presencia universitaria</t>
  </si>
  <si>
    <t>Operar anualmente 1 programa de mantenimiento y fortalecimiento de huertos universitarios</t>
  </si>
  <si>
    <t>Operar un programa de mantenimiento y fortalecimiento de huertos universitarios</t>
  </si>
  <si>
    <t>Lograr que 100% de los espacios académicos operen el Plan Institucional de Manejo de Residuos Sólidos Urbanos a 2029</t>
  </si>
  <si>
    <t>Promover en 22 espacios académicos el proceso de compostaje de los residuos orgánicos de poda y jardinería a 2029</t>
  </si>
  <si>
    <t xml:space="preserve">Promover en espacios académicos el proceso de compostaje de los residuos orgánicos de poda y jardinería </t>
  </si>
  <si>
    <t>PRDI25-29-Obj-135</t>
  </si>
  <si>
    <t>PRDI25-29-Obj-135 -Formar agentes universitarios de cambio comprometidos para la construcción de un medio ambiente sostenible.</t>
  </si>
  <si>
    <t>Capacitar anualmente a 1 736 estudiantes de nivel superior en temas de sustentabilidad</t>
  </si>
  <si>
    <t>Capacitar a estudiantes de nivel superior en temas de sustentabilidad</t>
  </si>
  <si>
    <t>Capacitar a 1 034 integrantes del personal docente en temas de sustentabilidad a 2029</t>
  </si>
  <si>
    <t>Capacitar a académicos en temas de sustentabilidad</t>
  </si>
  <si>
    <t>Capacitar a 2 115 integrantes del personal administrativo en temas de sustentabilidad a 2029</t>
  </si>
  <si>
    <t>Capacitar a administrativos en temas de sustentabilidad</t>
  </si>
  <si>
    <t>PRDI25-29-Obj-136</t>
  </si>
  <si>
    <t>PRDI25-29-Obj-136 -Desarrollar una cultura de sustentabilidad, aplicable a las funciones adjetivas y sustantivas de la Universidad para contribuir al uso eficiente de los recursos.</t>
  </si>
  <si>
    <t>Implementar 1 programa de cuidado y ahorro de agua en 100% de los espacios universitarios a 2029</t>
  </si>
  <si>
    <t>Ejecutar anualmente 1 programa institucional de eficiencia energética</t>
  </si>
  <si>
    <t>Ejecutar el programa institucional de eficiencia energética</t>
  </si>
  <si>
    <t>Efectuar anualmente 1 programa institucional de reducción de uso de papel</t>
  </si>
  <si>
    <t>Efectua rel  programa institucional de reducción de uso de papel</t>
  </si>
  <si>
    <t>N.P.</t>
  </si>
  <si>
    <t xml:space="preserve">Contar con el Servicio de Atención Psicologíca </t>
  </si>
  <si>
    <t>Impulsar la colaboración con instancias de los sectores público y privado para fortalecer el desarrollo de competencias profesionales, transversales y complementarias en el estudiantado, favorecer su empleabilidad y contribuir al progreso socialmente responsable.</t>
  </si>
  <si>
    <t>Promover el desarrollo humano, económico, social y medioambiental de las comunidades, especialmente de los grupos sociales minoritarios o vulnerables, a partir de la intervención universitaria, inter y multidisciplinaria.</t>
  </si>
  <si>
    <t>Fortalecer las competencias emprendedoras y empresariales de la comunidad universitaria y la sociedad en general, para la creación y consolidación de proyectos innovadores, sostenibles y de alto impacto que contribuyan al desarrollo regional.</t>
  </si>
  <si>
    <t xml:space="preserve">Operar campañas de acopio de residuos de aceite vegetal-comestible generado en las cafeterías de los espacios académicos </t>
  </si>
  <si>
    <t xml:space="preserve"> Implementar un programa de cuidado y ahorro de agua</t>
  </si>
  <si>
    <t>Operar el plan de manejo de residuos sólidos urbano</t>
  </si>
  <si>
    <t>I. Estudiantado con oportunidades para su pleno desarrollo 
personal</t>
  </si>
  <si>
    <t>II. Investigación y desarrollo académico de calidad y equidad</t>
  </si>
  <si>
    <t>III. Cultura y deporte para el desarrollo integral de la comunidad universitaria</t>
  </si>
  <si>
    <t>IV. Dignificación del personal académico y administrativo</t>
  </si>
  <si>
    <t>V. Gestión y administración universitaria al servicio de la comunidad</t>
  </si>
  <si>
    <t>VI. Incidencia y reconocimiento social</t>
  </si>
  <si>
    <t xml:space="preserve">         2. Estudiantado con oportunidades para su pleno desarrollo y pertinencia en los estudios profesionales</t>
  </si>
  <si>
    <t>Num Progresivo de meta</t>
  </si>
  <si>
    <t xml:space="preserve">         3. Estudios avanzados de excelencia y pertinencia social</t>
  </si>
  <si>
    <t xml:space="preserve">         4. Investigación abierta, inclusiva, equitativa y de calidad</t>
  </si>
  <si>
    <t xml:space="preserve">      8 Deporte universitario</t>
  </si>
  <si>
    <t xml:space="preserve">     9 Fortalecimiento de la formación integral del docente</t>
  </si>
  <si>
    <t xml:space="preserve">     10 Dignificación de las y los trabajadores universitarios</t>
  </si>
  <si>
    <t xml:space="preserve">     18 Reconocimiento de la diversidad social en la universidad</t>
  </si>
  <si>
    <t xml:space="preserve">     19 Construcción de una cultura de paz</t>
  </si>
  <si>
    <t xml:space="preserve">     20 Retribución social a través de trabajos colaborativos con la sociedad mexiquense</t>
  </si>
  <si>
    <t>Proyecto</t>
  </si>
  <si>
    <t>Método de cálculo
(sólo si la meta es un indicador)</t>
  </si>
  <si>
    <t>Nombre de las variables
(sólo si la meta es un indicador)</t>
  </si>
  <si>
    <t>Clave de la meta</t>
  </si>
  <si>
    <t>ACT-PRDI-NS-2726</t>
  </si>
  <si>
    <t>ACT-PRDI-NS-2727</t>
  </si>
  <si>
    <t>IND-NS-210</t>
  </si>
  <si>
    <t>IND-PRDI-351</t>
  </si>
  <si>
    <t>IND-PRDI-200</t>
  </si>
  <si>
    <t>ACT-PRDI-NS-2781</t>
  </si>
  <si>
    <t>ACT-PRDI-NS-2785</t>
  </si>
  <si>
    <t>IND-PRDI-353</t>
  </si>
  <si>
    <t>ACT-PRDI-NS-2789</t>
  </si>
  <si>
    <t>ACT-PRDI-NS-2729</t>
  </si>
  <si>
    <t>ACT-PRDI-NS-2792</t>
  </si>
  <si>
    <t>IND-PRDI-357</t>
  </si>
  <si>
    <t>ACT-PRDI-NS-2728</t>
  </si>
  <si>
    <t>ACT-PRDI-NS-2805</t>
  </si>
  <si>
    <t>ACT-PRDI-NS-2205</t>
  </si>
  <si>
    <t>ACT-PRDI-NS-1764</t>
  </si>
  <si>
    <t>IND-PRDI-40</t>
  </si>
  <si>
    <t>ACT-PRDI-NS-2814</t>
  </si>
  <si>
    <t>IND-NS-127</t>
  </si>
  <si>
    <t>IND-PRDI-34</t>
  </si>
  <si>
    <t>ACT-PRDI-NS-2297</t>
  </si>
  <si>
    <t>IND-PRDI-366</t>
  </si>
  <si>
    <t>ACT-PRDI-NS-2285</t>
  </si>
  <si>
    <t>ACT-PRDI-NS-2826</t>
  </si>
  <si>
    <t>ACT-PRDI-NS-2825</t>
  </si>
  <si>
    <t>ACT-PRDI-NS-2753</t>
  </si>
  <si>
    <t>ACT-PRDI-NS-2838</t>
  </si>
  <si>
    <t>ACT-PRDI-NS-2685</t>
  </si>
  <si>
    <t>ACT-PRDI-NS-2844</t>
  </si>
  <si>
    <t>ACT-PRDI-NS-2847</t>
  </si>
  <si>
    <t>ACT-PRDI-NS-2848</t>
  </si>
  <si>
    <t>ACT-PRDI-NS-2849</t>
  </si>
  <si>
    <t>IND-PRDI-365</t>
  </si>
  <si>
    <t>ACT-PRDI-NS-2870</t>
  </si>
  <si>
    <t>IND-PRDI-221</t>
  </si>
  <si>
    <t> IND-PRDI-368</t>
  </si>
  <si>
    <t>IND-PRDI-370</t>
  </si>
  <si>
    <t>ACT-PRDI-NS-2854</t>
  </si>
  <si>
    <t>ACT-PRDI-NS-2858</t>
  </si>
  <si>
    <t>IND-PRDI-367</t>
  </si>
  <si>
    <t>IND-PRDI-225</t>
  </si>
  <si>
    <t>ACT-PRDI-NS-2875</t>
  </si>
  <si>
    <t>ACT-PRDI-NS-2881</t>
  </si>
  <si>
    <t>ACT-PRDI-NS-2890</t>
  </si>
  <si>
    <t>ACT-PRDI-NS-2897</t>
  </si>
  <si>
    <t>ACT-PRDI-NS-2899</t>
  </si>
  <si>
    <t>ACT-PRDI-NS-1816</t>
  </si>
  <si>
    <t>ACT-PRDI-NS-3195</t>
  </si>
  <si>
    <t>ACT-PRDI-NS-3200</t>
  </si>
  <si>
    <t>ACT-PRDI-NS-3202</t>
  </si>
  <si>
    <t>ACT-PRDI-NS-3205</t>
  </si>
  <si>
    <t>ACT-PRDI-NS-2746</t>
  </si>
  <si>
    <t>IND-PRDI-372</t>
  </si>
  <si>
    <t>IND-PRDI-374</t>
  </si>
  <si>
    <t>IND-PRDI-377</t>
  </si>
  <si>
    <t>ACT-PRDI-NS-2909</t>
  </si>
  <si>
    <t>IND-NS-212</t>
  </si>
  <si>
    <t>IND-PRDI-371</t>
  </si>
  <si>
    <t>IND-PRDI-373</t>
  </si>
  <si>
    <t> IND-PRDI-375</t>
  </si>
  <si>
    <t>IND-PRDI-376</t>
  </si>
  <si>
    <t>ACT-PRDI-NS-2923</t>
  </si>
  <si>
    <t>ACT-PRDI-NS-2926</t>
  </si>
  <si>
    <t xml:space="preserve">IND-PRDI-47 </t>
  </si>
  <si>
    <t>ACT-PRDI-NS-2927</t>
  </si>
  <si>
    <t>ACT-PRDI-NS-2928</t>
  </si>
  <si>
    <t> IND-PRDI-378</t>
  </si>
  <si>
    <t>IND-PRDI-380</t>
  </si>
  <si>
    <t> IND-PRDI-382</t>
  </si>
  <si>
    <t>ACT-PRDI-NS-2743</t>
  </si>
  <si>
    <t>ACT-PRDI-NS-2957</t>
  </si>
  <si>
    <t>ACT-PRDI-NS-2968</t>
  </si>
  <si>
    <t xml:space="preserve">Dar mantenimiento preventivo a equipos de salas de cómputo </t>
  </si>
  <si>
    <t>ACT-PRDI-NS-3242</t>
  </si>
  <si>
    <t>ACT-PRDI-NS-2980</t>
  </si>
  <si>
    <t>ACT-PRDI-NS-2982</t>
  </si>
  <si>
    <t>ACT-PRDI-NS-2748</t>
  </si>
  <si>
    <t>ACT-PRDI-NS-2983</t>
  </si>
  <si>
    <t>ACT-PRDI-NS-2984</t>
  </si>
  <si>
    <t>ACT-PRDI-NS-2749</t>
  </si>
  <si>
    <t>ACT-PRDI-NS-2992</t>
  </si>
  <si>
    <t>ACT-PRDI-NS-3243</t>
  </si>
  <si>
    <t xml:space="preserve"> ACT-PRDI-NS-2763</t>
  </si>
  <si>
    <t>ACT-PRDI-NS-3075</t>
  </si>
  <si>
    <t>IND-PRDI-407</t>
  </si>
  <si>
    <t>ACT-PRDI-NS-3081</t>
  </si>
  <si>
    <t>ACT-PRDI-NS-3087</t>
  </si>
  <si>
    <t xml:space="preserve"> ACT-PRDI-NS-2767</t>
  </si>
  <si>
    <t>ACT-PRDI-NS-3097</t>
  </si>
  <si>
    <t>ACT-PRDI-NS-3188</t>
  </si>
  <si>
    <t>ACT-PRDI-NS-3189</t>
  </si>
  <si>
    <t>IND-PRDI-420</t>
  </si>
  <si>
    <t>ACT-PRDI-NS-2766</t>
  </si>
  <si>
    <t>ACT-PRDI-NS-3178</t>
  </si>
  <si>
    <t>ACT-PRDI-NS-3103</t>
  </si>
  <si>
    <t>ACT-PRDI-NS-3107</t>
  </si>
  <si>
    <t>ACT-PRDI-NS-3113</t>
  </si>
  <si>
    <t>ACT-PRDI-NS-2755</t>
  </si>
  <si>
    <t>ACT-PRDI-NS-3115</t>
  </si>
  <si>
    <t>ACT-PRDI-NS-3116</t>
  </si>
  <si>
    <t>IND-PRDI-410</t>
  </si>
  <si>
    <t>ACT-PRDI-NS-3125</t>
  </si>
  <si>
    <t>ACT-PRDI-NS-3135</t>
  </si>
  <si>
    <t>ACT-PRDI-NS-3245</t>
  </si>
  <si>
    <t>ACT-PRDI-NS-3244</t>
  </si>
  <si>
    <t>ACT-PRDI-NS-2723</t>
  </si>
  <si>
    <t>ACT-PRDI-NS-3247</t>
  </si>
  <si>
    <t>ACT-PRDI-NS-3248</t>
  </si>
  <si>
    <t>ACT-PRDI-NS-3154</t>
  </si>
  <si>
    <t>ACT-PRDI-NS-3155</t>
  </si>
  <si>
    <t>ACT-PRDI-NS-3157</t>
  </si>
  <si>
    <t>ACT-PRDI-NS-3161</t>
  </si>
  <si>
    <t>ACT-PRDI-NS-3163</t>
  </si>
  <si>
    <t>ACT-PRDI-NS-2747</t>
  </si>
  <si>
    <t>ACT-PRDI-NS-2392</t>
  </si>
  <si>
    <t>ACT-PRDI-NS-2391</t>
  </si>
  <si>
    <t>ACT-PRDI-NS-3170</t>
  </si>
  <si>
    <t>ACT-PRDI-NS-3171</t>
  </si>
  <si>
    <t>Lograr que 50% de personal académico de nivel superior se capacite en el desarrollo de competencias didácticas y digitales a 2029</t>
  </si>
  <si>
    <t>IND-PRDI-431</t>
  </si>
  <si>
    <t>Sensibilizar durante la administración a 40% de estudiantado de estudios profesionales en temas de inclusión a grupos históricamente vulnerados</t>
  </si>
  <si>
    <t>ACT-PRDI-NS-3193</t>
  </si>
  <si>
    <t>2 EstudiantadoEstProf</t>
  </si>
  <si>
    <t>3 Est avanzados excelencia</t>
  </si>
  <si>
    <t>4 Investigación abierta</t>
  </si>
  <si>
    <t>5 Innovación, desarrollo tec</t>
  </si>
  <si>
    <t>6 Dif y divulga de la ciencia</t>
  </si>
  <si>
    <t>7 Cultura desarrollo integral</t>
  </si>
  <si>
    <t>8 Deporte universitario</t>
  </si>
  <si>
    <t>9 Fortalecimiento docente</t>
  </si>
  <si>
    <t>10 Dignificación las y los trab</t>
  </si>
  <si>
    <t>11 Gestión administrativa</t>
  </si>
  <si>
    <t>12 Fortalecimiento tecnológico</t>
  </si>
  <si>
    <t>13 Gobernanza</t>
  </si>
  <si>
    <t>16 Manejo recursos universitari</t>
  </si>
  <si>
    <t>18 Reconocimiento de la diversi</t>
  </si>
  <si>
    <t xml:space="preserve">19 Constr cultura de paz </t>
  </si>
  <si>
    <t xml:space="preserve">20 Retribución social </t>
  </si>
  <si>
    <t>21 Comunicación universitaria</t>
  </si>
  <si>
    <t xml:space="preserve">22 Sostenibilidad ambiental </t>
  </si>
  <si>
    <t>Actividades</t>
  </si>
  <si>
    <t>Indicadores</t>
  </si>
  <si>
    <t>Total</t>
  </si>
  <si>
    <t>Realizar campañas que promuevan los valores universitarios de cercanía, inclusión y progresismo tanto en medios impresos como digitales en apego al enfoque institucional</t>
  </si>
  <si>
    <t xml:space="preserve">         Estudiantado con oportunidades para su pleno desarrollo y pertinencia en los estudios profesionales</t>
  </si>
  <si>
    <t xml:space="preserve">        Estudios avanzados de excelencia y pertinencia social</t>
  </si>
  <si>
    <t xml:space="preserve">        Investigación abierta, inclusiva, equitativa y de calidad</t>
  </si>
  <si>
    <t xml:space="preserve">        Innovación, desarrollo tecnológico y transferencia
sostenible y equitativa</t>
  </si>
  <si>
    <t xml:space="preserve">         Difusión y divulgación de la ciencia abierta a través de bienes públicos del conocimiento</t>
  </si>
  <si>
    <t xml:space="preserve">      Cultura para el desarrollo integral de la comunidad universitaria</t>
  </si>
  <si>
    <t xml:space="preserve">     Deporte universitario</t>
  </si>
  <si>
    <t xml:space="preserve">     Fortalecimiento de la formación integral del docente</t>
  </si>
  <si>
    <t xml:space="preserve">     Dignificación de las y los trabajadores universitarios</t>
  </si>
  <si>
    <t xml:space="preserve">   Gestión administrativa para responder al quehacer universitario</t>
  </si>
  <si>
    <t xml:space="preserve">   Fortalecimiento tecnológico</t>
  </si>
  <si>
    <t xml:space="preserve">   Gobernanza</t>
  </si>
  <si>
    <t xml:space="preserve">    Manejo de recursos universitarios con integridad, transparencia y pulcritud</t>
  </si>
  <si>
    <t xml:space="preserve">   Reconocimiento de la diversidad social en la universidad</t>
  </si>
  <si>
    <t xml:space="preserve">   Construcción de una cultura de paz</t>
  </si>
  <si>
    <t xml:space="preserve">   Retribución social a través de trabajos colaborativos con la sociedad mexiquense</t>
  </si>
  <si>
    <t xml:space="preserve">   Comunicación universitaria amplia y moderna</t>
  </si>
  <si>
    <t xml:space="preserve">   Sostenibilidad ambiental y ética ecológica</t>
  </si>
  <si>
    <t>ACT-POA-NS-2650</t>
  </si>
  <si>
    <r>
      <rPr>
        <b/>
        <sz val="11"/>
        <rFont val="Calibri"/>
        <family val="2"/>
        <scheme val="minor"/>
      </rPr>
      <t>Capacitar</t>
    </r>
    <r>
      <rPr>
        <sz val="11"/>
        <rFont val="Calibri"/>
        <family val="2"/>
        <scheme val="minor"/>
      </rPr>
      <t xml:space="preserve"> anualmente al personal académico, administrativo de confianza y directivo de nivel superior en materia de bienestar integral.</t>
    </r>
  </si>
  <si>
    <t>Ref.
2026</t>
  </si>
  <si>
    <t>ACT-POA-NS-2651</t>
  </si>
  <si>
    <r>
      <t xml:space="preserve">
</t>
    </r>
    <r>
      <rPr>
        <b/>
        <sz val="12"/>
        <rFont val="Calibri"/>
        <family val="2"/>
        <scheme val="minor"/>
      </rPr>
      <t>Capacitar</t>
    </r>
    <r>
      <rPr>
        <sz val="11"/>
        <rFont val="Calibri"/>
        <family val="2"/>
        <scheme val="minor"/>
      </rPr>
      <t xml:space="preserve"> anualmente a personal académico, administrativo de confianza y directivo del nivel superior, en competencias básicas de mediación, gestión pacífica de conflictos y atención a las violencias</t>
    </r>
  </si>
  <si>
    <t>meta fac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</si>
</sst>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9"/>
      <color rgb="FFFFFFFF"/>
      <name val="Calibri"/>
      <family val="2"/>
      <scheme val="minor"/>
    </font>
    <font>
      <b/>
      <sz val="9"/>
      <color theme="0"/>
      <name val="Calibri"/>
      <family val="2"/>
      <scheme val="minor"/>
    </font>
    <font>
      <b/>
      <sz val="11"/>
      <color theme="1"/>
      <name val="Calibri"/>
      <family val="2"/>
      <scheme val="minor"/>
    </font>
    <font>
      <sz val="8"/>
      <name val="Calibri"/>
      <family val="2"/>
      <scheme val="minor"/>
    </font>
    <font>
      <b/>
      <sz val="9"/>
      <color theme="1"/>
      <name val="Calibri Light"/>
      <family val="2"/>
      <scheme val="major"/>
    </font>
    <font>
      <sz val="9"/>
      <color theme="1"/>
      <name val="Calibri Light"/>
      <family val="2"/>
      <scheme val="major"/>
    </font>
    <font>
      <sz val="11"/>
      <name val="Calibri"/>
      <family val="2"/>
      <scheme val="minor"/>
    </font>
    <font>
      <b/>
      <sz val="11"/>
      <name val="Calibri"/>
      <family val="2"/>
      <scheme val="minor"/>
    </font>
    <font>
      <sz val="11"/>
      <color indexed="81"/>
      <name val="Tahoma"/>
      <family val="2"/>
    </font>
    <font>
      <sz val="9"/>
      <color theme="1"/>
      <name val="Calibri"/>
      <family val="2"/>
      <scheme val="minor"/>
    </font>
    <font>
      <sz val="9"/>
      <color theme="0"/>
      <name val="Calibri"/>
      <family val="2"/>
      <scheme val="minor"/>
    </font>
    <font>
      <b/>
      <sz val="9"/>
      <color theme="1"/>
      <name val="Calibri"/>
      <family val="2"/>
      <scheme val="minor"/>
    </font>
    <font>
      <b/>
      <sz val="11"/>
      <color theme="1"/>
      <name val="Calibri Light"/>
      <family val="2"/>
      <scheme val="major"/>
    </font>
    <font>
      <b/>
      <sz val="9"/>
      <color theme="1"/>
      <name val="Calibri Light"/>
      <family val="2"/>
      <scheme val="major"/>
    </font>
    <font>
      <sz val="11"/>
      <color theme="1"/>
      <name val="Calibri"/>
      <family val="2"/>
      <scheme val="minor"/>
    </font>
    <font>
      <sz val="11"/>
      <color theme="0"/>
      <name val="Calibri"/>
      <family val="2"/>
      <scheme val="minor"/>
    </font>
    <font>
      <sz val="14"/>
      <color rgb="FFFFFFFF"/>
      <name val="Calibri"/>
      <family val="2"/>
      <scheme val="minor"/>
    </font>
    <font>
      <b/>
      <sz val="14"/>
      <color theme="0"/>
      <name val="Calibri"/>
      <family val="2"/>
      <scheme val="minor"/>
    </font>
    <font>
      <sz val="11"/>
      <name val="DM Sans"/>
    </font>
    <font>
      <sz val="11"/>
      <color theme="1"/>
      <name val="DM Sans"/>
    </font>
    <font>
      <sz val="16"/>
      <color theme="1"/>
      <name val="DM Sans"/>
    </font>
    <font>
      <b/>
      <sz val="11"/>
      <color theme="1"/>
      <name val="DM Sans"/>
    </font>
    <font>
      <b/>
      <sz val="9"/>
      <color theme="1"/>
      <name val="DM Sans"/>
    </font>
    <font>
      <sz val="9"/>
      <color rgb="FFB5A36A"/>
      <name val="DM Sans"/>
    </font>
    <font>
      <b/>
      <sz val="9"/>
      <color rgb="FFB5A36A"/>
      <name val="DM Sans"/>
    </font>
    <font>
      <sz val="9"/>
      <color theme="1"/>
      <name val="DM Sans"/>
    </font>
    <font>
      <b/>
      <sz val="10"/>
      <color theme="1"/>
      <name val="DM Sans"/>
    </font>
    <font>
      <sz val="10"/>
      <color theme="1"/>
      <name val="DM Sans"/>
    </font>
    <font>
      <sz val="20"/>
      <color theme="1"/>
      <name val="DM Sans"/>
    </font>
    <font>
      <b/>
      <sz val="14"/>
      <color theme="1"/>
      <name val="DM Sans"/>
    </font>
    <font>
      <b/>
      <sz val="12"/>
      <color theme="1"/>
      <name val="DM Sans"/>
    </font>
    <font>
      <b/>
      <sz val="10"/>
      <color theme="0"/>
      <name val="Calibri"/>
      <family val="2"/>
      <scheme val="minor"/>
    </font>
    <font>
      <sz val="10"/>
      <color rgb="FFFFFFFF"/>
      <name val="Calibri"/>
      <family val="2"/>
      <scheme val="minor"/>
    </font>
    <font>
      <sz val="10"/>
      <color theme="1"/>
      <name val="Calibri"/>
      <family val="2"/>
      <scheme val="minor"/>
    </font>
    <font>
      <sz val="9"/>
      <name val="SansSerif"/>
    </font>
    <font>
      <sz val="11"/>
      <name val="SansSerif"/>
    </font>
    <font>
      <sz val="12"/>
      <color theme="1"/>
      <name val="Calibri"/>
      <family val="2"/>
      <scheme val="minor"/>
    </font>
    <font>
      <b/>
      <sz val="12"/>
      <name val="Calibri"/>
      <family val="2"/>
      <scheme val="minor"/>
    </font>
  </fonts>
  <fills count="13">
    <fill>
      <patternFill patternType="none"/>
    </fill>
    <fill>
      <patternFill patternType="gray125"/>
    </fill>
    <fill>
      <patternFill patternType="solid">
        <fgColor theme="7" tint="-0.499984740745262"/>
        <bgColor indexed="64"/>
      </patternFill>
    </fill>
    <fill>
      <patternFill patternType="solid">
        <fgColor theme="9" tint="-0.49998474074526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2"/>
        <bgColor indexed="64"/>
      </patternFill>
    </fill>
    <fill>
      <patternFill patternType="solid">
        <fgColor theme="7"/>
        <bgColor indexed="64"/>
      </patternFill>
    </fill>
    <fill>
      <patternFill patternType="solid">
        <fgColor theme="7" tint="-0.249977111117893"/>
        <bgColor indexed="64"/>
      </patternFill>
    </fill>
    <fill>
      <patternFill patternType="solid">
        <fgColor theme="9"/>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7F7F7F"/>
      </bottom>
      <diagonal/>
    </border>
    <border>
      <left/>
      <right/>
      <top style="medium">
        <color rgb="FF7F7F7F"/>
      </top>
      <bottom style="medium">
        <color rgb="FF7F7F7F"/>
      </bottom>
      <diagonal/>
    </border>
    <border>
      <left/>
      <right/>
      <top style="medium">
        <color rgb="FF7F7F7F"/>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s>
  <cellStyleXfs count="2">
    <xf numFmtId="0" fontId="0" fillId="0" borderId="0"/>
    <xf numFmtId="9" fontId="15" fillId="0" borderId="0" applyFont="0" applyFill="0" applyBorder="0" applyAlignment="0" applyProtection="0"/>
  </cellStyleXfs>
  <cellXfs count="262">
    <xf numFmtId="0" fontId="0" fillId="0" borderId="0" xfId="0"/>
    <xf numFmtId="0" fontId="0" fillId="0" borderId="0" xfId="0" applyAlignment="1">
      <alignment horizontal="center" vertical="center"/>
    </xf>
    <xf numFmtId="0" fontId="10" fillId="0" borderId="0" xfId="0" applyFont="1" applyAlignment="1">
      <alignment horizontal="center" vertical="center"/>
    </xf>
    <xf numFmtId="0" fontId="11" fillId="0" borderId="1" xfId="0" applyFont="1" applyBorder="1" applyAlignment="1">
      <alignment horizontal="center" vertical="center"/>
    </xf>
    <xf numFmtId="0" fontId="2" fillId="3" borderId="4" xfId="0" applyFont="1" applyFill="1" applyBorder="1" applyAlignment="1">
      <alignment horizontal="center" vertical="center"/>
    </xf>
    <xf numFmtId="0" fontId="1" fillId="2" borderId="1"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protection locked="0"/>
    </xf>
    <xf numFmtId="0" fontId="2" fillId="3" borderId="4" xfId="0" applyFont="1" applyFill="1" applyBorder="1" applyAlignment="1">
      <alignment horizontal="center" vertical="center" wrapText="1"/>
    </xf>
    <xf numFmtId="0" fontId="10" fillId="0" borderId="1" xfId="0" applyFont="1" applyBorder="1" applyAlignment="1" applyProtection="1">
      <alignment horizontal="center" vertical="center"/>
      <protection locked="0"/>
    </xf>
    <xf numFmtId="0" fontId="10" fillId="0" borderId="1" xfId="0" applyFont="1" applyBorder="1" applyAlignment="1" applyProtection="1">
      <alignment horizontal="left" vertical="top"/>
      <protection locked="0"/>
    </xf>
    <xf numFmtId="0" fontId="10" fillId="0" borderId="0" xfId="0" applyFont="1" applyAlignment="1">
      <alignment horizontal="left" vertical="top"/>
    </xf>
    <xf numFmtId="0" fontId="11" fillId="0" borderId="0" xfId="0" applyFont="1" applyAlignment="1">
      <alignment horizontal="left" vertical="top"/>
    </xf>
    <xf numFmtId="0" fontId="10" fillId="0" borderId="0" xfId="0" applyFont="1" applyAlignment="1">
      <alignment horizontal="left" vertical="center"/>
    </xf>
    <xf numFmtId="0" fontId="10" fillId="0" borderId="0" xfId="0" applyFont="1" applyAlignment="1">
      <alignment horizontal="left" vertical="top" wrapText="1"/>
    </xf>
    <xf numFmtId="0" fontId="0" fillId="0" borderId="0" xfId="0" applyAlignment="1">
      <alignment horizontal="center"/>
    </xf>
    <xf numFmtId="0" fontId="6" fillId="0" borderId="8" xfId="0" applyFont="1" applyBorder="1" applyAlignment="1">
      <alignment horizontal="left" vertical="top" wrapText="1"/>
    </xf>
    <xf numFmtId="0" fontId="7" fillId="0" borderId="1" xfId="0" applyFont="1" applyBorder="1" applyAlignment="1" applyProtection="1">
      <alignment horizontal="left" vertical="top" wrapText="1"/>
      <protection locked="0"/>
    </xf>
    <xf numFmtId="0" fontId="7" fillId="0" borderId="1" xfId="0" applyFont="1" applyBorder="1" applyAlignment="1" applyProtection="1">
      <alignment vertical="center" wrapText="1"/>
      <protection locked="0"/>
    </xf>
    <xf numFmtId="0" fontId="7" fillId="0" borderId="1" xfId="0" applyFont="1" applyBorder="1" applyAlignment="1" applyProtection="1">
      <alignment horizontal="center" vertical="center"/>
      <protection locked="0"/>
    </xf>
    <xf numFmtId="0" fontId="7" fillId="0" borderId="1" xfId="0" applyFont="1" applyBorder="1" applyAlignment="1" applyProtection="1">
      <alignment vertical="top" wrapText="1"/>
      <protection locked="0"/>
    </xf>
    <xf numFmtId="0" fontId="7" fillId="0" borderId="1" xfId="0" applyFont="1" applyBorder="1" applyAlignment="1" applyProtection="1">
      <alignment wrapText="1"/>
      <protection locked="0"/>
    </xf>
    <xf numFmtId="0" fontId="3" fillId="0" borderId="1" xfId="0" applyFont="1" applyBorder="1" applyAlignment="1" applyProtection="1">
      <alignment horizontal="center" vertical="center"/>
      <protection locked="0"/>
    </xf>
    <xf numFmtId="0" fontId="0" fillId="0" borderId="0" xfId="0" applyAlignment="1">
      <alignment horizontal="left" vertical="top"/>
    </xf>
    <xf numFmtId="0" fontId="0" fillId="0" borderId="0" xfId="0" applyAlignment="1">
      <alignment vertical="top"/>
    </xf>
    <xf numFmtId="0" fontId="0" fillId="0" borderId="0" xfId="0" applyAlignment="1">
      <alignment horizontal="left" vertical="center"/>
    </xf>
    <xf numFmtId="0" fontId="0" fillId="0" borderId="1" xfId="0" applyBorder="1" applyAlignment="1" applyProtection="1">
      <alignment horizontal="center" vertical="center"/>
      <protection locked="0"/>
    </xf>
    <xf numFmtId="0" fontId="0" fillId="0" borderId="1" xfId="0" applyBorder="1" applyProtection="1">
      <protection locked="0"/>
    </xf>
    <xf numFmtId="0" fontId="0" fillId="0" borderId="0" xfId="0" applyProtection="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pplyProtection="1">
      <alignment horizontal="center" vertical="center"/>
      <protection locked="0"/>
    </xf>
    <xf numFmtId="0" fontId="0" fillId="0" borderId="0" xfId="0" applyAlignment="1">
      <alignment wrapText="1"/>
    </xf>
    <xf numFmtId="2" fontId="0" fillId="0" borderId="0" xfId="0" applyNumberFormat="1"/>
    <xf numFmtId="0" fontId="20" fillId="0" borderId="0" xfId="0" applyFont="1"/>
    <xf numFmtId="14" fontId="21" fillId="0" borderId="0" xfId="0" applyNumberFormat="1" applyFont="1" applyAlignment="1" applyProtection="1">
      <alignment horizontal="center" vertical="center"/>
      <protection locked="0"/>
    </xf>
    <xf numFmtId="0" fontId="20" fillId="0" borderId="0" xfId="0" applyFont="1" applyAlignment="1">
      <alignment horizontal="center" vertical="center"/>
    </xf>
    <xf numFmtId="14" fontId="20" fillId="0" borderId="0" xfId="0" applyNumberFormat="1" applyFont="1"/>
    <xf numFmtId="10" fontId="27" fillId="0" borderId="0" xfId="0" applyNumberFormat="1" applyFont="1" applyAlignment="1">
      <alignment horizontal="center" vertical="center" wrapText="1"/>
    </xf>
    <xf numFmtId="49" fontId="20" fillId="0" borderId="0" xfId="0" applyNumberFormat="1" applyFont="1"/>
    <xf numFmtId="0" fontId="23" fillId="0" borderId="0" xfId="0" applyFont="1" applyAlignment="1">
      <alignment horizontal="left" vertical="center"/>
    </xf>
    <xf numFmtId="0" fontId="20" fillId="0" borderId="0" xfId="0" quotePrefix="1" applyFont="1"/>
    <xf numFmtId="0" fontId="29" fillId="0" borderId="0" xfId="0" applyFont="1"/>
    <xf numFmtId="0" fontId="20" fillId="0" borderId="0" xfId="0" applyFont="1" applyAlignment="1">
      <alignment wrapText="1"/>
    </xf>
    <xf numFmtId="0" fontId="7" fillId="0" borderId="1" xfId="0" applyFont="1" applyBorder="1" applyAlignment="1" applyProtection="1">
      <alignment horizontal="center" vertical="center" wrapText="1"/>
      <protection locked="0"/>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wrapText="1"/>
    </xf>
    <xf numFmtId="0" fontId="7" fillId="0" borderId="1" xfId="0" applyFont="1" applyBorder="1" applyAlignment="1">
      <alignment vertical="center" wrapText="1"/>
    </xf>
    <xf numFmtId="0" fontId="7" fillId="0" borderId="1" xfId="0" applyFont="1" applyBorder="1" applyAlignment="1">
      <alignment horizontal="left" vertical="top" wrapText="1"/>
    </xf>
    <xf numFmtId="0" fontId="7"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7" fillId="0" borderId="1" xfId="0" applyFont="1" applyBorder="1" applyAlignment="1">
      <alignment vertical="top" wrapText="1"/>
    </xf>
    <xf numFmtId="0" fontId="0" fillId="0" borderId="1" xfId="0" applyBorder="1" applyAlignment="1">
      <alignment horizontal="center" vertical="center"/>
    </xf>
    <xf numFmtId="0" fontId="30" fillId="0" borderId="0" xfId="0" applyFont="1" applyAlignment="1">
      <alignment horizontal="left" vertical="center"/>
    </xf>
    <xf numFmtId="0" fontId="25" fillId="0" borderId="0" xfId="0" applyFont="1" applyAlignment="1">
      <alignment horizontal="center" vertical="center" wrapText="1"/>
    </xf>
    <xf numFmtId="0" fontId="25" fillId="0" borderId="7" xfId="0" applyFont="1" applyBorder="1" applyAlignment="1">
      <alignment horizontal="center" vertical="center" wrapText="1"/>
    </xf>
    <xf numFmtId="0" fontId="23" fillId="0" borderId="8" xfId="0" applyFont="1" applyBorder="1" applyAlignment="1">
      <alignment horizontal="center" vertical="center" wrapText="1"/>
    </xf>
    <xf numFmtId="0" fontId="26" fillId="0" borderId="8" xfId="0" applyFont="1" applyBorder="1" applyAlignment="1">
      <alignment horizontal="left" vertical="center" wrapText="1"/>
    </xf>
    <xf numFmtId="0" fontId="26" fillId="0" borderId="8" xfId="0" applyFont="1" applyBorder="1" applyAlignment="1">
      <alignment horizontal="center" vertical="center" wrapText="1"/>
    </xf>
    <xf numFmtId="0" fontId="26" fillId="0" borderId="8" xfId="0" applyFont="1" applyBorder="1" applyAlignment="1">
      <alignment horizontal="left" vertical="top" wrapText="1"/>
    </xf>
    <xf numFmtId="10" fontId="26" fillId="0" borderId="8" xfId="1" applyNumberFormat="1" applyFont="1" applyBorder="1" applyAlignment="1" applyProtection="1">
      <alignment horizontal="center" vertical="center" wrapText="1"/>
    </xf>
    <xf numFmtId="0" fontId="23" fillId="0" borderId="0" xfId="0" applyFont="1" applyAlignment="1">
      <alignment horizontal="center" vertical="center" wrapText="1"/>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0" borderId="0" xfId="0" applyFont="1" applyAlignment="1">
      <alignment horizontal="center" vertical="center" wrapText="1"/>
    </xf>
    <xf numFmtId="0" fontId="27" fillId="0" borderId="0" xfId="0" applyFont="1" applyAlignment="1">
      <alignment vertical="center" wrapText="1"/>
    </xf>
    <xf numFmtId="0" fontId="27" fillId="0" borderId="0" xfId="0" applyFont="1" applyAlignment="1">
      <alignment horizontal="center" vertical="center" wrapText="1"/>
    </xf>
    <xf numFmtId="10" fontId="26" fillId="0" borderId="0" xfId="1" applyNumberFormat="1" applyFont="1" applyBorder="1" applyAlignment="1" applyProtection="1">
      <alignment horizontal="center" vertical="center" wrapText="1"/>
    </xf>
    <xf numFmtId="0" fontId="22" fillId="0" borderId="0" xfId="0" applyFont="1" applyAlignment="1">
      <alignment horizontal="left" vertical="center"/>
    </xf>
    <xf numFmtId="0" fontId="22" fillId="0" borderId="0" xfId="0" applyFont="1" applyAlignment="1">
      <alignment horizontal="center" vertical="center"/>
    </xf>
    <xf numFmtId="0" fontId="26" fillId="0" borderId="8" xfId="0" applyFont="1" applyBorder="1" applyAlignment="1">
      <alignment horizontal="justify" vertical="center" wrapText="1"/>
    </xf>
    <xf numFmtId="0" fontId="23"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6" fillId="0" borderId="8" xfId="0" applyFont="1" applyBorder="1" applyAlignment="1">
      <alignment horizontal="justify" vertical="center"/>
    </xf>
    <xf numFmtId="0" fontId="26" fillId="0" borderId="9" xfId="0" applyFont="1" applyBorder="1" applyAlignment="1">
      <alignment horizontal="center" vertical="center" wrapText="1"/>
    </xf>
    <xf numFmtId="0" fontId="26" fillId="0" borderId="9" xfId="0" applyFont="1" applyBorder="1"/>
    <xf numFmtId="0" fontId="26" fillId="0" borderId="9" xfId="0" applyFont="1" applyBorder="1" applyAlignment="1">
      <alignment horizontal="center" vertical="center"/>
    </xf>
    <xf numFmtId="0" fontId="26" fillId="0" borderId="0" xfId="0" applyFont="1" applyAlignment="1">
      <alignment horizontal="left" vertical="center" indent="7"/>
    </xf>
    <xf numFmtId="9" fontId="26" fillId="0" borderId="8" xfId="1" applyFont="1" applyBorder="1" applyAlignment="1" applyProtection="1">
      <alignment horizontal="center" vertical="center" wrapText="1"/>
    </xf>
    <xf numFmtId="0" fontId="20" fillId="0" borderId="0" xfId="0" applyFont="1" applyAlignment="1">
      <alignment horizontal="left" vertical="center"/>
    </xf>
    <xf numFmtId="0" fontId="26" fillId="0" borderId="0" xfId="0" applyFont="1" applyAlignment="1">
      <alignment vertical="center"/>
    </xf>
    <xf numFmtId="0" fontId="26" fillId="0" borderId="0" xfId="0" applyFont="1" applyAlignment="1">
      <alignment horizontal="justify" vertical="center" wrapText="1"/>
    </xf>
    <xf numFmtId="0" fontId="26" fillId="0" borderId="7" xfId="0" applyFont="1" applyBorder="1" applyAlignment="1">
      <alignment horizontal="center" vertical="center" wrapText="1"/>
    </xf>
    <xf numFmtId="0" fontId="26" fillId="0" borderId="7" xfId="0" applyFont="1" applyBorder="1" applyAlignment="1">
      <alignment horizontal="left" vertical="top" wrapText="1"/>
    </xf>
    <xf numFmtId="10" fontId="26" fillId="0" borderId="7" xfId="1" applyNumberFormat="1" applyFont="1" applyBorder="1" applyAlignment="1" applyProtection="1">
      <alignment horizontal="center" vertical="center" wrapText="1"/>
    </xf>
    <xf numFmtId="0" fontId="26" fillId="0" borderId="7" xfId="0" applyFont="1" applyBorder="1" applyAlignment="1">
      <alignment horizontal="justify" vertical="center" wrapText="1"/>
    </xf>
    <xf numFmtId="0" fontId="23" fillId="0" borderId="7"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8" fillId="0" borderId="1" xfId="0" applyFont="1" applyBorder="1" applyAlignment="1">
      <alignment horizontal="left" vertical="top" wrapText="1"/>
    </xf>
    <xf numFmtId="0" fontId="8" fillId="6" borderId="1" xfId="0" applyFont="1" applyFill="1" applyBorder="1" applyAlignment="1">
      <alignment horizontal="left" vertical="top" wrapText="1"/>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0" fillId="6" borderId="1" xfId="0" applyFont="1" applyFill="1" applyBorder="1" applyAlignment="1">
      <alignment horizontal="center" vertical="center"/>
    </xf>
    <xf numFmtId="0" fontId="10" fillId="0" borderId="0" xfId="0" applyFont="1" applyAlignment="1" applyProtection="1">
      <alignment horizontal="left" vertical="top"/>
      <protection locked="0"/>
    </xf>
    <xf numFmtId="0" fontId="10" fillId="0" borderId="0" xfId="0" applyFont="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8" fillId="0" borderId="1" xfId="0" applyFont="1" applyBorder="1" applyAlignment="1">
      <alignment wrapText="1"/>
    </xf>
    <xf numFmtId="0" fontId="7" fillId="6" borderId="1" xfId="0" applyFont="1" applyFill="1" applyBorder="1" applyAlignment="1">
      <alignment wrapText="1"/>
    </xf>
    <xf numFmtId="0" fontId="0" fillId="6" borderId="1" xfId="0" applyFill="1" applyBorder="1" applyAlignment="1">
      <alignment horizontal="center" vertical="center"/>
    </xf>
    <xf numFmtId="0" fontId="33" fillId="2" borderId="1" xfId="0" applyFont="1" applyFill="1" applyBorder="1" applyAlignment="1" applyProtection="1">
      <alignment horizontal="center" vertical="center" wrapText="1"/>
      <protection locked="0"/>
    </xf>
    <xf numFmtId="0" fontId="34" fillId="0" borderId="0" xfId="0" applyFont="1"/>
    <xf numFmtId="0" fontId="32" fillId="8" borderId="1" xfId="0" applyFont="1" applyFill="1" applyBorder="1" applyAlignment="1">
      <alignment horizontal="center" vertical="center" wrapText="1"/>
    </xf>
    <xf numFmtId="0" fontId="7" fillId="0" borderId="1" xfId="0" applyFont="1" applyBorder="1" applyAlignment="1">
      <alignment horizontal="justify" vertical="center" wrapText="1"/>
    </xf>
    <xf numFmtId="0" fontId="0" fillId="0" borderId="1" xfId="0" applyBorder="1" applyAlignment="1">
      <alignment horizontal="left" vertical="top" wrapText="1"/>
    </xf>
    <xf numFmtId="0" fontId="0" fillId="6" borderId="1" xfId="0" applyFill="1" applyBorder="1" applyAlignment="1">
      <alignment horizontal="left" vertical="top" wrapText="1"/>
    </xf>
    <xf numFmtId="0" fontId="8" fillId="0" borderId="1" xfId="0" applyFont="1" applyBorder="1" applyAlignment="1">
      <alignment vertical="center" wrapText="1"/>
    </xf>
    <xf numFmtId="0" fontId="7" fillId="6" borderId="1" xfId="0" applyFont="1" applyFill="1" applyBorder="1" applyAlignment="1">
      <alignment vertical="center" wrapText="1"/>
    </xf>
    <xf numFmtId="0" fontId="1" fillId="2" borderId="4" xfId="0" applyFont="1" applyFill="1" applyBorder="1" applyAlignment="1" applyProtection="1">
      <alignment horizontal="center" vertical="center"/>
      <protection locked="0"/>
    </xf>
    <xf numFmtId="0" fontId="2" fillId="3" borderId="0" xfId="0" applyFont="1" applyFill="1" applyAlignment="1">
      <alignment horizontal="center" vertical="center"/>
    </xf>
    <xf numFmtId="0" fontId="0" fillId="0" borderId="2"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10" fontId="26" fillId="0" borderId="8" xfId="1" applyNumberFormat="1" applyFont="1" applyBorder="1" applyAlignment="1">
      <alignment horizontal="center" vertical="center" wrapText="1"/>
    </xf>
    <xf numFmtId="10" fontId="26" fillId="0" borderId="8" xfId="0" applyNumberFormat="1" applyFont="1" applyBorder="1" applyAlignment="1">
      <alignment horizontal="center" vertical="center" wrapText="1"/>
    </xf>
    <xf numFmtId="0" fontId="36"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5" fillId="0" borderId="1" xfId="0" applyFont="1" applyBorder="1" applyAlignment="1" applyProtection="1">
      <alignment horizontal="center" vertical="center" wrapText="1"/>
      <protection locked="0"/>
    </xf>
    <xf numFmtId="0" fontId="7" fillId="0" borderId="1" xfId="0" applyFont="1" applyBorder="1" applyAlignment="1" applyProtection="1">
      <alignment vertical="center"/>
      <protection locked="0"/>
    </xf>
    <xf numFmtId="0" fontId="35" fillId="0" borderId="12" xfId="0" applyFont="1" applyBorder="1" applyAlignment="1" applyProtection="1">
      <alignment horizontal="center" vertical="center" wrapText="1"/>
      <protection locked="0"/>
    </xf>
    <xf numFmtId="0" fontId="7" fillId="0" borderId="13" xfId="0" applyFont="1" applyBorder="1" applyAlignment="1" applyProtection="1">
      <alignment vertical="center"/>
      <protection locked="0"/>
    </xf>
    <xf numFmtId="0" fontId="35" fillId="0" borderId="12" xfId="0" applyFont="1" applyBorder="1" applyAlignment="1">
      <alignment horizontal="center" vertical="center" wrapText="1"/>
    </xf>
    <xf numFmtId="0" fontId="7" fillId="0" borderId="13" xfId="0" applyFont="1" applyBorder="1" applyAlignment="1">
      <alignment vertical="center"/>
    </xf>
    <xf numFmtId="0" fontId="35" fillId="0" borderId="13" xfId="0" applyFont="1" applyBorder="1" applyAlignment="1">
      <alignment horizontal="center" vertical="center" wrapText="1"/>
    </xf>
    <xf numFmtId="0" fontId="37" fillId="0" borderId="1" xfId="0" applyFont="1" applyBorder="1"/>
    <xf numFmtId="0" fontId="37" fillId="10" borderId="1" xfId="0" applyFont="1" applyFill="1" applyBorder="1" applyAlignment="1">
      <alignment horizontal="center" vertical="center"/>
    </xf>
    <xf numFmtId="0" fontId="37" fillId="0" borderId="1" xfId="0" applyFont="1" applyBorder="1" applyAlignment="1">
      <alignment horizontal="center" vertical="center"/>
    </xf>
    <xf numFmtId="0" fontId="20" fillId="0" borderId="8" xfId="0" applyFont="1" applyBorder="1" applyAlignment="1">
      <alignment wrapText="1"/>
    </xf>
    <xf numFmtId="0" fontId="10" fillId="12" borderId="1" xfId="0" applyFont="1" applyFill="1" applyBorder="1" applyAlignment="1">
      <alignment horizontal="center" vertical="center"/>
    </xf>
    <xf numFmtId="0" fontId="0" fillId="0" borderId="1" xfId="0" applyBorder="1" applyAlignment="1">
      <alignment vertical="center"/>
    </xf>
    <xf numFmtId="2" fontId="26" fillId="0" borderId="7" xfId="1" applyNumberFormat="1" applyFont="1" applyBorder="1" applyAlignment="1" applyProtection="1">
      <alignment horizontal="center" vertical="center" wrapText="1"/>
    </xf>
    <xf numFmtId="0" fontId="25" fillId="0" borderId="0" xfId="0" applyFont="1" applyAlignment="1">
      <alignment horizontal="center" vertical="center" wrapText="1"/>
    </xf>
    <xf numFmtId="0" fontId="25" fillId="0" borderId="7" xfId="0" applyFont="1" applyBorder="1" applyAlignment="1">
      <alignment horizontal="center" vertical="center" wrapText="1"/>
    </xf>
    <xf numFmtId="0" fontId="31" fillId="0" borderId="0" xfId="0" applyFont="1" applyAlignment="1">
      <alignment horizontal="left" vertical="center"/>
    </xf>
    <xf numFmtId="0" fontId="24" fillId="0" borderId="0" xfId="0" applyFont="1" applyAlignment="1">
      <alignment horizontal="center" vertical="center" wrapText="1"/>
    </xf>
    <xf numFmtId="0" fontId="24" fillId="0" borderId="7" xfId="0" applyFont="1" applyBorder="1" applyAlignment="1">
      <alignment horizontal="center" vertical="center" wrapText="1"/>
    </xf>
    <xf numFmtId="0" fontId="31" fillId="0" borderId="0" xfId="0" applyFont="1" applyAlignment="1">
      <alignment horizontal="left" vertical="center" wrapText="1"/>
    </xf>
    <xf numFmtId="0" fontId="20" fillId="4" borderId="0" xfId="0" applyFont="1" applyFill="1" applyAlignment="1">
      <alignment horizontal="center"/>
    </xf>
    <xf numFmtId="0" fontId="30" fillId="0" borderId="0" xfId="0" applyFont="1" applyAlignment="1">
      <alignment horizontal="left" vertical="center" wrapText="1"/>
    </xf>
    <xf numFmtId="0" fontId="30" fillId="0" borderId="0" xfId="0" applyFont="1" applyAlignment="1">
      <alignment horizontal="left" vertical="center"/>
    </xf>
    <xf numFmtId="0" fontId="10" fillId="0" borderId="2" xfId="0" applyFont="1" applyBorder="1" applyAlignment="1" applyProtection="1">
      <alignment horizontal="center" vertical="top"/>
      <protection locked="0"/>
    </xf>
    <xf numFmtId="0" fontId="10" fillId="0" borderId="4" xfId="0" applyFont="1" applyBorder="1" applyAlignment="1" applyProtection="1">
      <alignment horizontal="center" vertical="top"/>
      <protection locked="0"/>
    </xf>
    <xf numFmtId="2" fontId="10" fillId="0" borderId="2" xfId="0" applyNumberFormat="1" applyFont="1" applyBorder="1" applyAlignment="1" applyProtection="1">
      <alignment horizontal="center" vertical="top"/>
      <protection locked="0"/>
    </xf>
    <xf numFmtId="2" fontId="10" fillId="0" borderId="4" xfId="0" applyNumberFormat="1" applyFont="1" applyBorder="1" applyAlignment="1" applyProtection="1">
      <alignment horizontal="center" vertical="top"/>
      <protection locked="0"/>
    </xf>
    <xf numFmtId="2" fontId="10" fillId="0" borderId="2" xfId="0" applyNumberFormat="1" applyFont="1" applyBorder="1" applyAlignment="1">
      <alignment horizontal="center" vertical="center"/>
    </xf>
    <xf numFmtId="2" fontId="10" fillId="0" borderId="4" xfId="0" applyNumberFormat="1" applyFont="1" applyBorder="1" applyAlignment="1">
      <alignment horizontal="center" vertical="center"/>
    </xf>
    <xf numFmtId="0" fontId="10" fillId="0" borderId="2" xfId="0" applyFont="1" applyBorder="1" applyAlignment="1">
      <alignment horizontal="center" vertical="center"/>
    </xf>
    <xf numFmtId="0" fontId="10" fillId="0" borderId="4" xfId="0" applyFont="1" applyBorder="1" applyAlignment="1">
      <alignment horizontal="center" vertical="center"/>
    </xf>
    <xf numFmtId="2" fontId="10" fillId="0" borderId="5" xfId="0" applyNumberFormat="1" applyFont="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10" fillId="0" borderId="5" xfId="0" applyFont="1" applyBorder="1" applyAlignment="1" applyProtection="1">
      <alignment horizontal="center" vertical="top"/>
      <protection locked="0"/>
    </xf>
    <xf numFmtId="0" fontId="7" fillId="0" borderId="2" xfId="0" applyFont="1" applyBorder="1" applyAlignment="1">
      <alignment horizontal="left" vertical="top" wrapText="1"/>
    </xf>
    <xf numFmtId="0" fontId="7" fillId="0" borderId="5" xfId="0" applyFont="1" applyBorder="1" applyAlignment="1">
      <alignment horizontal="left" vertical="top" wrapText="1"/>
    </xf>
    <xf numFmtId="0" fontId="7" fillId="0" borderId="2"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4" xfId="0" applyFont="1" applyBorder="1" applyAlignment="1">
      <alignment horizontal="left" vertical="top" wrapText="1"/>
    </xf>
    <xf numFmtId="0" fontId="7" fillId="0" borderId="4" xfId="0" applyFont="1" applyBorder="1" applyAlignment="1" applyProtection="1">
      <alignment horizontal="center" vertical="center" wrapText="1"/>
      <protection locked="0"/>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top" wrapText="1"/>
    </xf>
    <xf numFmtId="0" fontId="7" fillId="0" borderId="5" xfId="0" applyFont="1" applyBorder="1" applyAlignment="1">
      <alignment horizontal="center" vertical="top" wrapText="1"/>
    </xf>
    <xf numFmtId="0" fontId="7" fillId="0" borderId="4" xfId="0" applyFont="1" applyBorder="1" applyAlignment="1">
      <alignment horizontal="center" vertical="center" wrapText="1"/>
    </xf>
    <xf numFmtId="0" fontId="7" fillId="0" borderId="4" xfId="0" applyFont="1" applyBorder="1" applyAlignment="1">
      <alignment horizontal="center" vertical="top" wrapText="1"/>
    </xf>
    <xf numFmtId="0" fontId="7" fillId="0" borderId="2"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xf numFmtId="0" fontId="19" fillId="0" borderId="2" xfId="0" applyFont="1" applyBorder="1" applyAlignment="1" applyProtection="1">
      <alignment horizontal="left" vertical="top" wrapText="1"/>
      <protection locked="0"/>
    </xf>
    <xf numFmtId="0" fontId="19" fillId="0" borderId="4"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7" fillId="7" borderId="2" xfId="0" applyFont="1" applyFill="1" applyBorder="1" applyAlignment="1">
      <alignment horizontal="center" vertical="center"/>
    </xf>
    <xf numFmtId="0" fontId="7" fillId="7" borderId="4" xfId="0" applyFont="1" applyFill="1" applyBorder="1" applyAlignment="1">
      <alignment horizontal="center" vertical="center"/>
    </xf>
    <xf numFmtId="0" fontId="7" fillId="7" borderId="5" xfId="0" applyFont="1" applyFill="1" applyBorder="1" applyAlignment="1">
      <alignment horizontal="center" vertical="center"/>
    </xf>
    <xf numFmtId="0" fontId="10" fillId="0" borderId="2" xfId="0" applyFont="1" applyBorder="1" applyAlignment="1" applyProtection="1">
      <alignment horizontal="left" vertical="top"/>
      <protection locked="0"/>
    </xf>
    <xf numFmtId="0" fontId="10" fillId="0" borderId="4" xfId="0" applyFont="1" applyBorder="1" applyAlignment="1" applyProtection="1">
      <alignment horizontal="left" vertical="top"/>
      <protection locked="0"/>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7" fillId="5" borderId="2" xfId="0" applyFont="1" applyFill="1" applyBorder="1" applyAlignment="1" applyProtection="1">
      <alignment horizontal="center" vertical="center"/>
      <protection locked="0"/>
    </xf>
    <xf numFmtId="0" fontId="7" fillId="5" borderId="4" xfId="0" applyFont="1" applyFill="1" applyBorder="1" applyAlignment="1" applyProtection="1">
      <alignment horizontal="center" vertical="center"/>
      <protection locked="0"/>
    </xf>
    <xf numFmtId="0" fontId="17" fillId="2" borderId="2" xfId="0" applyFont="1" applyFill="1" applyBorder="1" applyAlignment="1" applyProtection="1">
      <alignment horizontal="center" vertical="center"/>
      <protection locked="0"/>
    </xf>
    <xf numFmtId="0" fontId="17" fillId="2" borderId="4" xfId="0" applyFont="1" applyFill="1" applyBorder="1" applyAlignment="1" applyProtection="1">
      <alignment horizontal="center" vertical="center"/>
      <protection locked="0"/>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2" fillId="3" borderId="2" xfId="0" applyFont="1" applyFill="1" applyBorder="1" applyAlignment="1">
      <alignment horizontal="left" vertical="top"/>
    </xf>
    <xf numFmtId="0" fontId="2" fillId="3" borderId="4" xfId="0" applyFont="1" applyFill="1" applyBorder="1" applyAlignment="1">
      <alignment horizontal="left" vertical="top"/>
    </xf>
    <xf numFmtId="0" fontId="18" fillId="2" borderId="2" xfId="0" applyFont="1" applyFill="1" applyBorder="1" applyAlignment="1" applyProtection="1">
      <alignment horizontal="center" vertical="center"/>
      <protection locked="0"/>
    </xf>
    <xf numFmtId="0" fontId="18" fillId="2" borderId="4" xfId="0" applyFont="1" applyFill="1" applyBorder="1" applyAlignment="1" applyProtection="1">
      <alignment horizontal="center" vertical="center"/>
      <protection locked="0"/>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8" fillId="2" borderId="6" xfId="0" applyFont="1" applyFill="1" applyBorder="1" applyAlignment="1" applyProtection="1">
      <alignment horizontal="center" vertical="center"/>
      <protection locked="0"/>
    </xf>
    <xf numFmtId="0" fontId="18" fillId="2" borderId="11"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0" fontId="18" fillId="3" borderId="11" xfId="0" applyFont="1" applyFill="1" applyBorder="1" applyAlignment="1" applyProtection="1">
      <alignment horizontal="center" vertical="center"/>
      <protection locked="0"/>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8" fillId="2" borderId="1" xfId="0" applyFont="1" applyFill="1" applyBorder="1" applyAlignment="1" applyProtection="1">
      <alignment horizontal="center" vertical="center" wrapText="1"/>
      <protection locked="0"/>
    </xf>
    <xf numFmtId="0" fontId="1" fillId="9" borderId="1" xfId="0" applyFont="1" applyFill="1" applyBorder="1" applyAlignment="1" applyProtection="1">
      <alignment horizontal="center" vertical="center" wrapText="1"/>
      <protection locked="0"/>
    </xf>
    <xf numFmtId="0" fontId="17" fillId="2" borderId="1" xfId="0" applyFont="1" applyFill="1" applyBorder="1" applyAlignment="1" applyProtection="1">
      <alignment horizontal="center" vertical="center" wrapText="1"/>
      <protection locked="0"/>
    </xf>
    <xf numFmtId="2" fontId="0" fillId="0" borderId="2" xfId="0" applyNumberFormat="1" applyBorder="1" applyAlignment="1">
      <alignment horizontal="center" vertical="center"/>
    </xf>
    <xf numFmtId="2" fontId="0" fillId="0" borderId="4" xfId="0" applyNumberFormat="1" applyBorder="1" applyAlignment="1">
      <alignment horizontal="center" vertical="center"/>
    </xf>
    <xf numFmtId="0" fontId="7" fillId="0" borderId="2" xfId="0" applyFont="1" applyBorder="1" applyAlignment="1">
      <alignment horizontal="center" wrapText="1"/>
    </xf>
    <xf numFmtId="0" fontId="7" fillId="0" borderId="4" xfId="0" applyFont="1" applyBorder="1" applyAlignment="1">
      <alignment horizontal="center" wrapText="1"/>
    </xf>
    <xf numFmtId="0" fontId="0" fillId="0" borderId="2" xfId="0" applyBorder="1" applyAlignment="1" applyProtection="1">
      <alignment horizontal="center"/>
      <protection locked="0"/>
    </xf>
    <xf numFmtId="0" fontId="0" fillId="0" borderId="4" xfId="0" applyBorder="1" applyAlignment="1" applyProtection="1">
      <alignment horizontal="center"/>
      <protection locked="0"/>
    </xf>
    <xf numFmtId="0" fontId="2" fillId="3" borderId="6"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1" fillId="3" borderId="1" xfId="0" applyFont="1" applyFill="1" applyBorder="1" applyAlignment="1" applyProtection="1">
      <alignment horizontal="center" vertical="center" wrapText="1"/>
      <protection locked="0"/>
    </xf>
    <xf numFmtId="0" fontId="7" fillId="0" borderId="2" xfId="0" applyFont="1" applyBorder="1" applyAlignment="1" applyProtection="1">
      <alignment horizontal="center" wrapText="1"/>
      <protection locked="0"/>
    </xf>
    <xf numFmtId="0" fontId="7" fillId="0" borderId="4" xfId="0" applyFont="1" applyBorder="1" applyAlignment="1" applyProtection="1">
      <alignment horizontal="center" wrapText="1"/>
      <protection locked="0"/>
    </xf>
    <xf numFmtId="0" fontId="2" fillId="2" borderId="1" xfId="0" applyFont="1" applyFill="1" applyBorder="1" applyAlignment="1" applyProtection="1">
      <alignment horizontal="center" vertical="center" wrapText="1"/>
      <protection locked="0"/>
    </xf>
    <xf numFmtId="0" fontId="0" fillId="0" borderId="2" xfId="0" applyBorder="1" applyAlignment="1">
      <alignment horizontal="center" vertical="center"/>
    </xf>
    <xf numFmtId="0" fontId="0" fillId="0" borderId="4" xfId="0" applyBorder="1" applyAlignment="1">
      <alignment horizontal="center" vertical="center"/>
    </xf>
    <xf numFmtId="0" fontId="2" fillId="3" borderId="1" xfId="0" applyFont="1" applyFill="1" applyBorder="1" applyAlignment="1">
      <alignment horizontal="center" wrapText="1"/>
    </xf>
    <xf numFmtId="0" fontId="0" fillId="0" borderId="1" xfId="0" applyBorder="1" applyAlignment="1">
      <alignment horizontal="center" vertical="center"/>
    </xf>
    <xf numFmtId="0" fontId="7" fillId="0" borderId="1" xfId="0" applyFont="1" applyBorder="1" applyAlignment="1">
      <alignment horizontal="center" vertical="center"/>
    </xf>
    <xf numFmtId="0" fontId="1"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pplyProtection="1">
      <alignment horizontal="center" vertical="center" wrapText="1"/>
      <protection locked="0"/>
    </xf>
    <xf numFmtId="0" fontId="1" fillId="3" borderId="1" xfId="0" applyFont="1" applyFill="1" applyBorder="1" applyAlignment="1" applyProtection="1">
      <alignment horizontal="left" vertical="top" wrapText="1"/>
      <protection locked="0"/>
    </xf>
    <xf numFmtId="0" fontId="2" fillId="3" borderId="1" xfId="0" applyFont="1" applyFill="1" applyBorder="1" applyAlignment="1">
      <alignment horizontal="left" vertical="top" wrapText="1"/>
    </xf>
    <xf numFmtId="0" fontId="7" fillId="7" borderId="1" xfId="0" applyFont="1" applyFill="1" applyBorder="1" applyAlignment="1">
      <alignment horizontal="center" vertical="center"/>
    </xf>
    <xf numFmtId="0" fontId="0" fillId="0" borderId="1" xfId="0" applyBorder="1" applyAlignment="1" applyProtection="1">
      <alignment horizontal="center"/>
      <protection locked="0"/>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7" borderId="2" xfId="0" applyFill="1" applyBorder="1" applyAlignment="1">
      <alignment horizontal="center" vertical="center"/>
    </xf>
    <xf numFmtId="0" fontId="0" fillId="7" borderId="4" xfId="0" applyFill="1"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7" fillId="0" borderId="2" xfId="0" applyFont="1" applyBorder="1" applyAlignment="1" applyProtection="1">
      <alignment horizontal="center" vertical="top" wrapText="1"/>
      <protection locked="0"/>
    </xf>
    <xf numFmtId="0" fontId="7" fillId="0" borderId="4" xfId="0" applyFont="1" applyBorder="1" applyAlignment="1" applyProtection="1">
      <alignment horizontal="center" vertical="top" wrapText="1"/>
      <protection locked="0"/>
    </xf>
    <xf numFmtId="0" fontId="7" fillId="0" borderId="2" xfId="0" applyFont="1" applyBorder="1" applyAlignment="1">
      <alignment vertical="top" wrapText="1"/>
    </xf>
    <xf numFmtId="0" fontId="7" fillId="0" borderId="4" xfId="0" applyFont="1" applyBorder="1" applyAlignment="1">
      <alignment vertical="top" wrapText="1"/>
    </xf>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7" fillId="0" borderId="1" xfId="0" applyFont="1" applyBorder="1" applyAlignment="1">
      <alignment vertical="top" wrapText="1"/>
    </xf>
    <xf numFmtId="0" fontId="1" fillId="3" borderId="1" xfId="0" applyFont="1" applyFill="1" applyBorder="1" applyAlignment="1" applyProtection="1">
      <alignment vertical="top" wrapText="1"/>
      <protection locked="0"/>
    </xf>
    <xf numFmtId="0" fontId="2" fillId="3" borderId="1" xfId="0" applyFont="1" applyFill="1" applyBorder="1" applyAlignment="1">
      <alignment horizontal="left" vertical="center" wrapText="1"/>
    </xf>
    <xf numFmtId="0" fontId="7" fillId="0" borderId="1" xfId="0" applyFont="1" applyBorder="1" applyAlignment="1" applyProtection="1">
      <alignment vertical="top" wrapText="1"/>
      <protection locked="0"/>
    </xf>
    <xf numFmtId="0" fontId="7" fillId="0" borderId="1" xfId="0" applyFont="1" applyBorder="1" applyAlignment="1">
      <alignment horizontal="center" wrapText="1"/>
    </xf>
    <xf numFmtId="0" fontId="18"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6" fillId="3" borderId="0" xfId="0" applyFont="1" applyFill="1" applyAlignment="1">
      <alignment horizontal="center" vertical="center" wrapText="1"/>
    </xf>
    <xf numFmtId="0" fontId="16" fillId="3" borderId="10"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6"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4" xfId="0" applyFont="1" applyFill="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5" fillId="0" borderId="0" xfId="0" applyFont="1" applyAlignment="1">
      <alignment horizontal="left" vertical="center"/>
    </xf>
    <xf numFmtId="0" fontId="32" fillId="2" borderId="1" xfId="0" applyFont="1" applyFill="1" applyBorder="1" applyAlignment="1" applyProtection="1">
      <alignment horizontal="center" vertical="center" wrapText="1"/>
      <protection locked="0"/>
    </xf>
    <xf numFmtId="0" fontId="33" fillId="2" borderId="1" xfId="0" applyFont="1" applyFill="1" applyBorder="1" applyAlignment="1" applyProtection="1">
      <alignment horizontal="center" vertical="center" wrapText="1"/>
      <protection locked="0"/>
    </xf>
    <xf numFmtId="0" fontId="32" fillId="11" borderId="1" xfId="0" applyFont="1" applyFill="1" applyBorder="1" applyAlignment="1" applyProtection="1">
      <alignment horizontal="center" vertical="center" wrapText="1"/>
      <protection locked="0"/>
    </xf>
    <xf numFmtId="0" fontId="32" fillId="2" borderId="6" xfId="0" applyFont="1" applyFill="1" applyBorder="1" applyAlignment="1" applyProtection="1">
      <alignment horizontal="center" vertical="center" wrapText="1"/>
      <protection locked="0"/>
    </xf>
    <xf numFmtId="0" fontId="32" fillId="2" borderId="11" xfId="0" applyFont="1" applyFill="1" applyBorder="1" applyAlignment="1" applyProtection="1">
      <alignment horizontal="center" vertical="center" wrapText="1"/>
      <protection locked="0"/>
    </xf>
    <xf numFmtId="0" fontId="32" fillId="8" borderId="6" xfId="0" applyFont="1" applyFill="1" applyBorder="1" applyAlignment="1">
      <alignment horizontal="center" vertical="center" wrapText="1"/>
    </xf>
    <xf numFmtId="0" fontId="32" fillId="8" borderId="11"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colors>
    <mruColors>
      <color rgb="FFFF00FF"/>
      <color rgb="FF9999FF"/>
      <color rgb="FF9966FF"/>
      <color rgb="FFFFCCFF"/>
      <color rgb="FFFF00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na Lorena Maya Gomez" id="{B0975A5F-78FF-42ED-B8A5-844681CBD021}" userId="S::almayag@uaemex.mx::30f49fb4-efd0-4ca7-bed0-a9aee948de0e"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5" dT="2026-03-11T00:11:55.86" personId="{B0975A5F-78FF-42ED-B8A5-844681CBD021}" id="{E31F892F-0D40-4157-AD71-90FA86DAB076}">
    <text>SDyFI:
Esta meta SI DEBE BAJAR A LOS ESPACIOS ACADÉMICOS, pero de manera específica a las Facultades de Artes y Ciencias Políticas y Sociales; así como a la Escuela de Artes Escénicas, ya que son los espacios académicos propicios para poder colaborar en el desarrollo de la misma</text>
  </threadedComment>
  <threadedComment ref="G6" dT="2026-03-11T00:12:14.73" personId="{B0975A5F-78FF-42ED-B8A5-844681CBD021}" id="{2BADE1CA-6C33-4B38-B6BC-6D87124EE9D7}">
    <text>SDyFI:
Esta meta SI DEBE BAJAR A LOS ESPACIOS ACADÉMICOS, pero de manera específica a las Facultades de Artes y Ciencias Políticas y Sociales; así como a la Escuela de Artes Escénicas, ya que son los espacios académicos propicios para poder colaborar en el desarrollo de la misma</text>
  </threadedComment>
</ThreadedComments>
</file>

<file path=xl/threadedComments/threadedComment2.xml><?xml version="1.0" encoding="utf-8"?>
<ThreadedComments xmlns="http://schemas.microsoft.com/office/spreadsheetml/2018/threadedcomments" xmlns:x="http://schemas.openxmlformats.org/spreadsheetml/2006/main">
  <threadedComment ref="L3" dT="2026-02-19T19:17:17.22" personId="{B0975A5F-78FF-42ED-B8A5-844681CBD021}" id="{D4C7AA74-F169-4146-AE5A-009AB5F44204}">
    <text>El espacio académico debe coordinarse con la Dirección de Organización y Desarrollo Administrativo (DODA) para realizar los trabajos necesarios para elaboración, actualización o armonización de su manual de procedimientos. Es importante señalar que antes de programar en sus planes de desarrollo esta meta, deberán consultar con la DODA  la programación anual de esta meta.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1B93-F7D4-4AB9-9914-5D5463F399FB}">
  <dimension ref="A1:AN39"/>
  <sheetViews>
    <sheetView topLeftCell="I12" zoomScaleNormal="100" zoomScaleSheetLayoutView="93" workbookViewId="0">
      <selection activeCell="R13" sqref="R13:R14"/>
    </sheetView>
  </sheetViews>
  <sheetFormatPr baseColWidth="10" defaultColWidth="11.42578125" defaultRowHeight="15"/>
  <cols>
    <col min="1" max="1" width="11.42578125" style="2"/>
    <col min="2" max="2" width="19.85546875" style="12" bestFit="1" customWidth="1"/>
    <col min="3" max="3" width="60.7109375" style="13" customWidth="1"/>
    <col min="4" max="4" width="22.28515625" style="12" bestFit="1" customWidth="1"/>
    <col min="5" max="5" width="57.5703125" style="13" customWidth="1"/>
    <col min="6" max="6" width="11.42578125" style="13" customWidth="1"/>
    <col min="7" max="7" width="38.5703125" style="10" customWidth="1"/>
    <col min="8" max="8" width="32.140625" style="1" customWidth="1"/>
    <col min="9" max="9" width="45.7109375" style="10" customWidth="1"/>
    <col min="10" max="10" width="16.28515625" style="2" customWidth="1"/>
    <col min="11" max="11" width="36.7109375" style="10" customWidth="1"/>
    <col min="12" max="12" width="43.42578125" style="10" customWidth="1"/>
    <col min="13" max="22" width="12.28515625" style="2" customWidth="1"/>
    <col min="23" max="23" width="18.85546875" style="2" customWidth="1"/>
    <col min="24" max="24" width="29" style="10" customWidth="1"/>
    <col min="25" max="39" width="11.42578125" style="10"/>
    <col min="40" max="40" width="20.42578125" style="11" customWidth="1"/>
    <col min="41" max="16384" width="11.42578125" style="10"/>
  </cols>
  <sheetData>
    <row r="1" spans="1:40" s="2" customFormat="1" ht="18.75">
      <c r="A1" s="183" t="s">
        <v>437</v>
      </c>
      <c r="B1" s="183" t="s">
        <v>30</v>
      </c>
      <c r="C1" s="177" t="s">
        <v>31</v>
      </c>
      <c r="D1" s="183" t="s">
        <v>32</v>
      </c>
      <c r="E1" s="177" t="s">
        <v>33</v>
      </c>
      <c r="F1" s="177" t="s">
        <v>106</v>
      </c>
      <c r="G1" s="177" t="s">
        <v>0</v>
      </c>
      <c r="H1" s="179" t="s">
        <v>464</v>
      </c>
      <c r="I1" s="181" t="s">
        <v>1</v>
      </c>
      <c r="J1" s="183" t="s">
        <v>2</v>
      </c>
      <c r="K1" s="185" t="s">
        <v>34</v>
      </c>
      <c r="L1" s="175" t="s">
        <v>3</v>
      </c>
      <c r="M1" s="191" t="s">
        <v>4</v>
      </c>
      <c r="N1" s="191"/>
      <c r="O1" s="191"/>
      <c r="P1" s="191"/>
      <c r="Q1" s="192"/>
      <c r="R1" s="193" t="s">
        <v>5</v>
      </c>
      <c r="S1" s="193"/>
      <c r="T1" s="193"/>
      <c r="U1" s="193"/>
      <c r="V1" s="194"/>
      <c r="W1" s="189" t="s">
        <v>6</v>
      </c>
      <c r="X1" s="187" t="s">
        <v>7</v>
      </c>
      <c r="Y1" s="96"/>
      <c r="Z1" s="96"/>
      <c r="AA1" s="96"/>
      <c r="AB1" s="96"/>
      <c r="AN1" s="3" t="s">
        <v>8</v>
      </c>
    </row>
    <row r="2" spans="1:40" s="2" customFormat="1" ht="24">
      <c r="A2" s="184"/>
      <c r="B2" s="184"/>
      <c r="C2" s="178"/>
      <c r="D2" s="184"/>
      <c r="E2" s="178"/>
      <c r="F2" s="178"/>
      <c r="G2" s="178"/>
      <c r="H2" s="180"/>
      <c r="I2" s="182"/>
      <c r="J2" s="184"/>
      <c r="K2" s="186"/>
      <c r="L2" s="176"/>
      <c r="M2" s="5" t="s">
        <v>629</v>
      </c>
      <c r="N2" s="6">
        <v>2027</v>
      </c>
      <c r="O2" s="6">
        <v>2028</v>
      </c>
      <c r="P2" s="6">
        <v>2029</v>
      </c>
      <c r="Q2" s="109">
        <v>2030</v>
      </c>
      <c r="R2" s="7" t="s">
        <v>629</v>
      </c>
      <c r="S2" s="4">
        <v>2027</v>
      </c>
      <c r="T2" s="4">
        <v>2028</v>
      </c>
      <c r="U2" s="4">
        <v>2029</v>
      </c>
      <c r="V2" s="4">
        <v>2030</v>
      </c>
      <c r="W2" s="190"/>
      <c r="X2" s="188"/>
      <c r="Y2" s="96"/>
      <c r="Z2" s="96"/>
      <c r="AA2" s="96"/>
      <c r="AB2" s="96"/>
      <c r="AN2" s="3"/>
    </row>
    <row r="3" spans="1:40" ht="105">
      <c r="A3" s="44">
        <v>1</v>
      </c>
      <c r="B3" s="88" t="s">
        <v>35</v>
      </c>
      <c r="C3" s="48" t="s">
        <v>36</v>
      </c>
      <c r="D3" s="89" t="s">
        <v>37</v>
      </c>
      <c r="E3" s="48" t="s">
        <v>101</v>
      </c>
      <c r="F3" s="44">
        <v>3</v>
      </c>
      <c r="G3" s="48" t="s">
        <v>38</v>
      </c>
      <c r="H3" s="43" t="s">
        <v>465</v>
      </c>
      <c r="I3" s="16" t="s">
        <v>632</v>
      </c>
      <c r="J3" s="44" t="s">
        <v>9</v>
      </c>
      <c r="K3" s="48" t="s">
        <v>128</v>
      </c>
      <c r="L3" s="48" t="s">
        <v>39</v>
      </c>
      <c r="M3" s="8"/>
      <c r="N3" s="8"/>
      <c r="O3" s="8"/>
      <c r="P3" s="8"/>
      <c r="Q3" s="8"/>
      <c r="R3" s="92">
        <f t="shared" ref="R3:T4" si="0">M3</f>
        <v>0</v>
      </c>
      <c r="S3" s="92">
        <f t="shared" si="0"/>
        <v>0</v>
      </c>
      <c r="T3" s="92">
        <f t="shared" si="0"/>
        <v>0</v>
      </c>
      <c r="U3" s="92">
        <f t="shared" ref="U3:V4" si="1">P3</f>
        <v>0</v>
      </c>
      <c r="V3" s="92">
        <f t="shared" si="1"/>
        <v>0</v>
      </c>
      <c r="W3" s="44" t="s">
        <v>10</v>
      </c>
      <c r="X3" s="9"/>
      <c r="Y3" s="95"/>
      <c r="Z3" s="95"/>
      <c r="AA3" s="95"/>
      <c r="AB3" s="95"/>
    </row>
    <row r="4" spans="1:40" ht="105">
      <c r="A4" s="44">
        <v>2</v>
      </c>
      <c r="B4" s="88" t="s">
        <v>35</v>
      </c>
      <c r="C4" s="48" t="s">
        <v>36</v>
      </c>
      <c r="D4" s="89" t="s">
        <v>37</v>
      </c>
      <c r="E4" s="48" t="s">
        <v>101</v>
      </c>
      <c r="F4" s="44">
        <v>4</v>
      </c>
      <c r="G4" s="48" t="s">
        <v>40</v>
      </c>
      <c r="H4" s="43" t="s">
        <v>466</v>
      </c>
      <c r="I4" s="16"/>
      <c r="J4" s="44" t="s">
        <v>9</v>
      </c>
      <c r="K4" s="48" t="s">
        <v>128</v>
      </c>
      <c r="L4" s="48" t="s">
        <v>41</v>
      </c>
      <c r="M4" s="8"/>
      <c r="N4" s="8"/>
      <c r="O4" s="8"/>
      <c r="P4" s="8"/>
      <c r="Q4" s="8"/>
      <c r="R4" s="92">
        <f t="shared" si="0"/>
        <v>0</v>
      </c>
      <c r="S4" s="92">
        <f t="shared" si="0"/>
        <v>0</v>
      </c>
      <c r="T4" s="92">
        <f t="shared" si="0"/>
        <v>0</v>
      </c>
      <c r="U4" s="92">
        <f t="shared" si="1"/>
        <v>0</v>
      </c>
      <c r="V4" s="92">
        <f t="shared" si="1"/>
        <v>0</v>
      </c>
      <c r="W4" s="44" t="s">
        <v>10</v>
      </c>
      <c r="X4" s="9"/>
      <c r="Y4" s="95"/>
      <c r="Z4" s="95"/>
      <c r="AA4" s="95"/>
      <c r="AB4" s="95"/>
    </row>
    <row r="5" spans="1:40" ht="48" customHeight="1">
      <c r="A5" s="149">
        <v>3</v>
      </c>
      <c r="B5" s="149" t="s">
        <v>35</v>
      </c>
      <c r="C5" s="161" t="s">
        <v>36</v>
      </c>
      <c r="D5" s="159" t="s">
        <v>37</v>
      </c>
      <c r="E5" s="153" t="s">
        <v>101</v>
      </c>
      <c r="F5" s="149">
        <v>7</v>
      </c>
      <c r="G5" s="153" t="s">
        <v>42</v>
      </c>
      <c r="H5" s="155" t="s">
        <v>467</v>
      </c>
      <c r="I5" s="165"/>
      <c r="J5" s="170" t="s">
        <v>12</v>
      </c>
      <c r="K5" s="153" t="s">
        <v>43</v>
      </c>
      <c r="L5" s="48" t="s">
        <v>44</v>
      </c>
      <c r="M5" s="8"/>
      <c r="N5" s="8"/>
      <c r="O5" s="8"/>
      <c r="P5" s="8"/>
      <c r="Q5" s="8"/>
      <c r="R5" s="144" t="str">
        <f>IF(M6,M5/M6*100,"0")</f>
        <v>0</v>
      </c>
      <c r="S5" s="144" t="str">
        <f>IF(N6,N5/N6*100,"0")</f>
        <v>0</v>
      </c>
      <c r="T5" s="144" t="str">
        <f>IF(O6,O5/O6*100,"0")</f>
        <v>0</v>
      </c>
      <c r="U5" s="144" t="str">
        <f t="shared" ref="U5:V5" si="2">IF(P6,P5/P6*100,"0")</f>
        <v>0</v>
      </c>
      <c r="V5" s="144" t="str">
        <f t="shared" si="2"/>
        <v>0</v>
      </c>
      <c r="W5" s="149" t="s">
        <v>10</v>
      </c>
      <c r="X5" s="173"/>
      <c r="Y5" s="95"/>
      <c r="Z5" s="95"/>
      <c r="AA5" s="95"/>
      <c r="AB5" s="95"/>
    </row>
    <row r="6" spans="1:40" ht="30">
      <c r="A6" s="150"/>
      <c r="B6" s="150"/>
      <c r="C6" s="164"/>
      <c r="D6" s="163"/>
      <c r="E6" s="157"/>
      <c r="F6" s="150"/>
      <c r="G6" s="157"/>
      <c r="H6" s="158"/>
      <c r="I6" s="166"/>
      <c r="J6" s="171"/>
      <c r="K6" s="157"/>
      <c r="L6" s="48" t="s">
        <v>19</v>
      </c>
      <c r="M6" s="8"/>
      <c r="N6" s="8"/>
      <c r="O6" s="8"/>
      <c r="P6" s="8"/>
      <c r="Q6" s="8"/>
      <c r="R6" s="145"/>
      <c r="S6" s="145"/>
      <c r="T6" s="145"/>
      <c r="U6" s="145"/>
      <c r="V6" s="145"/>
      <c r="W6" s="150"/>
      <c r="X6" s="174"/>
      <c r="Y6" s="95"/>
      <c r="Z6" s="95"/>
      <c r="AA6" s="95"/>
      <c r="AB6" s="95"/>
    </row>
    <row r="7" spans="1:40" ht="59.25" customHeight="1">
      <c r="A7" s="149">
        <v>4</v>
      </c>
      <c r="B7" s="149" t="s">
        <v>35</v>
      </c>
      <c r="C7" s="161" t="s">
        <v>36</v>
      </c>
      <c r="D7" s="159" t="s">
        <v>37</v>
      </c>
      <c r="E7" s="153" t="s">
        <v>101</v>
      </c>
      <c r="F7" s="149">
        <v>8</v>
      </c>
      <c r="G7" s="153" t="s">
        <v>45</v>
      </c>
      <c r="H7" s="155" t="s">
        <v>468</v>
      </c>
      <c r="I7" s="165"/>
      <c r="J7" s="170" t="s">
        <v>12</v>
      </c>
      <c r="K7" s="153" t="s">
        <v>46</v>
      </c>
      <c r="L7" s="48" t="s">
        <v>47</v>
      </c>
      <c r="M7" s="8"/>
      <c r="N7" s="8"/>
      <c r="O7" s="8"/>
      <c r="P7" s="8"/>
      <c r="Q7" s="8"/>
      <c r="R7" s="144" t="str">
        <f>IF(M8,M7/M8*100,"0")</f>
        <v>0</v>
      </c>
      <c r="S7" s="144" t="str">
        <f>IF(N8,N7/N8*100,"0")</f>
        <v>0</v>
      </c>
      <c r="T7" s="144" t="str">
        <f>IF(O8,O7/O8*100,"0")</f>
        <v>0</v>
      </c>
      <c r="U7" s="144" t="str">
        <f t="shared" ref="U7:V7" si="3">IF(P8,P7/P8*100,"0")</f>
        <v>0</v>
      </c>
      <c r="V7" s="144" t="str">
        <f t="shared" si="3"/>
        <v>0</v>
      </c>
      <c r="W7" s="149" t="s">
        <v>10</v>
      </c>
      <c r="X7" s="173"/>
      <c r="Y7" s="95"/>
      <c r="Z7" s="95"/>
      <c r="AA7" s="95"/>
      <c r="AB7" s="95"/>
      <c r="AC7" s="95"/>
    </row>
    <row r="8" spans="1:40" ht="54.75" customHeight="1">
      <c r="A8" s="150"/>
      <c r="B8" s="150"/>
      <c r="C8" s="164"/>
      <c r="D8" s="163"/>
      <c r="E8" s="157"/>
      <c r="F8" s="150"/>
      <c r="G8" s="157"/>
      <c r="H8" s="158"/>
      <c r="I8" s="166"/>
      <c r="J8" s="171"/>
      <c r="K8" s="157"/>
      <c r="L8" s="48" t="s">
        <v>48</v>
      </c>
      <c r="M8" s="8"/>
      <c r="N8" s="8"/>
      <c r="O8" s="8"/>
      <c r="P8" s="8"/>
      <c r="Q8" s="8"/>
      <c r="R8" s="145"/>
      <c r="S8" s="145"/>
      <c r="T8" s="145"/>
      <c r="U8" s="145"/>
      <c r="V8" s="145"/>
      <c r="W8" s="150"/>
      <c r="X8" s="174"/>
      <c r="Y8" s="95"/>
      <c r="Z8" s="95"/>
      <c r="AA8" s="95"/>
      <c r="AB8" s="95"/>
    </row>
    <row r="9" spans="1:40" ht="68.25" customHeight="1">
      <c r="A9" s="149">
        <v>5</v>
      </c>
      <c r="B9" s="149" t="s">
        <v>35</v>
      </c>
      <c r="C9" s="161" t="s">
        <v>36</v>
      </c>
      <c r="D9" s="159" t="s">
        <v>49</v>
      </c>
      <c r="E9" s="153" t="s">
        <v>102</v>
      </c>
      <c r="F9" s="149">
        <v>9</v>
      </c>
      <c r="G9" s="153" t="s">
        <v>50</v>
      </c>
      <c r="H9" s="149" t="s">
        <v>469</v>
      </c>
      <c r="I9" s="167"/>
      <c r="J9" s="170" t="s">
        <v>12</v>
      </c>
      <c r="K9" s="153" t="s">
        <v>51</v>
      </c>
      <c r="L9" s="48" t="s">
        <v>17</v>
      </c>
      <c r="M9" s="8"/>
      <c r="N9" s="8"/>
      <c r="O9" s="8"/>
      <c r="P9" s="8"/>
      <c r="Q9" s="8"/>
      <c r="R9" s="144" t="str">
        <f>IF(M10,M9/M10*100,"0")</f>
        <v>0</v>
      </c>
      <c r="S9" s="144" t="str">
        <f>IF(N10,N9/N10*100,"0")</f>
        <v>0</v>
      </c>
      <c r="T9" s="144" t="str">
        <f>IF(O10,O9/O10*100,"0")</f>
        <v>0</v>
      </c>
      <c r="U9" s="144" t="str">
        <f t="shared" ref="U9:V9" si="4">IF(P10,P9/P10*100,"0")</f>
        <v>0</v>
      </c>
      <c r="V9" s="144" t="str">
        <f t="shared" si="4"/>
        <v>0</v>
      </c>
      <c r="W9" s="149" t="s">
        <v>10</v>
      </c>
      <c r="X9" s="140"/>
      <c r="Y9" s="95"/>
      <c r="Z9" s="95"/>
      <c r="AA9" s="95"/>
      <c r="AB9" s="95"/>
    </row>
    <row r="10" spans="1:40" ht="30">
      <c r="A10" s="150"/>
      <c r="B10" s="150"/>
      <c r="C10" s="164"/>
      <c r="D10" s="163"/>
      <c r="E10" s="157"/>
      <c r="F10" s="150"/>
      <c r="G10" s="157"/>
      <c r="H10" s="150"/>
      <c r="I10" s="168"/>
      <c r="J10" s="171"/>
      <c r="K10" s="157"/>
      <c r="L10" s="48" t="s">
        <v>18</v>
      </c>
      <c r="M10" s="8"/>
      <c r="N10" s="8"/>
      <c r="O10" s="8"/>
      <c r="P10" s="8"/>
      <c r="Q10" s="8"/>
      <c r="R10" s="145"/>
      <c r="S10" s="145"/>
      <c r="T10" s="145"/>
      <c r="U10" s="145"/>
      <c r="V10" s="145"/>
      <c r="W10" s="150"/>
      <c r="X10" s="141"/>
      <c r="Y10" s="95"/>
      <c r="Z10" s="95"/>
      <c r="AA10" s="95"/>
      <c r="AB10" s="95"/>
    </row>
    <row r="11" spans="1:40" ht="37.5" customHeight="1">
      <c r="A11" s="44">
        <v>6</v>
      </c>
      <c r="B11" s="88" t="s">
        <v>35</v>
      </c>
      <c r="C11" s="48" t="s">
        <v>36</v>
      </c>
      <c r="D11" s="89" t="s">
        <v>49</v>
      </c>
      <c r="E11" s="48" t="s">
        <v>102</v>
      </c>
      <c r="F11" s="44">
        <v>10</v>
      </c>
      <c r="G11" s="48" t="s">
        <v>52</v>
      </c>
      <c r="H11" s="115" t="s">
        <v>470</v>
      </c>
      <c r="I11" s="16"/>
      <c r="J11" s="44" t="s">
        <v>9</v>
      </c>
      <c r="K11" s="48" t="s">
        <v>128</v>
      </c>
      <c r="L11" s="48" t="s">
        <v>53</v>
      </c>
      <c r="M11" s="8">
        <v>0</v>
      </c>
      <c r="N11" s="8">
        <v>0</v>
      </c>
      <c r="O11" s="8"/>
      <c r="P11" s="8">
        <v>0</v>
      </c>
      <c r="Q11" s="8">
        <v>0</v>
      </c>
      <c r="R11" s="92">
        <f t="shared" ref="R11:T12" si="5">M11</f>
        <v>0</v>
      </c>
      <c r="S11" s="92">
        <f t="shared" si="5"/>
        <v>0</v>
      </c>
      <c r="T11" s="92">
        <f t="shared" si="5"/>
        <v>0</v>
      </c>
      <c r="U11" s="92">
        <f t="shared" ref="U11:V12" si="6">P11</f>
        <v>0</v>
      </c>
      <c r="V11" s="92">
        <f t="shared" si="6"/>
        <v>0</v>
      </c>
      <c r="W11" s="44" t="s">
        <v>10</v>
      </c>
      <c r="X11" s="9"/>
      <c r="Y11" s="95"/>
      <c r="Z11" s="95"/>
      <c r="AA11" s="95"/>
      <c r="AB11" s="95"/>
    </row>
    <row r="12" spans="1:40" ht="54" customHeight="1">
      <c r="A12" s="44">
        <v>7</v>
      </c>
      <c r="B12" s="88" t="s">
        <v>35</v>
      </c>
      <c r="C12" s="48" t="s">
        <v>36</v>
      </c>
      <c r="D12" s="89" t="s">
        <v>49</v>
      </c>
      <c r="E12" s="48" t="s">
        <v>102</v>
      </c>
      <c r="F12" s="44">
        <v>14</v>
      </c>
      <c r="G12" s="48" t="s">
        <v>54</v>
      </c>
      <c r="H12" s="43" t="s">
        <v>471</v>
      </c>
      <c r="I12" s="16"/>
      <c r="J12" s="44" t="s">
        <v>9</v>
      </c>
      <c r="K12" s="48" t="s">
        <v>128</v>
      </c>
      <c r="L12" s="48" t="s">
        <v>55</v>
      </c>
      <c r="M12" s="8"/>
      <c r="N12" s="8"/>
      <c r="O12" s="8"/>
      <c r="P12" s="8"/>
      <c r="Q12" s="8"/>
      <c r="R12" s="92">
        <f t="shared" si="5"/>
        <v>0</v>
      </c>
      <c r="S12" s="92">
        <f t="shared" si="5"/>
        <v>0</v>
      </c>
      <c r="T12" s="92">
        <f t="shared" si="5"/>
        <v>0</v>
      </c>
      <c r="U12" s="92">
        <f t="shared" si="6"/>
        <v>0</v>
      </c>
      <c r="V12" s="92">
        <f t="shared" si="6"/>
        <v>0</v>
      </c>
      <c r="W12" s="44" t="s">
        <v>10</v>
      </c>
      <c r="X12" s="9"/>
      <c r="Y12" s="95"/>
      <c r="Z12" s="95"/>
      <c r="AA12" s="95"/>
      <c r="AB12" s="95"/>
    </row>
    <row r="13" spans="1:40" ht="48" customHeight="1">
      <c r="A13" s="149">
        <v>8</v>
      </c>
      <c r="B13" s="149" t="s">
        <v>35</v>
      </c>
      <c r="C13" s="161" t="s">
        <v>36</v>
      </c>
      <c r="D13" s="159" t="s">
        <v>49</v>
      </c>
      <c r="E13" s="153" t="s">
        <v>102</v>
      </c>
      <c r="F13" s="149">
        <v>15</v>
      </c>
      <c r="G13" s="153" t="s">
        <v>56</v>
      </c>
      <c r="H13" s="155" t="s">
        <v>472</v>
      </c>
      <c r="I13" s="165"/>
      <c r="J13" s="170" t="s">
        <v>12</v>
      </c>
      <c r="K13" s="153" t="s">
        <v>57</v>
      </c>
      <c r="L13" s="48" t="s">
        <v>58</v>
      </c>
      <c r="M13" s="8"/>
      <c r="N13" s="8"/>
      <c r="O13" s="8"/>
      <c r="P13" s="8"/>
      <c r="Q13" s="8"/>
      <c r="R13" s="146" t="str">
        <f>IF(M14,M13/M14*100,"0")</f>
        <v>0</v>
      </c>
      <c r="S13" s="146" t="str">
        <f>IF(N14,N13/N14*100,"0")</f>
        <v>0</v>
      </c>
      <c r="T13" s="146" t="str">
        <f>IF(O14,O13/O14*100,"0")</f>
        <v>0</v>
      </c>
      <c r="U13" s="146" t="str">
        <f t="shared" ref="U13:V13" si="7">IF(P14,P13/P14*100,"0")</f>
        <v>0</v>
      </c>
      <c r="V13" s="146" t="str">
        <f t="shared" si="7"/>
        <v>0</v>
      </c>
      <c r="W13" s="149" t="s">
        <v>10</v>
      </c>
      <c r="X13" s="140"/>
      <c r="Y13" s="95"/>
      <c r="Z13" s="95"/>
      <c r="AA13" s="95"/>
      <c r="AB13" s="95"/>
    </row>
    <row r="14" spans="1:40" ht="37.5" customHeight="1">
      <c r="A14" s="150"/>
      <c r="B14" s="150"/>
      <c r="C14" s="164"/>
      <c r="D14" s="163"/>
      <c r="E14" s="157"/>
      <c r="F14" s="150"/>
      <c r="G14" s="157"/>
      <c r="H14" s="158"/>
      <c r="I14" s="166"/>
      <c r="J14" s="171"/>
      <c r="K14" s="157"/>
      <c r="L14" s="90" t="s">
        <v>59</v>
      </c>
      <c r="M14" s="97"/>
      <c r="N14" s="97"/>
      <c r="O14" s="97"/>
      <c r="P14" s="97"/>
      <c r="Q14" s="97"/>
      <c r="R14" s="147"/>
      <c r="S14" s="147"/>
      <c r="T14" s="147"/>
      <c r="U14" s="147"/>
      <c r="V14" s="147"/>
      <c r="W14" s="150"/>
      <c r="X14" s="141"/>
      <c r="Y14" s="95"/>
      <c r="Z14" s="95"/>
      <c r="AA14" s="95"/>
      <c r="AB14" s="95"/>
    </row>
    <row r="15" spans="1:40" ht="75">
      <c r="A15" s="44">
        <v>9</v>
      </c>
      <c r="B15" s="88" t="s">
        <v>35</v>
      </c>
      <c r="C15" s="48" t="s">
        <v>36</v>
      </c>
      <c r="D15" s="89" t="s">
        <v>49</v>
      </c>
      <c r="E15" s="48" t="s">
        <v>102</v>
      </c>
      <c r="F15" s="44">
        <v>17</v>
      </c>
      <c r="G15" s="48" t="s">
        <v>60</v>
      </c>
      <c r="H15" s="43" t="s">
        <v>473</v>
      </c>
      <c r="I15" s="16"/>
      <c r="J15" s="44" t="s">
        <v>9</v>
      </c>
      <c r="K15" s="48" t="s">
        <v>128</v>
      </c>
      <c r="L15" s="48" t="s">
        <v>61</v>
      </c>
      <c r="M15" s="8"/>
      <c r="N15" s="8"/>
      <c r="O15" s="8"/>
      <c r="P15" s="8"/>
      <c r="Q15" s="8"/>
      <c r="R15" s="92">
        <f t="shared" ref="R15:T17" si="8">M15</f>
        <v>0</v>
      </c>
      <c r="S15" s="92">
        <f t="shared" si="8"/>
        <v>0</v>
      </c>
      <c r="T15" s="92">
        <f t="shared" si="8"/>
        <v>0</v>
      </c>
      <c r="U15" s="92">
        <f t="shared" ref="U15:V17" si="9">P15</f>
        <v>0</v>
      </c>
      <c r="V15" s="92">
        <f t="shared" si="9"/>
        <v>0</v>
      </c>
      <c r="W15" s="44" t="s">
        <v>10</v>
      </c>
      <c r="X15" s="9"/>
      <c r="Y15" s="95"/>
      <c r="Z15" s="95"/>
      <c r="AA15" s="95"/>
      <c r="AB15" s="95"/>
    </row>
    <row r="16" spans="1:40" ht="75">
      <c r="A16" s="44">
        <v>10</v>
      </c>
      <c r="B16" s="88" t="s">
        <v>35</v>
      </c>
      <c r="C16" s="48" t="s">
        <v>36</v>
      </c>
      <c r="D16" s="89" t="s">
        <v>49</v>
      </c>
      <c r="E16" s="48" t="s">
        <v>102</v>
      </c>
      <c r="F16" s="44">
        <v>19</v>
      </c>
      <c r="G16" s="48" t="s">
        <v>62</v>
      </c>
      <c r="H16" s="43" t="s">
        <v>474</v>
      </c>
      <c r="I16" s="16"/>
      <c r="J16" s="44" t="s">
        <v>9</v>
      </c>
      <c r="K16" s="48" t="s">
        <v>128</v>
      </c>
      <c r="L16" s="48" t="s">
        <v>63</v>
      </c>
      <c r="M16" s="8"/>
      <c r="N16" s="8"/>
      <c r="O16" s="8"/>
      <c r="P16" s="8"/>
      <c r="Q16" s="8"/>
      <c r="R16" s="92">
        <f t="shared" si="8"/>
        <v>0</v>
      </c>
      <c r="S16" s="92">
        <f t="shared" si="8"/>
        <v>0</v>
      </c>
      <c r="T16" s="92">
        <f t="shared" si="8"/>
        <v>0</v>
      </c>
      <c r="U16" s="92">
        <f t="shared" si="9"/>
        <v>0</v>
      </c>
      <c r="V16" s="92">
        <f t="shared" si="9"/>
        <v>0</v>
      </c>
      <c r="W16" s="44" t="s">
        <v>10</v>
      </c>
      <c r="X16" s="9"/>
      <c r="Y16" s="95"/>
      <c r="Z16" s="95"/>
      <c r="AA16" s="95"/>
      <c r="AB16" s="95"/>
    </row>
    <row r="17" spans="1:28" ht="75">
      <c r="A17" s="44">
        <v>11</v>
      </c>
      <c r="B17" s="88" t="s">
        <v>35</v>
      </c>
      <c r="C17" s="48" t="s">
        <v>36</v>
      </c>
      <c r="D17" s="89" t="s">
        <v>49</v>
      </c>
      <c r="E17" s="48" t="s">
        <v>102</v>
      </c>
      <c r="F17" s="44">
        <v>21</v>
      </c>
      <c r="G17" s="48" t="s">
        <v>64</v>
      </c>
      <c r="H17" s="43" t="s">
        <v>475</v>
      </c>
      <c r="I17" s="16"/>
      <c r="J17" s="44" t="s">
        <v>9</v>
      </c>
      <c r="K17" s="48" t="s">
        <v>128</v>
      </c>
      <c r="L17" s="48" t="s">
        <v>65</v>
      </c>
      <c r="M17" s="8"/>
      <c r="N17" s="8"/>
      <c r="O17" s="8"/>
      <c r="P17" s="8"/>
      <c r="Q17" s="8"/>
      <c r="R17" s="92">
        <f t="shared" si="8"/>
        <v>0</v>
      </c>
      <c r="S17" s="92">
        <f t="shared" si="8"/>
        <v>0</v>
      </c>
      <c r="T17" s="92">
        <f t="shared" si="8"/>
        <v>0</v>
      </c>
      <c r="U17" s="92">
        <f t="shared" si="9"/>
        <v>0</v>
      </c>
      <c r="V17" s="92">
        <f t="shared" si="9"/>
        <v>0</v>
      </c>
      <c r="W17" s="44" t="s">
        <v>10</v>
      </c>
      <c r="X17" s="9"/>
      <c r="Y17" s="95"/>
      <c r="Z17" s="95"/>
      <c r="AA17" s="95"/>
      <c r="AB17" s="95"/>
    </row>
    <row r="18" spans="1:28" ht="48" customHeight="1">
      <c r="A18" s="149">
        <v>12</v>
      </c>
      <c r="B18" s="149" t="s">
        <v>35</v>
      </c>
      <c r="C18" s="161" t="s">
        <v>36</v>
      </c>
      <c r="D18" s="159" t="s">
        <v>49</v>
      </c>
      <c r="E18" s="153" t="s">
        <v>102</v>
      </c>
      <c r="F18" s="149">
        <v>29</v>
      </c>
      <c r="G18" s="153" t="s">
        <v>66</v>
      </c>
      <c r="H18" s="155" t="s">
        <v>476</v>
      </c>
      <c r="I18" s="165"/>
      <c r="J18" s="170" t="s">
        <v>12</v>
      </c>
      <c r="K18" s="153" t="s">
        <v>67</v>
      </c>
      <c r="L18" s="48" t="s">
        <v>68</v>
      </c>
      <c r="M18" s="8"/>
      <c r="N18" s="8"/>
      <c r="O18" s="8"/>
      <c r="P18" s="8"/>
      <c r="Q18" s="8"/>
      <c r="R18" s="146" t="str">
        <f>IF(M19,M18/M19*100,"0")</f>
        <v>0</v>
      </c>
      <c r="S18" s="146" t="str">
        <f>IF(N19,N18/N19*100,"0")</f>
        <v>0</v>
      </c>
      <c r="T18" s="146" t="str">
        <f>IF(O19,O18/O19*100,"0")</f>
        <v>0</v>
      </c>
      <c r="U18" s="146" t="str">
        <f t="shared" ref="U18:V18" si="10">IF(P19,P18/P19*100,"0")</f>
        <v>0</v>
      </c>
      <c r="V18" s="146" t="str">
        <f t="shared" si="10"/>
        <v>0</v>
      </c>
      <c r="W18" s="149" t="s">
        <v>10</v>
      </c>
      <c r="X18" s="140"/>
      <c r="Y18" s="95"/>
      <c r="Z18" s="95"/>
      <c r="AA18" s="95"/>
      <c r="AB18" s="95"/>
    </row>
    <row r="19" spans="1:28" ht="45" customHeight="1">
      <c r="A19" s="150"/>
      <c r="B19" s="150"/>
      <c r="C19" s="164"/>
      <c r="D19" s="163"/>
      <c r="E19" s="157"/>
      <c r="F19" s="150"/>
      <c r="G19" s="157"/>
      <c r="H19" s="158"/>
      <c r="I19" s="166"/>
      <c r="J19" s="171"/>
      <c r="K19" s="157"/>
      <c r="L19" s="48" t="s">
        <v>69</v>
      </c>
      <c r="M19" s="8"/>
      <c r="N19" s="8"/>
      <c r="O19" s="8"/>
      <c r="P19" s="8"/>
      <c r="Q19" s="8"/>
      <c r="R19" s="147"/>
      <c r="S19" s="147"/>
      <c r="T19" s="147"/>
      <c r="U19" s="147"/>
      <c r="V19" s="147"/>
      <c r="W19" s="150"/>
      <c r="X19" s="141"/>
      <c r="Y19" s="95"/>
      <c r="Z19" s="95"/>
      <c r="AA19" s="95"/>
      <c r="AB19" s="95"/>
    </row>
    <row r="20" spans="1:28" ht="75">
      <c r="A20" s="44">
        <v>13</v>
      </c>
      <c r="B20" s="88" t="s">
        <v>35</v>
      </c>
      <c r="C20" s="48" t="s">
        <v>36</v>
      </c>
      <c r="D20" s="89" t="s">
        <v>49</v>
      </c>
      <c r="E20" s="48" t="s">
        <v>102</v>
      </c>
      <c r="F20" s="44">
        <v>30</v>
      </c>
      <c r="G20" s="48" t="s">
        <v>70</v>
      </c>
      <c r="H20" s="43" t="s">
        <v>477</v>
      </c>
      <c r="I20" s="16"/>
      <c r="J20" s="44" t="s">
        <v>9</v>
      </c>
      <c r="K20" s="48" t="s">
        <v>128</v>
      </c>
      <c r="L20" s="48" t="s">
        <v>71</v>
      </c>
      <c r="M20" s="8"/>
      <c r="N20" s="8"/>
      <c r="O20" s="8"/>
      <c r="P20" s="8"/>
      <c r="Q20" s="8"/>
      <c r="R20" s="92">
        <f t="shared" ref="R20:T23" si="11">M20</f>
        <v>0</v>
      </c>
      <c r="S20" s="92">
        <f t="shared" si="11"/>
        <v>0</v>
      </c>
      <c r="T20" s="92">
        <f t="shared" si="11"/>
        <v>0</v>
      </c>
      <c r="U20" s="92">
        <f t="shared" ref="U20:V23" si="12">P20</f>
        <v>0</v>
      </c>
      <c r="V20" s="92">
        <f t="shared" si="12"/>
        <v>0</v>
      </c>
      <c r="W20" s="44" t="s">
        <v>10</v>
      </c>
      <c r="X20" s="9"/>
      <c r="Y20" s="95"/>
      <c r="Z20" s="95"/>
      <c r="AA20" s="95"/>
      <c r="AB20" s="95"/>
    </row>
    <row r="21" spans="1:28" ht="75">
      <c r="A21" s="44">
        <v>14</v>
      </c>
      <c r="B21" s="88" t="s">
        <v>35</v>
      </c>
      <c r="C21" s="48" t="s">
        <v>36</v>
      </c>
      <c r="D21" s="89" t="s">
        <v>49</v>
      </c>
      <c r="E21" s="48" t="s">
        <v>102</v>
      </c>
      <c r="F21" s="44">
        <v>33</v>
      </c>
      <c r="G21" s="48" t="s">
        <v>72</v>
      </c>
      <c r="H21" s="43" t="s">
        <v>478</v>
      </c>
      <c r="I21" s="16"/>
      <c r="J21" s="44" t="s">
        <v>9</v>
      </c>
      <c r="K21" s="48" t="s">
        <v>128</v>
      </c>
      <c r="L21" s="48" t="s">
        <v>73</v>
      </c>
      <c r="M21" s="8"/>
      <c r="N21" s="8"/>
      <c r="O21" s="8"/>
      <c r="P21" s="8"/>
      <c r="Q21" s="8"/>
      <c r="R21" s="92">
        <f t="shared" si="11"/>
        <v>0</v>
      </c>
      <c r="S21" s="92">
        <f t="shared" si="11"/>
        <v>0</v>
      </c>
      <c r="T21" s="92">
        <f t="shared" si="11"/>
        <v>0</v>
      </c>
      <c r="U21" s="92">
        <f t="shared" si="12"/>
        <v>0</v>
      </c>
      <c r="V21" s="92">
        <f t="shared" si="12"/>
        <v>0</v>
      </c>
      <c r="W21" s="44" t="s">
        <v>10</v>
      </c>
      <c r="X21" s="9"/>
      <c r="Y21" s="95"/>
      <c r="Z21" s="95"/>
      <c r="AA21" s="95"/>
      <c r="AB21" s="95"/>
    </row>
    <row r="22" spans="1:28" ht="75">
      <c r="A22" s="44">
        <v>16</v>
      </c>
      <c r="B22" s="88" t="s">
        <v>35</v>
      </c>
      <c r="C22" s="48" t="s">
        <v>36</v>
      </c>
      <c r="D22" s="89" t="s">
        <v>49</v>
      </c>
      <c r="E22" s="48" t="s">
        <v>102</v>
      </c>
      <c r="F22" s="44">
        <v>37</v>
      </c>
      <c r="G22" s="48" t="s">
        <v>74</v>
      </c>
      <c r="H22" s="43" t="s">
        <v>479</v>
      </c>
      <c r="I22" s="16"/>
      <c r="J22" s="44" t="s">
        <v>9</v>
      </c>
      <c r="K22" s="48" t="s">
        <v>128</v>
      </c>
      <c r="L22" s="48" t="s">
        <v>11</v>
      </c>
      <c r="M22" s="8"/>
      <c r="N22" s="8"/>
      <c r="O22" s="8"/>
      <c r="P22" s="8"/>
      <c r="Q22" s="8"/>
      <c r="R22" s="92">
        <f t="shared" si="11"/>
        <v>0</v>
      </c>
      <c r="S22" s="92">
        <f t="shared" si="11"/>
        <v>0</v>
      </c>
      <c r="T22" s="92">
        <f t="shared" si="11"/>
        <v>0</v>
      </c>
      <c r="U22" s="92">
        <f t="shared" si="12"/>
        <v>0</v>
      </c>
      <c r="V22" s="92">
        <f t="shared" si="12"/>
        <v>0</v>
      </c>
      <c r="W22" s="44" t="s">
        <v>10</v>
      </c>
      <c r="X22" s="9"/>
      <c r="Y22" s="95"/>
      <c r="Z22" s="95"/>
      <c r="AA22" s="95"/>
      <c r="AB22" s="95"/>
    </row>
    <row r="23" spans="1:28" ht="60">
      <c r="A23" s="44">
        <v>17</v>
      </c>
      <c r="B23" s="88" t="s">
        <v>35</v>
      </c>
      <c r="C23" s="48" t="s">
        <v>36</v>
      </c>
      <c r="D23" s="89" t="s">
        <v>75</v>
      </c>
      <c r="E23" s="48" t="s">
        <v>103</v>
      </c>
      <c r="F23" s="44">
        <v>42</v>
      </c>
      <c r="G23" s="48" t="s">
        <v>76</v>
      </c>
      <c r="H23" s="43" t="s">
        <v>480</v>
      </c>
      <c r="I23" s="16"/>
      <c r="J23" s="44" t="s">
        <v>9</v>
      </c>
      <c r="K23" s="48" t="s">
        <v>128</v>
      </c>
      <c r="L23" s="48" t="s">
        <v>77</v>
      </c>
      <c r="M23" s="93">
        <f>M14</f>
        <v>0</v>
      </c>
      <c r="N23" s="93">
        <f t="shared" ref="N23:Q23" si="13">N14</f>
        <v>0</v>
      </c>
      <c r="O23" s="93">
        <f t="shared" si="13"/>
        <v>0</v>
      </c>
      <c r="P23" s="93">
        <f t="shared" si="13"/>
        <v>0</v>
      </c>
      <c r="Q23" s="93">
        <f t="shared" si="13"/>
        <v>0</v>
      </c>
      <c r="R23" s="92">
        <f t="shared" si="11"/>
        <v>0</v>
      </c>
      <c r="S23" s="92">
        <f t="shared" si="11"/>
        <v>0</v>
      </c>
      <c r="T23" s="92">
        <f t="shared" si="11"/>
        <v>0</v>
      </c>
      <c r="U23" s="92">
        <f t="shared" si="12"/>
        <v>0</v>
      </c>
      <c r="V23" s="92">
        <f t="shared" si="12"/>
        <v>0</v>
      </c>
      <c r="W23" s="44" t="s">
        <v>10</v>
      </c>
      <c r="X23" s="9"/>
      <c r="Y23" s="95"/>
      <c r="Z23" s="95"/>
      <c r="AA23" s="95"/>
      <c r="AB23" s="95"/>
    </row>
    <row r="24" spans="1:28" ht="43.5" customHeight="1">
      <c r="A24" s="149">
        <v>18</v>
      </c>
      <c r="B24" s="149" t="s">
        <v>35</v>
      </c>
      <c r="C24" s="153" t="s">
        <v>36</v>
      </c>
      <c r="D24" s="159" t="s">
        <v>75</v>
      </c>
      <c r="E24" s="153" t="s">
        <v>103</v>
      </c>
      <c r="F24" s="149">
        <v>43</v>
      </c>
      <c r="G24" s="153" t="s">
        <v>78</v>
      </c>
      <c r="H24" s="155" t="s">
        <v>481</v>
      </c>
      <c r="I24" s="165"/>
      <c r="J24" s="170" t="s">
        <v>12</v>
      </c>
      <c r="K24" s="153" t="s">
        <v>13</v>
      </c>
      <c r="L24" s="48" t="s">
        <v>14</v>
      </c>
      <c r="M24" s="8"/>
      <c r="N24" s="8"/>
      <c r="O24" s="8"/>
      <c r="P24" s="8"/>
      <c r="Q24" s="8"/>
      <c r="R24" s="146" t="str">
        <f>IF(M25,M24/M25*100,"0")</f>
        <v>0</v>
      </c>
      <c r="S24" s="146" t="str">
        <f>IF(N25,N24/N25*100,"0")</f>
        <v>0</v>
      </c>
      <c r="T24" s="146" t="str">
        <f>IF(O25,O24/O25*100,"0")</f>
        <v>0</v>
      </c>
      <c r="U24" s="146" t="str">
        <f t="shared" ref="U24:V24" si="14">IF(P25,P24/P25*100,"0")</f>
        <v>0</v>
      </c>
      <c r="V24" s="146" t="str">
        <f t="shared" si="14"/>
        <v>0</v>
      </c>
      <c r="W24" s="149" t="s">
        <v>10</v>
      </c>
      <c r="X24" s="140"/>
      <c r="Y24" s="95"/>
      <c r="Z24" s="95"/>
      <c r="AA24" s="95"/>
      <c r="AB24" s="95"/>
    </row>
    <row r="25" spans="1:28" ht="43.5" customHeight="1">
      <c r="A25" s="150"/>
      <c r="B25" s="150"/>
      <c r="C25" s="157"/>
      <c r="D25" s="163"/>
      <c r="E25" s="157"/>
      <c r="F25" s="150"/>
      <c r="G25" s="157"/>
      <c r="H25" s="158"/>
      <c r="I25" s="166"/>
      <c r="J25" s="171"/>
      <c r="K25" s="157"/>
      <c r="L25" s="48" t="s">
        <v>79</v>
      </c>
      <c r="M25" s="8"/>
      <c r="N25" s="8"/>
      <c r="O25" s="8"/>
      <c r="P25" s="8"/>
      <c r="Q25" s="8"/>
      <c r="R25" s="147"/>
      <c r="S25" s="147"/>
      <c r="T25" s="147"/>
      <c r="U25" s="147"/>
      <c r="V25" s="147"/>
      <c r="W25" s="150"/>
      <c r="X25" s="141"/>
      <c r="Y25" s="95"/>
      <c r="Z25" s="95"/>
      <c r="AA25" s="95"/>
      <c r="AB25" s="95"/>
    </row>
    <row r="26" spans="1:28" ht="60">
      <c r="A26" s="44">
        <v>19</v>
      </c>
      <c r="B26" s="88" t="s">
        <v>35</v>
      </c>
      <c r="C26" s="48" t="s">
        <v>36</v>
      </c>
      <c r="D26" s="89" t="s">
        <v>75</v>
      </c>
      <c r="E26" s="48" t="s">
        <v>103</v>
      </c>
      <c r="F26" s="44">
        <v>44</v>
      </c>
      <c r="G26" s="48" t="s">
        <v>80</v>
      </c>
      <c r="H26" s="116" t="s">
        <v>482</v>
      </c>
      <c r="I26" s="16"/>
      <c r="J26" s="44" t="s">
        <v>9</v>
      </c>
      <c r="K26" s="48" t="s">
        <v>128</v>
      </c>
      <c r="L26" s="48" t="s">
        <v>81</v>
      </c>
      <c r="M26" s="8"/>
      <c r="N26" s="8"/>
      <c r="O26" s="8"/>
      <c r="P26" s="8"/>
      <c r="Q26" s="8"/>
      <c r="R26" s="92">
        <f>M26</f>
        <v>0</v>
      </c>
      <c r="S26" s="92">
        <f>N26</f>
        <v>0</v>
      </c>
      <c r="T26" s="92">
        <f>O26</f>
        <v>0</v>
      </c>
      <c r="U26" s="92">
        <f t="shared" ref="U26:V26" si="15">P26</f>
        <v>0</v>
      </c>
      <c r="V26" s="92">
        <f t="shared" si="15"/>
        <v>0</v>
      </c>
      <c r="W26" s="44" t="s">
        <v>10</v>
      </c>
      <c r="X26" s="9"/>
      <c r="Y26" s="95"/>
      <c r="Z26" s="95"/>
      <c r="AA26" s="95"/>
      <c r="AB26" s="95"/>
    </row>
    <row r="27" spans="1:28" ht="60" customHeight="1">
      <c r="A27" s="149">
        <v>20</v>
      </c>
      <c r="B27" s="149" t="s">
        <v>35</v>
      </c>
      <c r="C27" s="161" t="s">
        <v>36</v>
      </c>
      <c r="D27" s="159" t="s">
        <v>75</v>
      </c>
      <c r="E27" s="153" t="s">
        <v>103</v>
      </c>
      <c r="F27" s="149">
        <v>45</v>
      </c>
      <c r="G27" s="153" t="s">
        <v>82</v>
      </c>
      <c r="H27" s="155" t="s">
        <v>483</v>
      </c>
      <c r="I27" s="165"/>
      <c r="J27" s="170" t="s">
        <v>12</v>
      </c>
      <c r="K27" s="153" t="s">
        <v>20</v>
      </c>
      <c r="L27" s="48" t="s">
        <v>21</v>
      </c>
      <c r="M27" s="8"/>
      <c r="N27" s="8"/>
      <c r="O27" s="8"/>
      <c r="P27" s="8"/>
      <c r="Q27" s="8"/>
      <c r="R27" s="144" t="str">
        <f>IF(M28,M27/M28*100,"0")</f>
        <v>0</v>
      </c>
      <c r="S27" s="144" t="str">
        <f>IF(N28,N27/N28*100,"0")</f>
        <v>0</v>
      </c>
      <c r="T27" s="144" t="str">
        <f>IF(O28,O27/O28*100,"0")</f>
        <v>0</v>
      </c>
      <c r="U27" s="144" t="str">
        <f t="shared" ref="U27:V27" si="16">IF(P28,P27/P28*100,"0")</f>
        <v>0</v>
      </c>
      <c r="V27" s="144" t="str">
        <f t="shared" si="16"/>
        <v>0</v>
      </c>
      <c r="W27" s="149" t="s">
        <v>10</v>
      </c>
      <c r="X27" s="140"/>
      <c r="Y27" s="95"/>
      <c r="Z27" s="95"/>
      <c r="AA27" s="95"/>
      <c r="AB27" s="95"/>
    </row>
    <row r="28" spans="1:28" ht="42" customHeight="1">
      <c r="A28" s="150"/>
      <c r="B28" s="150"/>
      <c r="C28" s="164"/>
      <c r="D28" s="163"/>
      <c r="E28" s="157"/>
      <c r="F28" s="150"/>
      <c r="G28" s="157"/>
      <c r="H28" s="158"/>
      <c r="I28" s="166"/>
      <c r="J28" s="171"/>
      <c r="K28" s="157"/>
      <c r="L28" s="48" t="s">
        <v>22</v>
      </c>
      <c r="M28" s="8"/>
      <c r="N28" s="8"/>
      <c r="O28" s="8"/>
      <c r="P28" s="8"/>
      <c r="Q28" s="8"/>
      <c r="R28" s="145"/>
      <c r="S28" s="145"/>
      <c r="T28" s="145"/>
      <c r="U28" s="145"/>
      <c r="V28" s="145"/>
      <c r="W28" s="150"/>
      <c r="X28" s="141"/>
      <c r="Y28" s="95"/>
      <c r="Z28" s="95"/>
      <c r="AA28" s="95"/>
      <c r="AB28" s="95"/>
    </row>
    <row r="29" spans="1:28" ht="27.75" customHeight="1">
      <c r="A29" s="149">
        <v>21</v>
      </c>
      <c r="B29" s="149" t="s">
        <v>35</v>
      </c>
      <c r="C29" s="161" t="s">
        <v>36</v>
      </c>
      <c r="D29" s="159" t="s">
        <v>75</v>
      </c>
      <c r="E29" s="153" t="s">
        <v>103</v>
      </c>
      <c r="F29" s="149">
        <v>46</v>
      </c>
      <c r="G29" s="153" t="s">
        <v>83</v>
      </c>
      <c r="H29" s="155" t="s">
        <v>484</v>
      </c>
      <c r="I29" s="165"/>
      <c r="J29" s="170" t="s">
        <v>12</v>
      </c>
      <c r="K29" s="153" t="s">
        <v>15</v>
      </c>
      <c r="L29" s="48" t="s">
        <v>84</v>
      </c>
      <c r="M29" s="128">
        <f>M14</f>
        <v>0</v>
      </c>
      <c r="N29" s="128">
        <f t="shared" ref="N29:P29" si="17">N14</f>
        <v>0</v>
      </c>
      <c r="O29" s="128">
        <f t="shared" si="17"/>
        <v>0</v>
      </c>
      <c r="P29" s="128">
        <f t="shared" si="17"/>
        <v>0</v>
      </c>
      <c r="Q29" s="8"/>
      <c r="R29" s="144" t="str">
        <f t="shared" ref="R29:V29" si="18">IF(M32,(1-((M29-M30+M31)/(M32)))*100,"0")</f>
        <v>0</v>
      </c>
      <c r="S29" s="144" t="str">
        <f t="shared" si="18"/>
        <v>0</v>
      </c>
      <c r="T29" s="144" t="str">
        <f t="shared" si="18"/>
        <v>0</v>
      </c>
      <c r="U29" s="144" t="str">
        <f t="shared" si="18"/>
        <v>0</v>
      </c>
      <c r="V29" s="144" t="str">
        <f t="shared" si="18"/>
        <v>0</v>
      </c>
      <c r="W29" s="149" t="s">
        <v>10</v>
      </c>
      <c r="X29" s="140"/>
      <c r="Y29" s="95"/>
      <c r="Z29" s="95"/>
      <c r="AA29" s="95"/>
      <c r="AB29" s="95"/>
    </row>
    <row r="30" spans="1:28" ht="27.75" customHeight="1">
      <c r="A30" s="151"/>
      <c r="B30" s="151"/>
      <c r="C30" s="162"/>
      <c r="D30" s="160"/>
      <c r="E30" s="154"/>
      <c r="F30" s="151"/>
      <c r="G30" s="154"/>
      <c r="H30" s="156"/>
      <c r="I30" s="169"/>
      <c r="J30" s="172"/>
      <c r="K30" s="154"/>
      <c r="L30" s="48" t="s">
        <v>85</v>
      </c>
      <c r="M30" s="8"/>
      <c r="N30" s="8"/>
      <c r="O30" s="8"/>
      <c r="P30" s="8"/>
      <c r="Q30" s="8"/>
      <c r="R30" s="148"/>
      <c r="S30" s="148"/>
      <c r="T30" s="148"/>
      <c r="U30" s="148"/>
      <c r="V30" s="148"/>
      <c r="W30" s="151"/>
      <c r="X30" s="152"/>
      <c r="Y30" s="95"/>
      <c r="Z30" s="95"/>
      <c r="AA30" s="95"/>
      <c r="AB30" s="95"/>
    </row>
    <row r="31" spans="1:28" ht="27.75" customHeight="1">
      <c r="A31" s="151"/>
      <c r="B31" s="151"/>
      <c r="C31" s="162"/>
      <c r="D31" s="160"/>
      <c r="E31" s="154"/>
      <c r="F31" s="151"/>
      <c r="G31" s="154"/>
      <c r="H31" s="156"/>
      <c r="I31" s="169"/>
      <c r="J31" s="172"/>
      <c r="K31" s="154"/>
      <c r="L31" s="48" t="s">
        <v>87</v>
      </c>
      <c r="M31" s="8"/>
      <c r="N31" s="8"/>
      <c r="O31" s="8"/>
      <c r="P31" s="8"/>
      <c r="Q31" s="8"/>
      <c r="R31" s="148"/>
      <c r="S31" s="148"/>
      <c r="T31" s="148"/>
      <c r="U31" s="148"/>
      <c r="V31" s="148"/>
      <c r="W31" s="151"/>
      <c r="X31" s="152"/>
      <c r="Y31" s="95"/>
      <c r="Z31" s="95"/>
      <c r="AA31" s="95"/>
      <c r="AB31" s="95"/>
    </row>
    <row r="32" spans="1:28" ht="27.75" customHeight="1">
      <c r="A32" s="151"/>
      <c r="B32" s="151"/>
      <c r="C32" s="162"/>
      <c r="D32" s="160"/>
      <c r="E32" s="154"/>
      <c r="F32" s="151"/>
      <c r="G32" s="154"/>
      <c r="H32" s="156"/>
      <c r="I32" s="169"/>
      <c r="J32" s="172"/>
      <c r="K32" s="154"/>
      <c r="L32" s="90" t="s">
        <v>86</v>
      </c>
      <c r="M32" s="8"/>
      <c r="N32" s="128">
        <f>M29</f>
        <v>0</v>
      </c>
      <c r="O32" s="128">
        <f t="shared" ref="O32:P32" si="19">N29</f>
        <v>0</v>
      </c>
      <c r="P32" s="128">
        <f t="shared" si="19"/>
        <v>0</v>
      </c>
      <c r="Q32" s="8"/>
      <c r="R32" s="148"/>
      <c r="S32" s="148"/>
      <c r="T32" s="148"/>
      <c r="U32" s="148"/>
      <c r="V32" s="148"/>
      <c r="W32" s="151"/>
      <c r="X32" s="152"/>
      <c r="Y32" s="95"/>
      <c r="Z32" s="95"/>
      <c r="AA32" s="95"/>
      <c r="AB32" s="95"/>
    </row>
    <row r="33" spans="1:28" ht="60">
      <c r="A33" s="44">
        <v>22</v>
      </c>
      <c r="B33" s="88" t="s">
        <v>35</v>
      </c>
      <c r="C33" s="48" t="s">
        <v>36</v>
      </c>
      <c r="D33" s="89" t="s">
        <v>75</v>
      </c>
      <c r="E33" s="48" t="s">
        <v>103</v>
      </c>
      <c r="F33" s="44">
        <v>53</v>
      </c>
      <c r="G33" s="48" t="s">
        <v>88</v>
      </c>
      <c r="H33" s="43" t="s">
        <v>485</v>
      </c>
      <c r="I33" s="16"/>
      <c r="J33" s="44" t="s">
        <v>9</v>
      </c>
      <c r="K33" s="48" t="s">
        <v>128</v>
      </c>
      <c r="L33" s="48" t="s">
        <v>28</v>
      </c>
      <c r="M33" s="8"/>
      <c r="N33" s="8"/>
      <c r="O33" s="8"/>
      <c r="P33" s="8"/>
      <c r="Q33" s="8"/>
      <c r="R33" s="92">
        <f>M33</f>
        <v>0</v>
      </c>
      <c r="S33" s="92">
        <f>N33</f>
        <v>0</v>
      </c>
      <c r="T33" s="92">
        <f>O33</f>
        <v>0</v>
      </c>
      <c r="U33" s="92">
        <f t="shared" ref="U33:V33" si="20">P33</f>
        <v>0</v>
      </c>
      <c r="V33" s="92">
        <f t="shared" si="20"/>
        <v>0</v>
      </c>
      <c r="W33" s="44" t="s">
        <v>10</v>
      </c>
      <c r="X33" s="9"/>
      <c r="Y33" s="95"/>
      <c r="Z33" s="95"/>
      <c r="AA33" s="95"/>
      <c r="AB33" s="95"/>
    </row>
    <row r="34" spans="1:28" ht="40.5" customHeight="1">
      <c r="A34" s="149">
        <v>23</v>
      </c>
      <c r="B34" s="149" t="s">
        <v>35</v>
      </c>
      <c r="C34" s="161" t="s">
        <v>36</v>
      </c>
      <c r="D34" s="159" t="s">
        <v>75</v>
      </c>
      <c r="E34" s="153" t="s">
        <v>103</v>
      </c>
      <c r="F34" s="149">
        <v>55</v>
      </c>
      <c r="G34" s="153" t="s">
        <v>89</v>
      </c>
      <c r="H34" s="155" t="s">
        <v>486</v>
      </c>
      <c r="I34" s="165"/>
      <c r="J34" s="170" t="s">
        <v>12</v>
      </c>
      <c r="K34" s="153" t="s">
        <v>90</v>
      </c>
      <c r="L34" s="48" t="s">
        <v>91</v>
      </c>
      <c r="M34" s="8"/>
      <c r="N34" s="8"/>
      <c r="O34" s="8"/>
      <c r="P34" s="8"/>
      <c r="Q34" s="8"/>
      <c r="R34" s="146" t="str">
        <f>IF(M35,M34/M35*100,"0")</f>
        <v>0</v>
      </c>
      <c r="S34" s="146" t="str">
        <f>IF(N35,N34/N35*100,"0")</f>
        <v>0</v>
      </c>
      <c r="T34" s="146" t="str">
        <f>IF(O35,O34/O35*100,"0")</f>
        <v>0</v>
      </c>
      <c r="U34" s="146" t="str">
        <f t="shared" ref="U34:V34" si="21">IF(P35,P34/P35*100,"0")</f>
        <v>0</v>
      </c>
      <c r="V34" s="146" t="str">
        <f t="shared" si="21"/>
        <v>0</v>
      </c>
      <c r="W34" s="149" t="s">
        <v>10</v>
      </c>
      <c r="X34" s="142"/>
      <c r="Y34" s="95"/>
      <c r="Z34" s="95"/>
      <c r="AA34" s="95"/>
      <c r="AB34" s="95"/>
    </row>
    <row r="35" spans="1:28" ht="40.5" customHeight="1">
      <c r="A35" s="150"/>
      <c r="B35" s="150"/>
      <c r="C35" s="164"/>
      <c r="D35" s="163"/>
      <c r="E35" s="157"/>
      <c r="F35" s="150"/>
      <c r="G35" s="157"/>
      <c r="H35" s="158"/>
      <c r="I35" s="166"/>
      <c r="J35" s="171"/>
      <c r="K35" s="157"/>
      <c r="L35" s="91" t="s">
        <v>92</v>
      </c>
      <c r="M35" s="94">
        <f t="shared" ref="M35:Q35" si="22">M14</f>
        <v>0</v>
      </c>
      <c r="N35" s="94">
        <f t="shared" si="22"/>
        <v>0</v>
      </c>
      <c r="O35" s="94">
        <f t="shared" si="22"/>
        <v>0</v>
      </c>
      <c r="P35" s="94">
        <f t="shared" si="22"/>
        <v>0</v>
      </c>
      <c r="Q35" s="94">
        <f t="shared" si="22"/>
        <v>0</v>
      </c>
      <c r="R35" s="147"/>
      <c r="S35" s="147"/>
      <c r="T35" s="147"/>
      <c r="U35" s="147"/>
      <c r="V35" s="147"/>
      <c r="W35" s="150"/>
      <c r="X35" s="143"/>
      <c r="Y35" s="95"/>
      <c r="Z35" s="95"/>
      <c r="AA35" s="95"/>
      <c r="AB35" s="95"/>
    </row>
    <row r="36" spans="1:28" ht="90">
      <c r="A36" s="44">
        <v>24</v>
      </c>
      <c r="B36" s="88" t="s">
        <v>35</v>
      </c>
      <c r="C36" s="48" t="s">
        <v>36</v>
      </c>
      <c r="D36" s="89" t="s">
        <v>75</v>
      </c>
      <c r="E36" s="48" t="s">
        <v>103</v>
      </c>
      <c r="F36" s="44">
        <v>57</v>
      </c>
      <c r="G36" s="48" t="s">
        <v>93</v>
      </c>
      <c r="H36" s="43" t="s">
        <v>487</v>
      </c>
      <c r="I36" s="16"/>
      <c r="J36" s="44" t="s">
        <v>9</v>
      </c>
      <c r="K36" s="48" t="s">
        <v>128</v>
      </c>
      <c r="L36" s="48" t="s">
        <v>27</v>
      </c>
      <c r="M36" s="8"/>
      <c r="N36" s="8"/>
      <c r="O36" s="8"/>
      <c r="P36" s="8"/>
      <c r="Q36" s="8"/>
      <c r="R36" s="92">
        <f t="shared" ref="R36:T39" si="23">M36</f>
        <v>0</v>
      </c>
      <c r="S36" s="92">
        <f t="shared" si="23"/>
        <v>0</v>
      </c>
      <c r="T36" s="92">
        <f t="shared" si="23"/>
        <v>0</v>
      </c>
      <c r="U36" s="92">
        <f t="shared" ref="U36:V39" si="24">P36</f>
        <v>0</v>
      </c>
      <c r="V36" s="92">
        <f t="shared" si="24"/>
        <v>0</v>
      </c>
      <c r="W36" s="44" t="s">
        <v>10</v>
      </c>
      <c r="X36" s="9"/>
      <c r="Y36" s="95"/>
      <c r="Z36" s="95"/>
      <c r="AA36" s="95"/>
      <c r="AB36" s="95"/>
    </row>
    <row r="37" spans="1:28" ht="75">
      <c r="A37" s="44">
        <v>25</v>
      </c>
      <c r="B37" s="88" t="s">
        <v>35</v>
      </c>
      <c r="C37" s="48" t="s">
        <v>36</v>
      </c>
      <c r="D37" s="89" t="s">
        <v>75</v>
      </c>
      <c r="E37" s="48" t="s">
        <v>103</v>
      </c>
      <c r="F37" s="44">
        <v>58</v>
      </c>
      <c r="G37" s="48" t="s">
        <v>94</v>
      </c>
      <c r="H37" s="43" t="s">
        <v>488</v>
      </c>
      <c r="I37" s="16"/>
      <c r="J37" s="44" t="s">
        <v>9</v>
      </c>
      <c r="K37" s="48" t="s">
        <v>128</v>
      </c>
      <c r="L37" s="48" t="s">
        <v>95</v>
      </c>
      <c r="M37" s="8"/>
      <c r="N37" s="8"/>
      <c r="O37" s="8"/>
      <c r="P37" s="8"/>
      <c r="Q37" s="8"/>
      <c r="R37" s="92">
        <f t="shared" si="23"/>
        <v>0</v>
      </c>
      <c r="S37" s="92">
        <f t="shared" si="23"/>
        <v>0</v>
      </c>
      <c r="T37" s="92">
        <f t="shared" si="23"/>
        <v>0</v>
      </c>
      <c r="U37" s="92">
        <f t="shared" si="24"/>
        <v>0</v>
      </c>
      <c r="V37" s="92">
        <f t="shared" si="24"/>
        <v>0</v>
      </c>
      <c r="W37" s="44" t="s">
        <v>10</v>
      </c>
      <c r="X37" s="9"/>
      <c r="Y37" s="95"/>
      <c r="Z37" s="95"/>
      <c r="AA37" s="95"/>
      <c r="AB37" s="95"/>
    </row>
    <row r="38" spans="1:28" ht="60">
      <c r="A38" s="44">
        <v>26</v>
      </c>
      <c r="B38" s="88" t="s">
        <v>35</v>
      </c>
      <c r="C38" s="48" t="s">
        <v>36</v>
      </c>
      <c r="D38" s="89" t="s">
        <v>75</v>
      </c>
      <c r="E38" s="48" t="s">
        <v>103</v>
      </c>
      <c r="F38" s="44">
        <v>61</v>
      </c>
      <c r="G38" s="48" t="s">
        <v>96</v>
      </c>
      <c r="H38" s="43" t="s">
        <v>489</v>
      </c>
      <c r="I38" s="16"/>
      <c r="J38" s="44" t="s">
        <v>9</v>
      </c>
      <c r="K38" s="48" t="s">
        <v>128</v>
      </c>
      <c r="L38" s="48" t="s">
        <v>97</v>
      </c>
      <c r="M38" s="8"/>
      <c r="N38" s="8"/>
      <c r="O38" s="8"/>
      <c r="P38" s="8"/>
      <c r="Q38" s="8"/>
      <c r="R38" s="92">
        <f t="shared" si="23"/>
        <v>0</v>
      </c>
      <c r="S38" s="92">
        <f t="shared" si="23"/>
        <v>0</v>
      </c>
      <c r="T38" s="92">
        <f t="shared" si="23"/>
        <v>0</v>
      </c>
      <c r="U38" s="92">
        <f t="shared" si="24"/>
        <v>0</v>
      </c>
      <c r="V38" s="92">
        <f t="shared" si="24"/>
        <v>0</v>
      </c>
      <c r="W38" s="44" t="s">
        <v>10</v>
      </c>
      <c r="X38" s="9"/>
      <c r="Y38" s="95"/>
      <c r="Z38" s="95"/>
      <c r="AA38" s="95"/>
      <c r="AB38" s="95"/>
    </row>
    <row r="39" spans="1:28" ht="60">
      <c r="A39" s="44">
        <v>27</v>
      </c>
      <c r="B39" s="88" t="s">
        <v>35</v>
      </c>
      <c r="C39" s="48" t="s">
        <v>36</v>
      </c>
      <c r="D39" s="89" t="s">
        <v>98</v>
      </c>
      <c r="E39" s="48" t="s">
        <v>104</v>
      </c>
      <c r="F39" s="44">
        <v>64</v>
      </c>
      <c r="G39" s="48" t="s">
        <v>99</v>
      </c>
      <c r="H39" s="43" t="s">
        <v>490</v>
      </c>
      <c r="I39" s="16"/>
      <c r="J39" s="44" t="s">
        <v>9</v>
      </c>
      <c r="K39" s="48" t="s">
        <v>128</v>
      </c>
      <c r="L39" s="48" t="s">
        <v>100</v>
      </c>
      <c r="M39" s="8"/>
      <c r="N39" s="8"/>
      <c r="O39" s="8"/>
      <c r="P39" s="8"/>
      <c r="Q39" s="8"/>
      <c r="R39" s="93">
        <f t="shared" si="23"/>
        <v>0</v>
      </c>
      <c r="S39" s="93">
        <f t="shared" si="23"/>
        <v>0</v>
      </c>
      <c r="T39" s="93">
        <f t="shared" si="23"/>
        <v>0</v>
      </c>
      <c r="U39" s="93">
        <f t="shared" si="24"/>
        <v>0</v>
      </c>
      <c r="V39" s="93">
        <f t="shared" si="24"/>
        <v>0</v>
      </c>
      <c r="W39" s="44" t="s">
        <v>10</v>
      </c>
      <c r="X39" s="9"/>
      <c r="Y39" s="95"/>
      <c r="Z39" s="95"/>
      <c r="AA39" s="95"/>
      <c r="AB39" s="95"/>
    </row>
  </sheetData>
  <sheetProtection algorithmName="SHA-512" hashValue="AF7udlXFGohJXBDblyejxvH9wh50fK+HWqf/2WrzPA4Zl7hOb20su5od7fzbIEIj+vcX16X5NaMON5f5Ihe+cg==" saltValue="gCJb936V7Ph5S1Zae5Ro5g==" spinCount="100000" sheet="1" formatCells="0" formatColumns="0" formatRows="0"/>
  <sortState xmlns:xlrd2="http://schemas.microsoft.com/office/spreadsheetml/2017/richdata2" ref="B3:X10">
    <sortCondition ref="D3:D10"/>
  </sortState>
  <mergeCells count="178">
    <mergeCell ref="G7:G8"/>
    <mergeCell ref="H7:H8"/>
    <mergeCell ref="F9:F10"/>
    <mergeCell ref="G9:G10"/>
    <mergeCell ref="H9:H10"/>
    <mergeCell ref="G13:G14"/>
    <mergeCell ref="H13:H14"/>
    <mergeCell ref="A34:A35"/>
    <mergeCell ref="A1:A2"/>
    <mergeCell ref="A5:A6"/>
    <mergeCell ref="A7:A8"/>
    <mergeCell ref="A9:A10"/>
    <mergeCell ref="A13:A14"/>
    <mergeCell ref="A18:A19"/>
    <mergeCell ref="A24:A25"/>
    <mergeCell ref="A27:A28"/>
    <mergeCell ref="A29:A32"/>
    <mergeCell ref="B1:B2"/>
    <mergeCell ref="C1:C2"/>
    <mergeCell ref="D1:D2"/>
    <mergeCell ref="E1:E2"/>
    <mergeCell ref="F7:F8"/>
    <mergeCell ref="B5:B6"/>
    <mergeCell ref="C5:C6"/>
    <mergeCell ref="L1:L2"/>
    <mergeCell ref="G1:G2"/>
    <mergeCell ref="H1:H2"/>
    <mergeCell ref="I1:I2"/>
    <mergeCell ref="J1:J2"/>
    <mergeCell ref="K1:K2"/>
    <mergeCell ref="X5:X6"/>
    <mergeCell ref="W5:W6"/>
    <mergeCell ref="F1:F2"/>
    <mergeCell ref="F5:F6"/>
    <mergeCell ref="G5:G6"/>
    <mergeCell ref="H5:H6"/>
    <mergeCell ref="X1:X2"/>
    <mergeCell ref="W1:W2"/>
    <mergeCell ref="M1:Q1"/>
    <mergeCell ref="V5:V6"/>
    <mergeCell ref="R5:R6"/>
    <mergeCell ref="S5:S6"/>
    <mergeCell ref="T5:T6"/>
    <mergeCell ref="U5:U6"/>
    <mergeCell ref="R1:V1"/>
    <mergeCell ref="R34:R35"/>
    <mergeCell ref="S34:S35"/>
    <mergeCell ref="R7:R8"/>
    <mergeCell ref="S7:S8"/>
    <mergeCell ref="T7:T8"/>
    <mergeCell ref="U7:U8"/>
    <mergeCell ref="X7:X8"/>
    <mergeCell ref="R9:R10"/>
    <mergeCell ref="S9:S10"/>
    <mergeCell ref="T9:T10"/>
    <mergeCell ref="U9:U10"/>
    <mergeCell ref="X9:X10"/>
    <mergeCell ref="W7:W8"/>
    <mergeCell ref="W9:W10"/>
    <mergeCell ref="T24:T25"/>
    <mergeCell ref="U24:U25"/>
    <mergeCell ref="W24:W25"/>
    <mergeCell ref="U34:U35"/>
    <mergeCell ref="W34:W35"/>
    <mergeCell ref="S24:S25"/>
    <mergeCell ref="T34:T35"/>
    <mergeCell ref="R13:R14"/>
    <mergeCell ref="R24:R25"/>
    <mergeCell ref="U13:U14"/>
    <mergeCell ref="R18:R19"/>
    <mergeCell ref="S18:S19"/>
    <mergeCell ref="T18:T19"/>
    <mergeCell ref="U18:U19"/>
    <mergeCell ref="S13:S14"/>
    <mergeCell ref="T13:T14"/>
    <mergeCell ref="K27:K28"/>
    <mergeCell ref="J29:J32"/>
    <mergeCell ref="K29:K32"/>
    <mergeCell ref="R29:R32"/>
    <mergeCell ref="S29:S32"/>
    <mergeCell ref="T29:T32"/>
    <mergeCell ref="U29:U32"/>
    <mergeCell ref="R27:R28"/>
    <mergeCell ref="S27:S28"/>
    <mergeCell ref="T27:T28"/>
    <mergeCell ref="U27:U28"/>
    <mergeCell ref="K34:K35"/>
    <mergeCell ref="I5:I6"/>
    <mergeCell ref="I7:I8"/>
    <mergeCell ref="I9:I10"/>
    <mergeCell ref="I13:I14"/>
    <mergeCell ref="I18:I19"/>
    <mergeCell ref="I24:I25"/>
    <mergeCell ref="I29:I32"/>
    <mergeCell ref="I34:I35"/>
    <mergeCell ref="J34:J35"/>
    <mergeCell ref="J27:J28"/>
    <mergeCell ref="I27:I28"/>
    <mergeCell ref="J5:J6"/>
    <mergeCell ref="K5:K6"/>
    <mergeCell ref="J7:J8"/>
    <mergeCell ref="K7:K8"/>
    <mergeCell ref="J9:J10"/>
    <mergeCell ref="K9:K10"/>
    <mergeCell ref="J13:J14"/>
    <mergeCell ref="K13:K14"/>
    <mergeCell ref="J18:J19"/>
    <mergeCell ref="K18:K19"/>
    <mergeCell ref="J24:J25"/>
    <mergeCell ref="K24:K25"/>
    <mergeCell ref="D5:D6"/>
    <mergeCell ref="E5:E6"/>
    <mergeCell ref="B7:B8"/>
    <mergeCell ref="C7:C8"/>
    <mergeCell ref="D7:D8"/>
    <mergeCell ref="E7:E8"/>
    <mergeCell ref="E9:E10"/>
    <mergeCell ref="D9:D10"/>
    <mergeCell ref="C9:C10"/>
    <mergeCell ref="B9:B10"/>
    <mergeCell ref="D29:D32"/>
    <mergeCell ref="C29:C32"/>
    <mergeCell ref="B29:B32"/>
    <mergeCell ref="E34:E35"/>
    <mergeCell ref="D34:D35"/>
    <mergeCell ref="C34:C35"/>
    <mergeCell ref="B34:B35"/>
    <mergeCell ref="E13:E14"/>
    <mergeCell ref="D13:D14"/>
    <mergeCell ref="C13:C14"/>
    <mergeCell ref="B13:B14"/>
    <mergeCell ref="E18:E19"/>
    <mergeCell ref="D18:D19"/>
    <mergeCell ref="C18:C19"/>
    <mergeCell ref="B18:B19"/>
    <mergeCell ref="E24:E25"/>
    <mergeCell ref="D24:D25"/>
    <mergeCell ref="C24:C25"/>
    <mergeCell ref="B24:B25"/>
    <mergeCell ref="E27:E28"/>
    <mergeCell ref="D27:D28"/>
    <mergeCell ref="C27:C28"/>
    <mergeCell ref="B27:B28"/>
    <mergeCell ref="E29:E32"/>
    <mergeCell ref="G29:G32"/>
    <mergeCell ref="H29:H32"/>
    <mergeCell ref="G34:G35"/>
    <mergeCell ref="H34:H35"/>
    <mergeCell ref="F13:F14"/>
    <mergeCell ref="F18:F19"/>
    <mergeCell ref="F24:F25"/>
    <mergeCell ref="F29:F32"/>
    <mergeCell ref="F34:F35"/>
    <mergeCell ref="G24:G25"/>
    <mergeCell ref="H24:H25"/>
    <mergeCell ref="F27:F28"/>
    <mergeCell ref="H27:H28"/>
    <mergeCell ref="G27:G28"/>
    <mergeCell ref="G18:G19"/>
    <mergeCell ref="H18:H19"/>
    <mergeCell ref="X13:X14"/>
    <mergeCell ref="X34:X35"/>
    <mergeCell ref="X24:X25"/>
    <mergeCell ref="X27:X28"/>
    <mergeCell ref="X18:X19"/>
    <mergeCell ref="V7:V8"/>
    <mergeCell ref="V9:V10"/>
    <mergeCell ref="V13:V14"/>
    <mergeCell ref="V18:V19"/>
    <mergeCell ref="V24:V25"/>
    <mergeCell ref="V27:V28"/>
    <mergeCell ref="V29:V32"/>
    <mergeCell ref="V34:V35"/>
    <mergeCell ref="W18:W19"/>
    <mergeCell ref="W27:W28"/>
    <mergeCell ref="W29:W32"/>
    <mergeCell ref="X29:X32"/>
    <mergeCell ref="W13:W14"/>
  </mergeCells>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F9B67-D96E-482B-A5A6-058DB4C77FCA}">
  <dimension ref="A1:D20"/>
  <sheetViews>
    <sheetView workbookViewId="0">
      <selection activeCell="F10" sqref="F10"/>
    </sheetView>
  </sheetViews>
  <sheetFormatPr baseColWidth="10" defaultRowHeight="15"/>
  <cols>
    <col min="1" max="1" width="32.42578125" customWidth="1"/>
    <col min="2" max="2" width="15.28515625" customWidth="1"/>
    <col min="3" max="3" width="14.28515625" customWidth="1"/>
  </cols>
  <sheetData>
    <row r="1" spans="1:4" ht="30" customHeight="1">
      <c r="A1" s="125" t="s">
        <v>461</v>
      </c>
      <c r="B1" s="125" t="s">
        <v>605</v>
      </c>
      <c r="C1" s="125" t="s">
        <v>606</v>
      </c>
      <c r="D1" s="125" t="s">
        <v>607</v>
      </c>
    </row>
    <row r="2" spans="1:4" ht="15.75">
      <c r="A2" s="124" t="s">
        <v>587</v>
      </c>
      <c r="B2" s="126">
        <v>18</v>
      </c>
      <c r="C2" s="126">
        <v>9</v>
      </c>
      <c r="D2" s="126">
        <f>B2+C2</f>
        <v>27</v>
      </c>
    </row>
    <row r="3" spans="1:4" ht="15.75">
      <c r="A3" s="124" t="s">
        <v>588</v>
      </c>
      <c r="B3" s="126">
        <v>6</v>
      </c>
      <c r="C3" s="126">
        <v>1</v>
      </c>
      <c r="D3" s="126">
        <f t="shared" ref="D3:D19" si="0">B3+C3</f>
        <v>7</v>
      </c>
    </row>
    <row r="4" spans="1:4" ht="15.75">
      <c r="A4" s="124" t="s">
        <v>589</v>
      </c>
      <c r="B4" s="126">
        <v>3</v>
      </c>
      <c r="C4" s="126">
        <v>5</v>
      </c>
      <c r="D4" s="126">
        <f t="shared" si="0"/>
        <v>8</v>
      </c>
    </row>
    <row r="5" spans="1:4" ht="15.75">
      <c r="A5" s="124" t="s">
        <v>590</v>
      </c>
      <c r="B5" s="126">
        <v>2</v>
      </c>
      <c r="C5" s="126">
        <v>0</v>
      </c>
      <c r="D5" s="126">
        <f t="shared" si="0"/>
        <v>2</v>
      </c>
    </row>
    <row r="6" spans="1:4" ht="15.75">
      <c r="A6" s="124" t="s">
        <v>591</v>
      </c>
      <c r="B6" s="126">
        <v>4</v>
      </c>
      <c r="C6" s="126">
        <v>0</v>
      </c>
      <c r="D6" s="126">
        <f t="shared" si="0"/>
        <v>4</v>
      </c>
    </row>
    <row r="7" spans="1:4" ht="15.75">
      <c r="A7" s="124" t="s">
        <v>592</v>
      </c>
      <c r="B7" s="126">
        <v>6</v>
      </c>
      <c r="C7" s="126">
        <v>0</v>
      </c>
      <c r="D7" s="126">
        <f t="shared" si="0"/>
        <v>6</v>
      </c>
    </row>
    <row r="8" spans="1:4" ht="15.75">
      <c r="A8" s="124" t="s">
        <v>593</v>
      </c>
      <c r="B8" s="126">
        <v>2</v>
      </c>
      <c r="C8" s="126">
        <v>3</v>
      </c>
      <c r="D8" s="126">
        <f t="shared" si="0"/>
        <v>5</v>
      </c>
    </row>
    <row r="9" spans="1:4" ht="15.75">
      <c r="A9" s="124" t="s">
        <v>594</v>
      </c>
      <c r="B9" s="126">
        <v>4</v>
      </c>
      <c r="C9" s="126">
        <v>6</v>
      </c>
      <c r="D9" s="126">
        <f t="shared" si="0"/>
        <v>10</v>
      </c>
    </row>
    <row r="10" spans="1:4" ht="15.75">
      <c r="A10" s="124" t="s">
        <v>595</v>
      </c>
      <c r="B10" s="126">
        <v>0</v>
      </c>
      <c r="C10" s="126">
        <v>3</v>
      </c>
      <c r="D10" s="126">
        <f t="shared" si="0"/>
        <v>3</v>
      </c>
    </row>
    <row r="11" spans="1:4" ht="15.75">
      <c r="A11" s="124" t="s">
        <v>596</v>
      </c>
      <c r="B11" s="126">
        <v>2</v>
      </c>
      <c r="C11" s="126">
        <v>0</v>
      </c>
      <c r="D11" s="126">
        <f t="shared" si="0"/>
        <v>2</v>
      </c>
    </row>
    <row r="12" spans="1:4" ht="15.75">
      <c r="A12" s="124" t="s">
        <v>597</v>
      </c>
      <c r="B12" s="126">
        <v>2</v>
      </c>
      <c r="C12" s="126">
        <v>0</v>
      </c>
      <c r="D12" s="126">
        <f t="shared" si="0"/>
        <v>2</v>
      </c>
    </row>
    <row r="13" spans="1:4" ht="15.75">
      <c r="A13" s="124" t="s">
        <v>598</v>
      </c>
      <c r="B13" s="126">
        <v>8</v>
      </c>
      <c r="C13" s="126">
        <v>0</v>
      </c>
      <c r="D13" s="126">
        <f t="shared" si="0"/>
        <v>8</v>
      </c>
    </row>
    <row r="14" spans="1:4" ht="15.75">
      <c r="A14" s="124" t="s">
        <v>599</v>
      </c>
      <c r="B14" s="126">
        <v>1</v>
      </c>
      <c r="C14" s="126">
        <v>0</v>
      </c>
      <c r="D14" s="126">
        <f t="shared" si="0"/>
        <v>1</v>
      </c>
    </row>
    <row r="15" spans="1:4" ht="15.75">
      <c r="A15" s="124" t="s">
        <v>600</v>
      </c>
      <c r="B15" s="126">
        <v>6</v>
      </c>
      <c r="C15" s="126">
        <v>2</v>
      </c>
      <c r="D15" s="126">
        <f t="shared" si="0"/>
        <v>8</v>
      </c>
    </row>
    <row r="16" spans="1:4" ht="15.75">
      <c r="A16" s="124" t="s">
        <v>601</v>
      </c>
      <c r="B16" s="126">
        <v>5</v>
      </c>
      <c r="C16" s="126">
        <v>2</v>
      </c>
      <c r="D16" s="126">
        <f t="shared" si="0"/>
        <v>7</v>
      </c>
    </row>
    <row r="17" spans="1:4" ht="15.75">
      <c r="A17" s="124" t="s">
        <v>602</v>
      </c>
      <c r="B17" s="126">
        <v>9</v>
      </c>
      <c r="C17" s="126">
        <v>1</v>
      </c>
      <c r="D17" s="126">
        <f t="shared" si="0"/>
        <v>10</v>
      </c>
    </row>
    <row r="18" spans="1:4" ht="15.75">
      <c r="A18" s="124" t="s">
        <v>603</v>
      </c>
      <c r="B18" s="126">
        <v>1</v>
      </c>
      <c r="C18" s="126">
        <v>0</v>
      </c>
      <c r="D18" s="126">
        <f t="shared" si="0"/>
        <v>1</v>
      </c>
    </row>
    <row r="19" spans="1:4" ht="15.75">
      <c r="A19" s="124" t="s">
        <v>604</v>
      </c>
      <c r="B19" s="126">
        <v>12</v>
      </c>
      <c r="C19" s="126">
        <v>0</v>
      </c>
      <c r="D19" s="126">
        <f t="shared" si="0"/>
        <v>12</v>
      </c>
    </row>
    <row r="20" spans="1:4" ht="15.75">
      <c r="A20" s="124"/>
      <c r="B20" s="126">
        <f>SUM(B2:B19)</f>
        <v>91</v>
      </c>
      <c r="C20" s="126">
        <f t="shared" ref="C20:D20" si="1">SUM(C2:C19)</f>
        <v>32</v>
      </c>
      <c r="D20" s="126">
        <f t="shared" si="1"/>
        <v>123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08AE3-3C58-4742-96E0-C6D7F6B5B89F}">
  <dimension ref="A1:X32"/>
  <sheetViews>
    <sheetView topLeftCell="E6" zoomScale="85" zoomScaleNormal="85" workbookViewId="0">
      <selection activeCell="R1" sqref="R1:V1"/>
    </sheetView>
  </sheetViews>
  <sheetFormatPr baseColWidth="10" defaultRowHeight="15"/>
  <cols>
    <col min="3" max="3" width="40" customWidth="1"/>
    <col min="5" max="5" width="40" customWidth="1"/>
    <col min="7" max="7" width="40" customWidth="1"/>
    <col min="8" max="8" width="26.5703125" customWidth="1"/>
    <col min="9" max="9" width="45.7109375" customWidth="1"/>
    <col min="11" max="12" width="27.5703125" customWidth="1"/>
    <col min="13" max="22" width="11.42578125" style="1"/>
    <col min="23" max="23" width="13.7109375" customWidth="1"/>
    <col min="24" max="24" width="29" customWidth="1"/>
  </cols>
  <sheetData>
    <row r="1" spans="1:24" s="31" customFormat="1" ht="18.75" customHeight="1">
      <c r="A1" s="195" t="s">
        <v>437</v>
      </c>
      <c r="B1" s="195" t="s">
        <v>30</v>
      </c>
      <c r="C1" s="195" t="s">
        <v>31</v>
      </c>
      <c r="D1" s="195" t="s">
        <v>32</v>
      </c>
      <c r="E1" s="195" t="s">
        <v>33</v>
      </c>
      <c r="F1" s="195" t="s">
        <v>106</v>
      </c>
      <c r="G1" s="195" t="s">
        <v>0</v>
      </c>
      <c r="H1" s="198" t="s">
        <v>464</v>
      </c>
      <c r="I1" s="199" t="s">
        <v>1</v>
      </c>
      <c r="J1" s="195" t="s">
        <v>2</v>
      </c>
      <c r="K1" s="196" t="s">
        <v>34</v>
      </c>
      <c r="L1" s="196" t="s">
        <v>3</v>
      </c>
      <c r="M1" s="191" t="s">
        <v>4</v>
      </c>
      <c r="N1" s="191"/>
      <c r="O1" s="191"/>
      <c r="P1" s="191"/>
      <c r="Q1" s="192"/>
      <c r="R1" s="206" t="s">
        <v>5</v>
      </c>
      <c r="S1" s="206"/>
      <c r="T1" s="206"/>
      <c r="U1" s="206"/>
      <c r="V1" s="207"/>
      <c r="W1" s="196" t="s">
        <v>6</v>
      </c>
      <c r="X1" s="197" t="s">
        <v>7</v>
      </c>
    </row>
    <row r="2" spans="1:24" s="31" customFormat="1" ht="24">
      <c r="A2" s="195"/>
      <c r="B2" s="195"/>
      <c r="C2" s="195"/>
      <c r="D2" s="195"/>
      <c r="E2" s="195"/>
      <c r="F2" s="195"/>
      <c r="G2" s="195"/>
      <c r="H2" s="198"/>
      <c r="I2" s="199"/>
      <c r="J2" s="195"/>
      <c r="K2" s="196"/>
      <c r="L2" s="196"/>
      <c r="M2" s="5" t="s">
        <v>629</v>
      </c>
      <c r="N2" s="5">
        <v>2027</v>
      </c>
      <c r="O2" s="5">
        <v>2028</v>
      </c>
      <c r="P2" s="5">
        <v>2029</v>
      </c>
      <c r="Q2" s="5">
        <v>2030</v>
      </c>
      <c r="R2" s="50" t="s">
        <v>629</v>
      </c>
      <c r="S2" s="50">
        <v>2027</v>
      </c>
      <c r="T2" s="50">
        <v>2028</v>
      </c>
      <c r="U2" s="50">
        <v>2029</v>
      </c>
      <c r="V2" s="50">
        <v>2030</v>
      </c>
      <c r="W2" s="196"/>
      <c r="X2" s="197"/>
    </row>
    <row r="3" spans="1:24" ht="120">
      <c r="A3" s="44">
        <v>1</v>
      </c>
      <c r="B3" s="45" t="s">
        <v>107</v>
      </c>
      <c r="C3" s="46" t="s">
        <v>108</v>
      </c>
      <c r="D3" s="47" t="s">
        <v>109</v>
      </c>
      <c r="E3" s="46" t="s">
        <v>110</v>
      </c>
      <c r="F3" s="44">
        <v>6</v>
      </c>
      <c r="G3" s="47" t="s">
        <v>111</v>
      </c>
      <c r="H3" s="117" t="s">
        <v>491</v>
      </c>
      <c r="I3" s="17"/>
      <c r="J3" s="44" t="s">
        <v>9</v>
      </c>
      <c r="K3" s="47" t="s">
        <v>128</v>
      </c>
      <c r="L3" s="47" t="s">
        <v>112</v>
      </c>
      <c r="M3" s="25"/>
      <c r="N3" s="25"/>
      <c r="O3" s="25"/>
      <c r="P3" s="25"/>
      <c r="Q3" s="25"/>
      <c r="R3" s="52">
        <f t="shared" ref="R3:T8" si="0">M3</f>
        <v>0</v>
      </c>
      <c r="S3" s="52">
        <f t="shared" si="0"/>
        <v>0</v>
      </c>
      <c r="T3" s="52">
        <f t="shared" si="0"/>
        <v>0</v>
      </c>
      <c r="U3" s="52">
        <f t="shared" ref="U3:V3" si="1">P3</f>
        <v>0</v>
      </c>
      <c r="V3" s="52">
        <f t="shared" si="1"/>
        <v>0</v>
      </c>
      <c r="W3" s="44" t="s">
        <v>10</v>
      </c>
      <c r="X3" s="26"/>
    </row>
    <row r="4" spans="1:24" ht="120">
      <c r="A4" s="44">
        <v>2</v>
      </c>
      <c r="B4" s="45" t="s">
        <v>107</v>
      </c>
      <c r="C4" s="46" t="s">
        <v>108</v>
      </c>
      <c r="D4" s="47" t="s">
        <v>109</v>
      </c>
      <c r="E4" s="46" t="s">
        <v>110</v>
      </c>
      <c r="F4" s="44">
        <v>16</v>
      </c>
      <c r="G4" s="47" t="s">
        <v>113</v>
      </c>
      <c r="H4" s="118" t="s">
        <v>492</v>
      </c>
      <c r="I4" s="17"/>
      <c r="J4" s="44" t="s">
        <v>9</v>
      </c>
      <c r="K4" s="47" t="s">
        <v>128</v>
      </c>
      <c r="L4" s="46" t="s">
        <v>26</v>
      </c>
      <c r="M4" s="25"/>
      <c r="N4" s="25"/>
      <c r="O4" s="25"/>
      <c r="P4" s="25"/>
      <c r="Q4" s="25"/>
      <c r="R4" s="52">
        <f t="shared" si="0"/>
        <v>0</v>
      </c>
      <c r="S4" s="52">
        <f t="shared" si="0"/>
        <v>0</v>
      </c>
      <c r="T4" s="52">
        <f t="shared" si="0"/>
        <v>0</v>
      </c>
      <c r="U4" s="52">
        <f t="shared" ref="U4:V8" si="2">P4</f>
        <v>0</v>
      </c>
      <c r="V4" s="52">
        <f t="shared" si="2"/>
        <v>0</v>
      </c>
      <c r="W4" s="44" t="s">
        <v>10</v>
      </c>
      <c r="X4" s="26"/>
    </row>
    <row r="5" spans="1:24" ht="120">
      <c r="A5" s="44">
        <v>3</v>
      </c>
      <c r="B5" s="45" t="s">
        <v>107</v>
      </c>
      <c r="C5" s="46" t="s">
        <v>108</v>
      </c>
      <c r="D5" s="47" t="s">
        <v>114</v>
      </c>
      <c r="E5" s="46" t="s">
        <v>115</v>
      </c>
      <c r="F5" s="44">
        <v>12</v>
      </c>
      <c r="G5" s="47" t="s">
        <v>116</v>
      </c>
      <c r="H5" s="117" t="s">
        <v>493</v>
      </c>
      <c r="I5" s="17"/>
      <c r="J5" s="44" t="s">
        <v>9</v>
      </c>
      <c r="K5" s="47" t="s">
        <v>128</v>
      </c>
      <c r="L5" s="47" t="s">
        <v>117</v>
      </c>
      <c r="M5" s="25"/>
      <c r="N5" s="25"/>
      <c r="O5" s="25"/>
      <c r="P5" s="25"/>
      <c r="Q5" s="25"/>
      <c r="R5" s="52">
        <f t="shared" si="0"/>
        <v>0</v>
      </c>
      <c r="S5" s="52">
        <f t="shared" si="0"/>
        <v>0</v>
      </c>
      <c r="T5" s="52">
        <f t="shared" si="0"/>
        <v>0</v>
      </c>
      <c r="U5" s="52">
        <f t="shared" si="2"/>
        <v>0</v>
      </c>
      <c r="V5" s="52">
        <f t="shared" si="2"/>
        <v>0</v>
      </c>
      <c r="W5" s="44" t="s">
        <v>10</v>
      </c>
      <c r="X5" s="26"/>
    </row>
    <row r="6" spans="1:24" ht="120">
      <c r="A6" s="44">
        <v>4</v>
      </c>
      <c r="B6" s="45" t="s">
        <v>107</v>
      </c>
      <c r="C6" s="46" t="s">
        <v>108</v>
      </c>
      <c r="D6" s="47" t="s">
        <v>114</v>
      </c>
      <c r="E6" s="46" t="s">
        <v>115</v>
      </c>
      <c r="F6" s="44">
        <v>15</v>
      </c>
      <c r="G6" s="47" t="s">
        <v>118</v>
      </c>
      <c r="H6" s="117" t="s">
        <v>494</v>
      </c>
      <c r="I6" s="17"/>
      <c r="J6" s="44" t="s">
        <v>9</v>
      </c>
      <c r="K6" s="47" t="s">
        <v>128</v>
      </c>
      <c r="L6" s="47" t="s">
        <v>119</v>
      </c>
      <c r="M6" s="25"/>
      <c r="N6" s="25"/>
      <c r="O6" s="25"/>
      <c r="P6" s="25"/>
      <c r="Q6" s="25"/>
      <c r="R6" s="52">
        <f t="shared" si="0"/>
        <v>0</v>
      </c>
      <c r="S6" s="52">
        <f t="shared" si="0"/>
        <v>0</v>
      </c>
      <c r="T6" s="52">
        <f t="shared" si="0"/>
        <v>0</v>
      </c>
      <c r="U6" s="52">
        <f t="shared" si="2"/>
        <v>0</v>
      </c>
      <c r="V6" s="52">
        <f t="shared" si="2"/>
        <v>0</v>
      </c>
      <c r="W6" s="44" t="s">
        <v>10</v>
      </c>
      <c r="X6" s="26"/>
    </row>
    <row r="7" spans="1:24" ht="120">
      <c r="A7" s="44">
        <v>5</v>
      </c>
      <c r="B7" s="45" t="s">
        <v>107</v>
      </c>
      <c r="C7" s="46" t="s">
        <v>108</v>
      </c>
      <c r="D7" s="47" t="s">
        <v>114</v>
      </c>
      <c r="E7" s="46" t="s">
        <v>115</v>
      </c>
      <c r="F7" s="44">
        <v>18</v>
      </c>
      <c r="G7" s="47" t="s">
        <v>120</v>
      </c>
      <c r="H7" s="117" t="s">
        <v>495</v>
      </c>
      <c r="I7" s="17"/>
      <c r="J7" s="44" t="s">
        <v>9</v>
      </c>
      <c r="K7" s="47" t="s">
        <v>128</v>
      </c>
      <c r="L7" s="47" t="s">
        <v>121</v>
      </c>
      <c r="M7" s="25"/>
      <c r="N7" s="25"/>
      <c r="O7" s="25"/>
      <c r="P7" s="25"/>
      <c r="Q7" s="25"/>
      <c r="R7" s="52">
        <f t="shared" si="0"/>
        <v>0</v>
      </c>
      <c r="S7" s="52">
        <f t="shared" si="0"/>
        <v>0</v>
      </c>
      <c r="T7" s="52">
        <f t="shared" si="0"/>
        <v>0</v>
      </c>
      <c r="U7" s="52">
        <f t="shared" si="2"/>
        <v>0</v>
      </c>
      <c r="V7" s="52">
        <f t="shared" si="2"/>
        <v>0</v>
      </c>
      <c r="W7" s="44" t="s">
        <v>10</v>
      </c>
      <c r="X7" s="26"/>
    </row>
    <row r="8" spans="1:24" ht="120">
      <c r="A8" s="44">
        <v>6</v>
      </c>
      <c r="B8" s="45" t="s">
        <v>107</v>
      </c>
      <c r="C8" s="46" t="s">
        <v>108</v>
      </c>
      <c r="D8" s="47" t="s">
        <v>114</v>
      </c>
      <c r="E8" s="46" t="s">
        <v>115</v>
      </c>
      <c r="F8" s="44">
        <v>19</v>
      </c>
      <c r="G8" s="47" t="s">
        <v>122</v>
      </c>
      <c r="H8" s="117" t="s">
        <v>496</v>
      </c>
      <c r="I8" s="17"/>
      <c r="J8" s="44" t="s">
        <v>9</v>
      </c>
      <c r="K8" s="47" t="s">
        <v>128</v>
      </c>
      <c r="L8" s="47" t="s">
        <v>123</v>
      </c>
      <c r="M8" s="25"/>
      <c r="N8" s="25"/>
      <c r="O8" s="25"/>
      <c r="P8" s="25"/>
      <c r="Q8" s="25"/>
      <c r="R8" s="52">
        <f t="shared" si="0"/>
        <v>0</v>
      </c>
      <c r="S8" s="52">
        <f t="shared" si="0"/>
        <v>0</v>
      </c>
      <c r="T8" s="52">
        <f t="shared" si="0"/>
        <v>0</v>
      </c>
      <c r="U8" s="52">
        <f t="shared" si="2"/>
        <v>0</v>
      </c>
      <c r="V8" s="52">
        <f t="shared" si="2"/>
        <v>0</v>
      </c>
      <c r="W8" s="44" t="s">
        <v>10</v>
      </c>
      <c r="X8" s="26"/>
    </row>
    <row r="9" spans="1:24" ht="120" customHeight="1">
      <c r="A9" s="149">
        <v>7</v>
      </c>
      <c r="B9" s="149" t="s">
        <v>107</v>
      </c>
      <c r="C9" s="202" t="s">
        <v>108</v>
      </c>
      <c r="D9" s="159" t="s">
        <v>114</v>
      </c>
      <c r="E9" s="202" t="s">
        <v>115</v>
      </c>
      <c r="F9" s="149">
        <v>20</v>
      </c>
      <c r="G9" s="159" t="s">
        <v>124</v>
      </c>
      <c r="H9" s="155" t="s">
        <v>497</v>
      </c>
      <c r="I9" s="155"/>
      <c r="J9" s="170" t="s">
        <v>12</v>
      </c>
      <c r="K9" s="159" t="s">
        <v>125</v>
      </c>
      <c r="L9" s="47" t="s">
        <v>126</v>
      </c>
      <c r="M9" s="25"/>
      <c r="N9" s="25"/>
      <c r="O9" s="25"/>
      <c r="P9" s="25"/>
      <c r="Q9" s="25"/>
      <c r="R9" s="200" t="str">
        <f>IF(M10,M9/M10*100,"0")</f>
        <v>0</v>
      </c>
      <c r="S9" s="200" t="str">
        <f>IF(N10,N9/N10*100,"0")</f>
        <v>0</v>
      </c>
      <c r="T9" s="200" t="str">
        <f>IF(O10,O9/O10*100,"0")</f>
        <v>0</v>
      </c>
      <c r="U9" s="200" t="str">
        <f t="shared" ref="U9:V9" si="3">IF(P10,P9/P10*100,"0")</f>
        <v>0</v>
      </c>
      <c r="V9" s="200" t="str">
        <f t="shared" si="3"/>
        <v>0</v>
      </c>
      <c r="W9" s="149" t="s">
        <v>10</v>
      </c>
      <c r="X9" s="204"/>
    </row>
    <row r="10" spans="1:24" ht="120" customHeight="1">
      <c r="A10" s="150"/>
      <c r="B10" s="150"/>
      <c r="C10" s="203"/>
      <c r="D10" s="163"/>
      <c r="E10" s="203"/>
      <c r="F10" s="150"/>
      <c r="G10" s="163"/>
      <c r="H10" s="158"/>
      <c r="I10" s="158"/>
      <c r="J10" s="171"/>
      <c r="K10" s="163"/>
      <c r="L10" s="47" t="s">
        <v>127</v>
      </c>
      <c r="M10" s="25"/>
      <c r="N10" s="25"/>
      <c r="O10" s="25"/>
      <c r="P10" s="25"/>
      <c r="Q10" s="112"/>
      <c r="R10" s="201"/>
      <c r="S10" s="201"/>
      <c r="T10" s="201"/>
      <c r="U10" s="201"/>
      <c r="V10" s="201"/>
      <c r="W10" s="150"/>
      <c r="X10" s="205"/>
    </row>
    <row r="32" spans="5:5">
      <c r="E32" s="27"/>
    </row>
  </sheetData>
  <sheetProtection algorithmName="SHA-512" hashValue="OqnyWEeXAE2UcYwOQ9a5HHo1SxcNjWvJKJe9QxJdtVf5LuKx5ZnadVz+x9ZhhyIAyZwzEyUaaPQ9FVdAyTqfQQ==" saltValue="2G+Aa2LwoGyg9izWB6MxUQ==" spinCount="100000" sheet="1" formatCells="0" formatColumns="0" formatRows="0"/>
  <mergeCells count="34">
    <mergeCell ref="T9:T10"/>
    <mergeCell ref="F1:F2"/>
    <mergeCell ref="X9:X10"/>
    <mergeCell ref="I9:I10"/>
    <mergeCell ref="G9:G10"/>
    <mergeCell ref="H9:H10"/>
    <mergeCell ref="J9:J10"/>
    <mergeCell ref="K9:K10"/>
    <mergeCell ref="W9:W10"/>
    <mergeCell ref="R9:R10"/>
    <mergeCell ref="M1:Q1"/>
    <mergeCell ref="R1:V1"/>
    <mergeCell ref="V9:V10"/>
    <mergeCell ref="C9:C10"/>
    <mergeCell ref="D9:D10"/>
    <mergeCell ref="E9:E10"/>
    <mergeCell ref="F9:F10"/>
    <mergeCell ref="S9:S10"/>
    <mergeCell ref="A1:A2"/>
    <mergeCell ref="A9:A10"/>
    <mergeCell ref="W1:W2"/>
    <mergeCell ref="X1:X2"/>
    <mergeCell ref="H1:H2"/>
    <mergeCell ref="I1:I2"/>
    <mergeCell ref="J1:J2"/>
    <mergeCell ref="K1:K2"/>
    <mergeCell ref="L1:L2"/>
    <mergeCell ref="U9:U10"/>
    <mergeCell ref="G1:G2"/>
    <mergeCell ref="B1:B2"/>
    <mergeCell ref="C1:C2"/>
    <mergeCell ref="D1:D2"/>
    <mergeCell ref="E1:E2"/>
    <mergeCell ref="B9:B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65AD-FA1B-4E64-B1AA-A294208F27B6}">
  <dimension ref="A1:AF138"/>
  <sheetViews>
    <sheetView topLeftCell="E1" zoomScale="85" zoomScaleNormal="85" workbookViewId="0">
      <selection activeCell="Q3" sqref="Q3"/>
    </sheetView>
  </sheetViews>
  <sheetFormatPr baseColWidth="10" defaultRowHeight="15"/>
  <cols>
    <col min="1" max="1" width="11.5703125" style="1"/>
    <col min="3" max="3" width="38.7109375" style="22" customWidth="1"/>
    <col min="5" max="5" width="28.85546875" style="22" customWidth="1"/>
    <col min="7" max="7" width="28.85546875" style="22" customWidth="1"/>
    <col min="8" max="8" width="11.42578125" customWidth="1"/>
    <col min="9" max="9" width="45.7109375" customWidth="1"/>
    <col min="11" max="11" width="34.140625" style="22" customWidth="1"/>
    <col min="12" max="12" width="28.85546875" style="31" customWidth="1"/>
    <col min="13" max="22" width="11.42578125" style="1"/>
    <col min="23" max="23" width="13.42578125" customWidth="1"/>
    <col min="24" max="24" width="33.7109375" customWidth="1"/>
  </cols>
  <sheetData>
    <row r="1" spans="1:32" s="1" customFormat="1" ht="18.75" customHeight="1">
      <c r="A1" s="195" t="s">
        <v>437</v>
      </c>
      <c r="B1" s="195" t="s">
        <v>30</v>
      </c>
      <c r="C1" s="195" t="s">
        <v>31</v>
      </c>
      <c r="D1" s="195" t="s">
        <v>32</v>
      </c>
      <c r="E1" s="195" t="s">
        <v>33</v>
      </c>
      <c r="F1" s="195" t="s">
        <v>106</v>
      </c>
      <c r="G1" s="195" t="s">
        <v>0</v>
      </c>
      <c r="H1" s="208" t="s">
        <v>464</v>
      </c>
      <c r="I1" s="199" t="s">
        <v>1</v>
      </c>
      <c r="J1" s="195" t="s">
        <v>2</v>
      </c>
      <c r="K1" s="196" t="s">
        <v>34</v>
      </c>
      <c r="L1" s="196" t="s">
        <v>3</v>
      </c>
      <c r="M1" s="191" t="s">
        <v>4</v>
      </c>
      <c r="N1" s="191"/>
      <c r="O1" s="191"/>
      <c r="P1" s="191"/>
      <c r="Q1" s="192"/>
      <c r="R1" s="206" t="s">
        <v>5</v>
      </c>
      <c r="S1" s="206"/>
      <c r="T1" s="206"/>
      <c r="U1" s="206"/>
      <c r="V1" s="207"/>
      <c r="W1" s="196" t="s">
        <v>6</v>
      </c>
      <c r="X1" s="211" t="s">
        <v>7</v>
      </c>
    </row>
    <row r="2" spans="1:32" s="1" customFormat="1" ht="24">
      <c r="A2" s="195"/>
      <c r="B2" s="195"/>
      <c r="C2" s="195"/>
      <c r="D2" s="195"/>
      <c r="E2" s="195"/>
      <c r="F2" s="195"/>
      <c r="G2" s="195"/>
      <c r="H2" s="208"/>
      <c r="I2" s="199"/>
      <c r="J2" s="195"/>
      <c r="K2" s="196"/>
      <c r="L2" s="196"/>
      <c r="M2" s="5" t="s">
        <v>629</v>
      </c>
      <c r="N2" s="5">
        <v>2027</v>
      </c>
      <c r="O2" s="5">
        <v>2028</v>
      </c>
      <c r="P2" s="5">
        <v>2029</v>
      </c>
      <c r="Q2" s="5">
        <v>2030</v>
      </c>
      <c r="R2" s="50" t="s">
        <v>629</v>
      </c>
      <c r="S2" s="50">
        <v>2027</v>
      </c>
      <c r="T2" s="50">
        <v>2028</v>
      </c>
      <c r="U2" s="50">
        <v>2029</v>
      </c>
      <c r="V2" s="50">
        <v>2030</v>
      </c>
      <c r="W2" s="196"/>
      <c r="X2" s="211"/>
    </row>
    <row r="3" spans="1:32" ht="165">
      <c r="A3" s="44">
        <v>1</v>
      </c>
      <c r="B3" s="45" t="s">
        <v>129</v>
      </c>
      <c r="C3" s="48" t="s">
        <v>130</v>
      </c>
      <c r="D3" s="47" t="s">
        <v>131</v>
      </c>
      <c r="E3" s="48" t="s">
        <v>132</v>
      </c>
      <c r="F3" s="44">
        <v>19</v>
      </c>
      <c r="G3" s="51" t="s">
        <v>133</v>
      </c>
      <c r="H3" s="116" t="s">
        <v>498</v>
      </c>
      <c r="I3" s="16"/>
      <c r="J3" s="44" t="s">
        <v>9</v>
      </c>
      <c r="K3" s="47" t="s">
        <v>128</v>
      </c>
      <c r="L3" s="47" t="s">
        <v>134</v>
      </c>
      <c r="M3" s="25">
        <v>3</v>
      </c>
      <c r="N3" s="25">
        <v>2</v>
      </c>
      <c r="O3" s="25">
        <v>2</v>
      </c>
      <c r="P3" s="25">
        <v>2</v>
      </c>
      <c r="Q3" s="25">
        <v>2</v>
      </c>
      <c r="R3" s="52">
        <f>M3</f>
        <v>3</v>
      </c>
      <c r="S3" s="52">
        <f>N3</f>
        <v>2</v>
      </c>
      <c r="T3" s="52">
        <f>O3</f>
        <v>2</v>
      </c>
      <c r="U3" s="52">
        <f t="shared" ref="U3:V3" si="0">P3</f>
        <v>2</v>
      </c>
      <c r="V3" s="52">
        <f t="shared" si="0"/>
        <v>2</v>
      </c>
      <c r="W3" s="44" t="s">
        <v>10</v>
      </c>
      <c r="X3" s="26"/>
    </row>
    <row r="4" spans="1:32" ht="75" customHeight="1">
      <c r="A4" s="149">
        <v>2</v>
      </c>
      <c r="B4" s="149" t="s">
        <v>129</v>
      </c>
      <c r="C4" s="153" t="s">
        <v>130</v>
      </c>
      <c r="D4" s="159" t="s">
        <v>131</v>
      </c>
      <c r="E4" s="153" t="s">
        <v>132</v>
      </c>
      <c r="F4" s="149">
        <v>20</v>
      </c>
      <c r="G4" s="153" t="s">
        <v>135</v>
      </c>
      <c r="H4" s="209" t="s">
        <v>499</v>
      </c>
      <c r="I4" s="165"/>
      <c r="J4" s="170" t="s">
        <v>12</v>
      </c>
      <c r="K4" s="153" t="s">
        <v>136</v>
      </c>
      <c r="L4" s="47" t="s">
        <v>137</v>
      </c>
      <c r="M4" s="25"/>
      <c r="N4" s="25"/>
      <c r="O4" s="25"/>
      <c r="P4" s="25"/>
      <c r="Q4" s="25"/>
      <c r="R4" s="212" t="str">
        <f>IF(M5,M4/M5*100,"0")</f>
        <v>0</v>
      </c>
      <c r="S4" s="212" t="str">
        <f>IF(N5,N4/N5*100,"0")</f>
        <v>0</v>
      </c>
      <c r="T4" s="212" t="str">
        <f>IF(O5,O4/O5*100,"0")</f>
        <v>0</v>
      </c>
      <c r="U4" s="212" t="str">
        <f t="shared" ref="U4:V4" si="1">IF(P5,P4/P5*100,"0")</f>
        <v>0</v>
      </c>
      <c r="V4" s="212" t="str">
        <f t="shared" si="1"/>
        <v>0</v>
      </c>
      <c r="W4" s="149" t="s">
        <v>10</v>
      </c>
      <c r="X4" s="204"/>
    </row>
    <row r="5" spans="1:32" ht="75" customHeight="1">
      <c r="A5" s="150"/>
      <c r="B5" s="150"/>
      <c r="C5" s="157"/>
      <c r="D5" s="163"/>
      <c r="E5" s="157"/>
      <c r="F5" s="150"/>
      <c r="G5" s="157"/>
      <c r="H5" s="210"/>
      <c r="I5" s="166"/>
      <c r="J5" s="171"/>
      <c r="K5" s="157"/>
      <c r="L5" s="47" t="s">
        <v>138</v>
      </c>
      <c r="M5" s="25"/>
      <c r="N5" s="25"/>
      <c r="O5" s="25"/>
      <c r="P5" s="25"/>
      <c r="Q5" s="25"/>
      <c r="R5" s="213"/>
      <c r="S5" s="213"/>
      <c r="T5" s="213"/>
      <c r="U5" s="213"/>
      <c r="V5" s="213"/>
      <c r="W5" s="150"/>
      <c r="X5" s="205"/>
    </row>
    <row r="6" spans="1:32" ht="75" customHeight="1">
      <c r="A6" s="149">
        <v>3</v>
      </c>
      <c r="B6" s="149" t="s">
        <v>129</v>
      </c>
      <c r="C6" s="153" t="s">
        <v>130</v>
      </c>
      <c r="D6" s="159" t="s">
        <v>131</v>
      </c>
      <c r="E6" s="153" t="s">
        <v>132</v>
      </c>
      <c r="F6" s="149">
        <v>21</v>
      </c>
      <c r="G6" s="153" t="s">
        <v>139</v>
      </c>
      <c r="H6" s="155" t="s">
        <v>500</v>
      </c>
      <c r="I6" s="165"/>
      <c r="J6" s="170" t="s">
        <v>12</v>
      </c>
      <c r="K6" s="153" t="s">
        <v>140</v>
      </c>
      <c r="L6" s="47" t="s">
        <v>141</v>
      </c>
      <c r="M6" s="25"/>
      <c r="N6" s="25"/>
      <c r="O6" s="25"/>
      <c r="P6" s="25"/>
      <c r="Q6" s="25"/>
      <c r="R6" s="212" t="str">
        <f>IF(M7,M6/M7*100,"0")</f>
        <v>0</v>
      </c>
      <c r="S6" s="212" t="str">
        <f>IF(N7,N6/N7*100,"0")</f>
        <v>0</v>
      </c>
      <c r="T6" s="212" t="str">
        <f>IF(O7,O6/O7*100,"0")</f>
        <v>0</v>
      </c>
      <c r="U6" s="212" t="str">
        <f t="shared" ref="U6:V6" si="2">IF(P7,P6/P7*100,"0")</f>
        <v>0</v>
      </c>
      <c r="V6" s="212" t="str">
        <f t="shared" si="2"/>
        <v>0</v>
      </c>
      <c r="W6" s="149" t="s">
        <v>10</v>
      </c>
      <c r="X6" s="204"/>
    </row>
    <row r="7" spans="1:32" ht="75" customHeight="1">
      <c r="A7" s="150"/>
      <c r="B7" s="150"/>
      <c r="C7" s="157"/>
      <c r="D7" s="163"/>
      <c r="E7" s="157"/>
      <c r="F7" s="150"/>
      <c r="G7" s="157"/>
      <c r="H7" s="158"/>
      <c r="I7" s="166"/>
      <c r="J7" s="171"/>
      <c r="K7" s="157"/>
      <c r="L7" s="98" t="s">
        <v>142</v>
      </c>
      <c r="M7" s="21"/>
      <c r="N7" s="21"/>
      <c r="O7" s="21"/>
      <c r="P7" s="21"/>
      <c r="Q7" s="21"/>
      <c r="R7" s="213"/>
      <c r="S7" s="213"/>
      <c r="T7" s="213"/>
      <c r="U7" s="213"/>
      <c r="V7" s="213"/>
      <c r="W7" s="150"/>
      <c r="X7" s="205"/>
    </row>
    <row r="8" spans="1:32" ht="75" customHeight="1">
      <c r="A8" s="149">
        <v>4</v>
      </c>
      <c r="B8" s="149" t="s">
        <v>129</v>
      </c>
      <c r="C8" s="153" t="s">
        <v>130</v>
      </c>
      <c r="D8" s="159" t="s">
        <v>131</v>
      </c>
      <c r="E8" s="153" t="s">
        <v>132</v>
      </c>
      <c r="F8" s="149">
        <v>22</v>
      </c>
      <c r="G8" s="153" t="s">
        <v>143</v>
      </c>
      <c r="H8" s="155" t="s">
        <v>501</v>
      </c>
      <c r="I8" s="165"/>
      <c r="J8" s="170" t="s">
        <v>12</v>
      </c>
      <c r="K8" s="153" t="s">
        <v>144</v>
      </c>
      <c r="L8" s="47" t="s">
        <v>145</v>
      </c>
      <c r="M8" s="25"/>
      <c r="N8" s="25"/>
      <c r="O8" s="25"/>
      <c r="P8" s="25"/>
      <c r="Q8" s="25"/>
      <c r="R8" s="212" t="str">
        <f>IF(M9,M8/M9*100,"0")</f>
        <v>0</v>
      </c>
      <c r="S8" s="212" t="str">
        <f>IF(N9,N8/N9*100,"0")</f>
        <v>0</v>
      </c>
      <c r="T8" s="212" t="str">
        <f>IF(O9,O8/O9*100,"0")</f>
        <v>0</v>
      </c>
      <c r="U8" s="212" t="str">
        <f t="shared" ref="U8:V8" si="3">IF(P9,P8/P9*100,"0")</f>
        <v>0</v>
      </c>
      <c r="V8" s="212" t="str">
        <f t="shared" si="3"/>
        <v>0</v>
      </c>
      <c r="W8" s="149" t="s">
        <v>10</v>
      </c>
      <c r="X8" s="204"/>
      <c r="AF8" s="27"/>
    </row>
    <row r="9" spans="1:32" ht="75" customHeight="1">
      <c r="A9" s="150"/>
      <c r="B9" s="150"/>
      <c r="C9" s="157"/>
      <c r="D9" s="163"/>
      <c r="E9" s="157"/>
      <c r="F9" s="150"/>
      <c r="G9" s="157"/>
      <c r="H9" s="158"/>
      <c r="I9" s="166"/>
      <c r="J9" s="171"/>
      <c r="K9" s="157"/>
      <c r="L9" s="99" t="s">
        <v>142</v>
      </c>
      <c r="M9" s="100">
        <f t="shared" ref="M9:P9" si="4">M7</f>
        <v>0</v>
      </c>
      <c r="N9" s="100">
        <f t="shared" si="4"/>
        <v>0</v>
      </c>
      <c r="O9" s="100">
        <f t="shared" si="4"/>
        <v>0</v>
      </c>
      <c r="P9" s="100">
        <f t="shared" si="4"/>
        <v>0</v>
      </c>
      <c r="Q9" s="100">
        <f t="shared" ref="Q9" si="5">Q7</f>
        <v>0</v>
      </c>
      <c r="R9" s="213"/>
      <c r="S9" s="213"/>
      <c r="T9" s="213"/>
      <c r="U9" s="213"/>
      <c r="V9" s="213"/>
      <c r="W9" s="150"/>
      <c r="X9" s="205"/>
    </row>
    <row r="10" spans="1:32" ht="158.25" customHeight="1">
      <c r="A10" s="44">
        <v>5</v>
      </c>
      <c r="B10" s="45" t="s">
        <v>129</v>
      </c>
      <c r="C10" s="48" t="s">
        <v>130</v>
      </c>
      <c r="D10" s="47" t="s">
        <v>146</v>
      </c>
      <c r="E10" s="48" t="s">
        <v>147</v>
      </c>
      <c r="F10" s="44">
        <v>3</v>
      </c>
      <c r="G10" s="51" t="s">
        <v>148</v>
      </c>
      <c r="H10" s="116" t="s">
        <v>502</v>
      </c>
      <c r="I10" s="19"/>
      <c r="J10" s="44" t="s">
        <v>9</v>
      </c>
      <c r="K10" s="47" t="s">
        <v>128</v>
      </c>
      <c r="L10" s="47" t="s">
        <v>149</v>
      </c>
      <c r="M10" s="25"/>
      <c r="N10" s="25"/>
      <c r="O10" s="25"/>
      <c r="P10" s="25"/>
      <c r="Q10" s="25"/>
      <c r="R10" s="52">
        <f t="shared" ref="R10:T11" si="6">M10</f>
        <v>0</v>
      </c>
      <c r="S10" s="52">
        <f t="shared" si="6"/>
        <v>0</v>
      </c>
      <c r="T10" s="52">
        <f t="shared" si="6"/>
        <v>0</v>
      </c>
      <c r="U10" s="52">
        <f t="shared" ref="U10:V11" si="7">P10</f>
        <v>0</v>
      </c>
      <c r="V10" s="52">
        <f t="shared" si="7"/>
        <v>0</v>
      </c>
      <c r="W10" s="44" t="s">
        <v>10</v>
      </c>
      <c r="X10" s="26"/>
    </row>
    <row r="11" spans="1:32" ht="165">
      <c r="A11" s="44">
        <v>6</v>
      </c>
      <c r="B11" s="45" t="s">
        <v>129</v>
      </c>
      <c r="C11" s="48" t="s">
        <v>130</v>
      </c>
      <c r="D11" s="47" t="s">
        <v>146</v>
      </c>
      <c r="E11" s="48" t="s">
        <v>147</v>
      </c>
      <c r="F11" s="44">
        <v>7</v>
      </c>
      <c r="G11" s="51" t="s">
        <v>150</v>
      </c>
      <c r="H11" s="116" t="s">
        <v>503</v>
      </c>
      <c r="I11" s="19"/>
      <c r="J11" s="44" t="s">
        <v>9</v>
      </c>
      <c r="K11" s="47" t="s">
        <v>128</v>
      </c>
      <c r="L11" s="47" t="s">
        <v>151</v>
      </c>
      <c r="M11" s="25"/>
      <c r="N11" s="25"/>
      <c r="O11" s="25"/>
      <c r="P11" s="25"/>
      <c r="Q11" s="25"/>
      <c r="R11" s="52">
        <f t="shared" si="6"/>
        <v>0</v>
      </c>
      <c r="S11" s="52">
        <f t="shared" si="6"/>
        <v>0</v>
      </c>
      <c r="T11" s="52">
        <f t="shared" si="6"/>
        <v>0</v>
      </c>
      <c r="U11" s="52">
        <f t="shared" si="7"/>
        <v>0</v>
      </c>
      <c r="V11" s="52">
        <f t="shared" si="7"/>
        <v>0</v>
      </c>
      <c r="W11" s="44" t="s">
        <v>10</v>
      </c>
      <c r="X11" s="26"/>
    </row>
    <row r="12" spans="1:32" ht="75" customHeight="1">
      <c r="A12" s="149">
        <v>7</v>
      </c>
      <c r="B12" s="149" t="s">
        <v>129</v>
      </c>
      <c r="C12" s="153" t="s">
        <v>130</v>
      </c>
      <c r="D12" s="159" t="s">
        <v>146</v>
      </c>
      <c r="E12" s="153" t="s">
        <v>147</v>
      </c>
      <c r="F12" s="149">
        <v>17</v>
      </c>
      <c r="G12" s="153" t="s">
        <v>152</v>
      </c>
      <c r="H12" s="155" t="s">
        <v>504</v>
      </c>
      <c r="I12" s="165"/>
      <c r="J12" s="170" t="s">
        <v>12</v>
      </c>
      <c r="K12" s="153" t="s">
        <v>153</v>
      </c>
      <c r="L12" s="47" t="s">
        <v>154</v>
      </c>
      <c r="M12" s="25"/>
      <c r="N12" s="25"/>
      <c r="O12" s="25"/>
      <c r="P12" s="25"/>
      <c r="Q12" s="25"/>
      <c r="R12" s="212" t="str">
        <f>IF(M13,M12/M13*100,"0")</f>
        <v>0</v>
      </c>
      <c r="S12" s="212" t="str">
        <f>IF(N13,N12/N13*100,"0")</f>
        <v>0</v>
      </c>
      <c r="T12" s="212" t="str">
        <f>IF(O13,O12/O13*100,"0")</f>
        <v>0</v>
      </c>
      <c r="U12" s="212" t="str">
        <f t="shared" ref="U12:V12" si="8">IF(P13,P12/P13*100,"0")</f>
        <v>0</v>
      </c>
      <c r="V12" s="212" t="str">
        <f t="shared" si="8"/>
        <v>0</v>
      </c>
      <c r="W12" s="149" t="s">
        <v>10</v>
      </c>
      <c r="X12" s="204"/>
    </row>
    <row r="13" spans="1:32" ht="75" customHeight="1">
      <c r="A13" s="150"/>
      <c r="B13" s="150"/>
      <c r="C13" s="157"/>
      <c r="D13" s="163"/>
      <c r="E13" s="157"/>
      <c r="F13" s="150"/>
      <c r="G13" s="157"/>
      <c r="H13" s="158"/>
      <c r="I13" s="166"/>
      <c r="J13" s="171"/>
      <c r="K13" s="157"/>
      <c r="L13" s="46" t="s">
        <v>155</v>
      </c>
      <c r="M13" s="25"/>
      <c r="N13" s="25"/>
      <c r="O13" s="25"/>
      <c r="P13" s="25"/>
      <c r="Q13" s="25"/>
      <c r="R13" s="213"/>
      <c r="S13" s="213"/>
      <c r="T13" s="213"/>
      <c r="U13" s="213"/>
      <c r="V13" s="213"/>
      <c r="W13" s="150"/>
      <c r="X13" s="205"/>
    </row>
    <row r="14" spans="1:32" ht="75" customHeight="1">
      <c r="A14" s="149">
        <v>8</v>
      </c>
      <c r="B14" s="149" t="s">
        <v>129</v>
      </c>
      <c r="C14" s="153" t="s">
        <v>130</v>
      </c>
      <c r="D14" s="159" t="s">
        <v>146</v>
      </c>
      <c r="E14" s="153" t="s">
        <v>147</v>
      </c>
      <c r="F14" s="149">
        <v>18</v>
      </c>
      <c r="G14" s="153" t="s">
        <v>156</v>
      </c>
      <c r="H14" s="209" t="s">
        <v>505</v>
      </c>
      <c r="I14" s="165"/>
      <c r="J14" s="170" t="s">
        <v>12</v>
      </c>
      <c r="K14" s="153" t="s">
        <v>157</v>
      </c>
      <c r="L14" s="46" t="s">
        <v>158</v>
      </c>
      <c r="M14" s="25"/>
      <c r="N14" s="25"/>
      <c r="O14" s="25"/>
      <c r="P14" s="25"/>
      <c r="Q14" s="25"/>
      <c r="R14" s="212" t="str">
        <f>IF(M15,M14/M15*100,"0")</f>
        <v>0</v>
      </c>
      <c r="S14" s="212" t="str">
        <f>IF(N15,N14/N15*100,"0")</f>
        <v>0</v>
      </c>
      <c r="T14" s="212" t="str">
        <f>IF(O15,O14/O15*100,"0")</f>
        <v>0</v>
      </c>
      <c r="U14" s="212" t="str">
        <f t="shared" ref="U14:V14" si="9">IF(P15,P14/P15*100,"0")</f>
        <v>0</v>
      </c>
      <c r="V14" s="212" t="str">
        <f t="shared" si="9"/>
        <v>0</v>
      </c>
      <c r="W14" s="149" t="s">
        <v>10</v>
      </c>
      <c r="X14" s="204"/>
    </row>
    <row r="15" spans="1:32" ht="75" customHeight="1">
      <c r="A15" s="150"/>
      <c r="B15" s="150"/>
      <c r="C15" s="157"/>
      <c r="D15" s="163"/>
      <c r="E15" s="157"/>
      <c r="F15" s="150"/>
      <c r="G15" s="157"/>
      <c r="H15" s="210"/>
      <c r="I15" s="166"/>
      <c r="J15" s="171"/>
      <c r="K15" s="157"/>
      <c r="L15" s="46" t="s">
        <v>159</v>
      </c>
      <c r="M15" s="25"/>
      <c r="N15" s="25"/>
      <c r="O15" s="25"/>
      <c r="P15" s="25"/>
      <c r="Q15" s="25"/>
      <c r="R15" s="213"/>
      <c r="S15" s="213"/>
      <c r="T15" s="213"/>
      <c r="U15" s="213"/>
      <c r="V15" s="213"/>
      <c r="W15" s="150"/>
      <c r="X15" s="205"/>
    </row>
    <row r="16" spans="1:32">
      <c r="A16" s="30"/>
      <c r="B16" s="27"/>
      <c r="C16" s="28"/>
      <c r="D16" s="27"/>
      <c r="E16" s="28"/>
      <c r="F16" s="27"/>
      <c r="G16" s="28"/>
      <c r="H16" s="27"/>
      <c r="I16" s="27"/>
      <c r="J16" s="27"/>
      <c r="K16" s="28"/>
      <c r="L16" s="29"/>
      <c r="M16" s="30"/>
      <c r="N16" s="30"/>
      <c r="O16" s="30"/>
      <c r="P16" s="30"/>
      <c r="Q16" s="30"/>
      <c r="R16" s="30"/>
      <c r="S16" s="30"/>
      <c r="T16" s="30"/>
      <c r="U16" s="30"/>
      <c r="V16" s="30"/>
      <c r="W16" s="27"/>
      <c r="X16" s="27"/>
    </row>
    <row r="17" spans="1:24">
      <c r="A17" s="30"/>
      <c r="B17" s="27"/>
      <c r="C17" s="28"/>
      <c r="D17" s="27"/>
      <c r="E17" s="28"/>
      <c r="F17" s="27"/>
      <c r="G17" s="28"/>
      <c r="H17" s="27"/>
      <c r="I17" s="27"/>
      <c r="J17" s="27"/>
      <c r="K17" s="28"/>
      <c r="L17" s="29"/>
      <c r="M17" s="30"/>
      <c r="N17" s="30"/>
      <c r="O17" s="30"/>
      <c r="P17" s="30"/>
      <c r="Q17" s="30"/>
      <c r="R17" s="30"/>
      <c r="S17" s="30"/>
      <c r="T17" s="30"/>
      <c r="U17" s="30"/>
      <c r="V17" s="30"/>
      <c r="W17" s="27"/>
      <c r="X17" s="27"/>
    </row>
    <row r="18" spans="1:24">
      <c r="A18" s="30"/>
      <c r="B18" s="27"/>
      <c r="C18" s="28"/>
      <c r="D18" s="27"/>
      <c r="E18" s="28"/>
      <c r="F18" s="27"/>
      <c r="G18" s="28"/>
      <c r="H18" s="27"/>
      <c r="I18" s="27"/>
      <c r="J18" s="27"/>
      <c r="K18" s="28"/>
      <c r="L18" s="29"/>
      <c r="M18" s="30"/>
      <c r="N18" s="30"/>
      <c r="O18" s="30"/>
      <c r="P18" s="30"/>
      <c r="Q18" s="30"/>
      <c r="R18" s="30"/>
      <c r="S18" s="30"/>
      <c r="T18" s="30"/>
      <c r="U18" s="30"/>
      <c r="V18" s="30"/>
      <c r="W18" s="27"/>
      <c r="X18" s="27"/>
    </row>
    <row r="19" spans="1:24">
      <c r="A19" s="30"/>
      <c r="B19" s="27"/>
      <c r="C19" s="28"/>
      <c r="D19" s="27"/>
      <c r="E19" s="28"/>
      <c r="F19" s="27"/>
      <c r="G19" s="28"/>
      <c r="H19" s="27"/>
      <c r="I19" s="27"/>
      <c r="J19" s="27"/>
      <c r="K19" s="28"/>
      <c r="L19" s="29"/>
      <c r="M19" s="30"/>
      <c r="N19" s="30"/>
      <c r="O19" s="30"/>
      <c r="P19" s="30"/>
      <c r="Q19" s="30"/>
      <c r="R19" s="30"/>
      <c r="S19" s="30"/>
      <c r="T19" s="30"/>
      <c r="U19" s="30"/>
      <c r="V19" s="30"/>
      <c r="W19" s="27"/>
      <c r="X19" s="27"/>
    </row>
    <row r="20" spans="1:24">
      <c r="A20" s="30"/>
      <c r="B20" s="27"/>
      <c r="C20" s="28"/>
      <c r="D20" s="27"/>
      <c r="E20" s="28"/>
      <c r="F20" s="27"/>
      <c r="G20" s="28"/>
      <c r="H20" s="27"/>
      <c r="I20" s="27"/>
      <c r="J20" s="27"/>
      <c r="K20" s="28"/>
      <c r="L20" s="29"/>
      <c r="M20" s="30"/>
      <c r="N20" s="30"/>
      <c r="O20" s="30"/>
      <c r="P20" s="30"/>
      <c r="Q20" s="30"/>
      <c r="R20" s="30"/>
      <c r="S20" s="30"/>
      <c r="T20" s="30"/>
      <c r="U20" s="30"/>
      <c r="V20" s="30"/>
      <c r="W20" s="27"/>
      <c r="X20" s="27"/>
    </row>
    <row r="21" spans="1:24">
      <c r="A21" s="30"/>
      <c r="B21" s="27"/>
      <c r="C21" s="28"/>
      <c r="D21" s="27"/>
      <c r="E21" s="28"/>
      <c r="F21" s="27"/>
      <c r="G21" s="28"/>
      <c r="H21" s="27"/>
      <c r="I21" s="27"/>
      <c r="J21" s="27"/>
      <c r="K21" s="28"/>
      <c r="L21" s="29"/>
      <c r="M21" s="30"/>
      <c r="N21" s="30"/>
      <c r="O21" s="30"/>
      <c r="P21" s="30"/>
      <c r="Q21" s="30"/>
      <c r="R21" s="30"/>
      <c r="S21" s="30"/>
      <c r="T21" s="30"/>
      <c r="U21" s="30"/>
      <c r="V21" s="30"/>
      <c r="W21" s="27"/>
      <c r="X21" s="27"/>
    </row>
    <row r="22" spans="1:24">
      <c r="A22" s="30"/>
      <c r="B22" s="27"/>
      <c r="C22" s="28"/>
      <c r="D22" s="27"/>
      <c r="E22" s="28"/>
      <c r="F22" s="27"/>
      <c r="G22" s="28"/>
      <c r="H22" s="27"/>
      <c r="I22" s="27"/>
      <c r="J22" s="27"/>
      <c r="K22" s="28"/>
      <c r="L22" s="29"/>
      <c r="M22" s="30"/>
      <c r="N22" s="30"/>
      <c r="O22" s="30"/>
      <c r="P22" s="30"/>
      <c r="Q22" s="30"/>
      <c r="R22" s="30"/>
      <c r="S22" s="30"/>
      <c r="T22" s="30"/>
      <c r="U22" s="30"/>
      <c r="V22" s="30"/>
      <c r="W22" s="27"/>
      <c r="X22" s="27"/>
    </row>
    <row r="23" spans="1:24">
      <c r="A23" s="30"/>
      <c r="B23" s="27"/>
      <c r="C23" s="28"/>
      <c r="D23" s="27"/>
      <c r="E23" s="28"/>
      <c r="F23" s="27"/>
      <c r="G23" s="28"/>
      <c r="H23" s="27"/>
      <c r="I23" s="27"/>
      <c r="J23" s="27"/>
      <c r="K23" s="28"/>
      <c r="L23" s="29"/>
      <c r="M23" s="30"/>
      <c r="N23" s="30"/>
      <c r="O23" s="30"/>
      <c r="P23" s="30"/>
      <c r="Q23" s="30"/>
      <c r="R23" s="30"/>
      <c r="S23" s="30"/>
      <c r="T23" s="30"/>
      <c r="U23" s="30"/>
      <c r="V23" s="30"/>
      <c r="W23" s="27"/>
      <c r="X23" s="27"/>
    </row>
    <row r="24" spans="1:24">
      <c r="A24" s="30"/>
      <c r="B24" s="27"/>
      <c r="C24" s="28"/>
      <c r="D24" s="27"/>
      <c r="E24" s="28"/>
      <c r="F24" s="27"/>
      <c r="G24" s="28"/>
      <c r="H24" s="27"/>
      <c r="I24" s="27"/>
      <c r="J24" s="27"/>
      <c r="K24" s="28"/>
      <c r="L24" s="29"/>
      <c r="M24" s="30"/>
      <c r="N24" s="30"/>
      <c r="O24" s="30"/>
      <c r="P24" s="30"/>
      <c r="Q24" s="30"/>
      <c r="R24" s="30"/>
      <c r="S24" s="30"/>
      <c r="T24" s="30"/>
      <c r="U24" s="30"/>
      <c r="V24" s="30"/>
      <c r="W24" s="27"/>
      <c r="X24" s="27"/>
    </row>
    <row r="25" spans="1:24">
      <c r="A25" s="30"/>
      <c r="B25" s="27"/>
      <c r="C25" s="28"/>
      <c r="D25" s="27"/>
      <c r="E25" s="28"/>
      <c r="F25" s="27"/>
      <c r="G25" s="28"/>
      <c r="H25" s="27"/>
      <c r="I25" s="27"/>
      <c r="J25" s="27"/>
      <c r="K25" s="28"/>
      <c r="L25" s="29"/>
      <c r="M25" s="30"/>
      <c r="N25" s="30"/>
      <c r="O25" s="30"/>
      <c r="P25" s="30"/>
      <c r="Q25" s="30"/>
      <c r="R25" s="30"/>
      <c r="S25" s="30"/>
      <c r="T25" s="30"/>
      <c r="U25" s="30"/>
      <c r="V25" s="30"/>
      <c r="W25" s="27"/>
      <c r="X25" s="27"/>
    </row>
    <row r="26" spans="1:24">
      <c r="A26" s="30"/>
      <c r="B26" s="27"/>
      <c r="C26" s="28"/>
      <c r="D26" s="27"/>
      <c r="E26" s="28"/>
      <c r="F26" s="27"/>
      <c r="G26" s="28"/>
      <c r="H26" s="27"/>
      <c r="I26" s="27"/>
      <c r="J26" s="27"/>
      <c r="K26" s="28"/>
      <c r="L26" s="29"/>
      <c r="M26" s="30"/>
      <c r="N26" s="30"/>
      <c r="O26" s="30"/>
      <c r="P26" s="30"/>
      <c r="Q26" s="30"/>
      <c r="R26" s="30"/>
      <c r="S26" s="30"/>
      <c r="T26" s="30"/>
      <c r="U26" s="30"/>
      <c r="V26" s="30"/>
      <c r="W26" s="27"/>
      <c r="X26" s="27"/>
    </row>
    <row r="27" spans="1:24">
      <c r="A27" s="30"/>
      <c r="B27" s="27"/>
      <c r="C27" s="28"/>
      <c r="D27" s="27"/>
      <c r="E27" s="28"/>
      <c r="F27" s="27"/>
      <c r="G27" s="28"/>
      <c r="H27" s="27"/>
      <c r="I27" s="27"/>
      <c r="J27" s="27"/>
      <c r="K27" s="28"/>
      <c r="L27" s="29"/>
      <c r="M27" s="30"/>
      <c r="N27" s="30"/>
      <c r="O27" s="30"/>
      <c r="P27" s="30"/>
      <c r="Q27" s="30"/>
      <c r="R27" s="30"/>
      <c r="S27" s="30"/>
      <c r="T27" s="30"/>
      <c r="U27" s="30"/>
      <c r="V27" s="30"/>
      <c r="W27" s="27"/>
      <c r="X27" s="27"/>
    </row>
    <row r="28" spans="1:24">
      <c r="A28" s="30"/>
      <c r="B28" s="27"/>
      <c r="C28" s="28"/>
      <c r="D28" s="27"/>
      <c r="E28" s="28"/>
      <c r="F28" s="27"/>
      <c r="G28" s="28"/>
      <c r="H28" s="27"/>
      <c r="I28" s="27"/>
      <c r="J28" s="27"/>
      <c r="K28" s="28"/>
      <c r="L28" s="29"/>
      <c r="M28" s="30"/>
      <c r="N28" s="30"/>
      <c r="O28" s="30"/>
      <c r="P28" s="30"/>
      <c r="Q28" s="30"/>
      <c r="R28" s="30"/>
      <c r="S28" s="30"/>
      <c r="T28" s="30"/>
      <c r="U28" s="30"/>
      <c r="V28" s="30"/>
      <c r="W28" s="27"/>
      <c r="X28" s="27"/>
    </row>
    <row r="29" spans="1:24">
      <c r="A29" s="30"/>
      <c r="B29" s="27"/>
      <c r="C29" s="28"/>
      <c r="D29" s="27"/>
      <c r="E29" s="28"/>
      <c r="F29" s="27"/>
      <c r="G29" s="28"/>
      <c r="H29" s="27"/>
      <c r="I29" s="27"/>
      <c r="J29" s="27"/>
      <c r="K29" s="28"/>
      <c r="L29" s="29"/>
      <c r="M29" s="30"/>
      <c r="N29" s="30"/>
      <c r="O29" s="30"/>
      <c r="P29" s="30"/>
      <c r="Q29" s="30"/>
      <c r="R29" s="30"/>
      <c r="S29" s="30"/>
      <c r="T29" s="30"/>
      <c r="U29" s="30"/>
      <c r="V29" s="30"/>
      <c r="W29" s="27"/>
      <c r="X29" s="27"/>
    </row>
    <row r="30" spans="1:24">
      <c r="A30" s="30"/>
      <c r="B30" s="27"/>
      <c r="C30" s="28"/>
      <c r="D30" s="27"/>
      <c r="E30" s="28"/>
      <c r="F30" s="27"/>
      <c r="G30" s="28"/>
      <c r="H30" s="27"/>
      <c r="I30" s="27"/>
      <c r="J30" s="27"/>
      <c r="K30" s="28"/>
      <c r="L30" s="29"/>
      <c r="M30" s="30"/>
      <c r="N30" s="30"/>
      <c r="O30" s="30"/>
      <c r="P30" s="30"/>
      <c r="Q30" s="30"/>
      <c r="R30" s="30"/>
      <c r="S30" s="30"/>
      <c r="T30" s="30"/>
      <c r="U30" s="30"/>
      <c r="V30" s="30"/>
      <c r="W30" s="27"/>
      <c r="X30" s="27"/>
    </row>
    <row r="31" spans="1:24">
      <c r="A31" s="30"/>
      <c r="B31" s="27"/>
      <c r="C31" s="28"/>
      <c r="D31" s="27"/>
      <c r="E31" s="28"/>
      <c r="F31" s="27"/>
      <c r="G31" s="28"/>
      <c r="H31" s="27"/>
      <c r="I31" s="27"/>
      <c r="J31" s="27"/>
      <c r="K31" s="28"/>
      <c r="L31" s="29"/>
      <c r="M31" s="30"/>
      <c r="N31" s="30"/>
      <c r="O31" s="30"/>
      <c r="P31" s="30"/>
      <c r="Q31" s="30"/>
      <c r="R31" s="30"/>
      <c r="S31" s="30"/>
      <c r="T31" s="30"/>
      <c r="U31" s="30"/>
      <c r="V31" s="30"/>
      <c r="W31" s="27"/>
      <c r="X31" s="27"/>
    </row>
    <row r="32" spans="1:24">
      <c r="A32" s="30"/>
      <c r="B32" s="27"/>
      <c r="C32" s="28"/>
      <c r="D32" s="27"/>
      <c r="E32" s="28"/>
      <c r="F32" s="27"/>
      <c r="G32" s="28"/>
      <c r="H32" s="27"/>
      <c r="I32" s="27"/>
      <c r="J32" s="27"/>
      <c r="K32" s="28"/>
      <c r="L32" s="29"/>
      <c r="M32" s="30"/>
      <c r="N32" s="30"/>
      <c r="O32" s="30"/>
      <c r="P32" s="30"/>
      <c r="Q32" s="30"/>
      <c r="R32" s="30"/>
      <c r="S32" s="30"/>
      <c r="T32" s="30"/>
      <c r="U32" s="30"/>
      <c r="V32" s="30"/>
      <c r="W32" s="27"/>
      <c r="X32" s="27"/>
    </row>
    <row r="33" spans="1:24">
      <c r="A33" s="30"/>
      <c r="B33" s="27"/>
      <c r="C33" s="28"/>
      <c r="D33" s="27"/>
      <c r="E33" s="28"/>
      <c r="F33" s="27"/>
      <c r="G33" s="28"/>
      <c r="H33" s="27"/>
      <c r="I33" s="27"/>
      <c r="J33" s="27"/>
      <c r="K33" s="28"/>
      <c r="L33" s="29"/>
      <c r="M33" s="30"/>
      <c r="N33" s="30"/>
      <c r="O33" s="30"/>
      <c r="P33" s="30"/>
      <c r="Q33" s="30"/>
      <c r="R33" s="30"/>
      <c r="S33" s="30"/>
      <c r="T33" s="30"/>
      <c r="U33" s="30"/>
      <c r="V33" s="30"/>
      <c r="W33" s="27"/>
      <c r="X33" s="27"/>
    </row>
    <row r="34" spans="1:24">
      <c r="A34" s="30"/>
      <c r="B34" s="27"/>
      <c r="C34" s="28"/>
      <c r="D34" s="27"/>
      <c r="E34" s="28"/>
      <c r="F34" s="27"/>
      <c r="G34" s="28"/>
      <c r="H34" s="27"/>
      <c r="I34" s="27"/>
      <c r="J34" s="27"/>
      <c r="K34" s="28"/>
      <c r="L34" s="29"/>
      <c r="M34" s="30"/>
      <c r="N34" s="30"/>
      <c r="O34" s="30"/>
      <c r="P34" s="30"/>
      <c r="Q34" s="30"/>
      <c r="R34" s="30"/>
      <c r="S34" s="30"/>
      <c r="T34" s="30"/>
      <c r="U34" s="30"/>
      <c r="V34" s="30"/>
      <c r="W34" s="27"/>
      <c r="X34" s="27"/>
    </row>
    <row r="35" spans="1:24">
      <c r="A35" s="30"/>
      <c r="B35" s="27"/>
      <c r="C35" s="28"/>
      <c r="D35" s="27"/>
      <c r="E35" s="28"/>
      <c r="F35" s="27"/>
      <c r="G35" s="28"/>
      <c r="H35" s="27"/>
      <c r="I35" s="27"/>
      <c r="J35" s="27"/>
      <c r="K35" s="28"/>
      <c r="L35" s="29"/>
      <c r="M35" s="30"/>
      <c r="N35" s="30"/>
      <c r="O35" s="30"/>
      <c r="P35" s="30"/>
      <c r="Q35" s="30"/>
      <c r="R35" s="30"/>
      <c r="S35" s="30"/>
      <c r="T35" s="30"/>
      <c r="U35" s="30"/>
      <c r="V35" s="30"/>
      <c r="W35" s="27"/>
      <c r="X35" s="27"/>
    </row>
    <row r="36" spans="1:24">
      <c r="A36" s="30"/>
      <c r="B36" s="27"/>
      <c r="C36" s="28"/>
      <c r="D36" s="27"/>
      <c r="E36" s="28"/>
      <c r="F36" s="27"/>
      <c r="G36" s="28"/>
      <c r="H36" s="27"/>
      <c r="I36" s="27"/>
      <c r="J36" s="27"/>
      <c r="K36" s="28"/>
      <c r="L36" s="29"/>
      <c r="M36" s="30"/>
      <c r="N36" s="30"/>
      <c r="O36" s="30"/>
      <c r="P36" s="30"/>
      <c r="Q36" s="30"/>
      <c r="R36" s="30"/>
      <c r="S36" s="30"/>
      <c r="T36" s="30"/>
      <c r="U36" s="30"/>
      <c r="V36" s="30"/>
      <c r="W36" s="27"/>
      <c r="X36" s="27"/>
    </row>
    <row r="37" spans="1:24">
      <c r="A37" s="30"/>
      <c r="B37" s="27"/>
      <c r="C37" s="28"/>
      <c r="D37" s="27"/>
      <c r="E37" s="28"/>
      <c r="F37" s="27"/>
      <c r="G37" s="28"/>
      <c r="H37" s="27"/>
      <c r="I37" s="27"/>
      <c r="J37" s="27"/>
      <c r="K37" s="28"/>
      <c r="L37" s="29"/>
      <c r="M37" s="30"/>
      <c r="N37" s="30"/>
      <c r="O37" s="30"/>
      <c r="P37" s="30"/>
      <c r="Q37" s="30"/>
      <c r="R37" s="30"/>
      <c r="S37" s="30"/>
      <c r="T37" s="30"/>
      <c r="U37" s="30"/>
      <c r="V37" s="30"/>
      <c r="W37" s="27"/>
      <c r="X37" s="27"/>
    </row>
    <row r="38" spans="1:24">
      <c r="A38" s="30"/>
      <c r="B38" s="27"/>
      <c r="C38" s="28"/>
      <c r="D38" s="27"/>
      <c r="E38" s="28"/>
      <c r="F38" s="27"/>
      <c r="G38" s="28"/>
      <c r="H38" s="27"/>
      <c r="I38" s="27"/>
      <c r="J38" s="27"/>
      <c r="K38" s="28"/>
      <c r="L38" s="29"/>
      <c r="M38" s="30"/>
      <c r="N38" s="30"/>
      <c r="O38" s="30"/>
      <c r="P38" s="30"/>
      <c r="Q38" s="30"/>
      <c r="R38" s="30"/>
      <c r="S38" s="30"/>
      <c r="T38" s="30"/>
      <c r="U38" s="30"/>
      <c r="V38" s="30"/>
      <c r="W38" s="27"/>
      <c r="X38" s="27"/>
    </row>
    <row r="39" spans="1:24">
      <c r="A39" s="30"/>
      <c r="B39" s="27"/>
      <c r="C39" s="28"/>
      <c r="D39" s="27"/>
      <c r="E39" s="28"/>
      <c r="F39" s="27"/>
      <c r="G39" s="28"/>
      <c r="H39" s="27"/>
      <c r="I39" s="27"/>
      <c r="J39" s="27"/>
      <c r="K39" s="28"/>
      <c r="L39" s="29"/>
      <c r="M39" s="30"/>
      <c r="N39" s="30"/>
      <c r="O39" s="30"/>
      <c r="P39" s="30"/>
      <c r="Q39" s="30"/>
      <c r="R39" s="30"/>
      <c r="S39" s="30"/>
      <c r="T39" s="30"/>
      <c r="U39" s="30"/>
      <c r="V39" s="30"/>
      <c r="W39" s="27"/>
      <c r="X39" s="27"/>
    </row>
    <row r="40" spans="1:24">
      <c r="A40" s="30"/>
      <c r="B40" s="27"/>
      <c r="C40" s="28"/>
      <c r="D40" s="27"/>
      <c r="E40" s="28"/>
      <c r="F40" s="27"/>
      <c r="G40" s="28"/>
      <c r="H40" s="27"/>
      <c r="I40" s="27"/>
      <c r="J40" s="27"/>
      <c r="K40" s="28"/>
      <c r="L40" s="29"/>
      <c r="M40" s="30"/>
      <c r="N40" s="30"/>
      <c r="O40" s="30"/>
      <c r="P40" s="30"/>
      <c r="Q40" s="30"/>
      <c r="R40" s="30"/>
      <c r="S40" s="30"/>
      <c r="T40" s="30"/>
      <c r="U40" s="30"/>
      <c r="V40" s="30"/>
      <c r="W40" s="27"/>
      <c r="X40" s="27"/>
    </row>
    <row r="41" spans="1:24">
      <c r="A41" s="30"/>
      <c r="B41" s="27"/>
      <c r="C41" s="28"/>
      <c r="D41" s="27"/>
      <c r="E41" s="28"/>
      <c r="F41" s="27"/>
      <c r="G41" s="28"/>
      <c r="H41" s="27"/>
      <c r="I41" s="27"/>
      <c r="J41" s="27"/>
      <c r="K41" s="28"/>
      <c r="L41" s="29"/>
      <c r="M41" s="30"/>
      <c r="N41" s="30"/>
      <c r="O41" s="30"/>
      <c r="P41" s="30"/>
      <c r="Q41" s="30"/>
      <c r="R41" s="30"/>
      <c r="S41" s="30"/>
      <c r="T41" s="30"/>
      <c r="U41" s="30"/>
      <c r="V41" s="30"/>
      <c r="W41" s="27"/>
      <c r="X41" s="27"/>
    </row>
    <row r="42" spans="1:24">
      <c r="A42" s="30"/>
      <c r="B42" s="27"/>
      <c r="C42" s="28"/>
      <c r="D42" s="27"/>
      <c r="E42" s="28"/>
      <c r="F42" s="27"/>
      <c r="G42" s="28"/>
      <c r="H42" s="27"/>
      <c r="I42" s="27"/>
      <c r="J42" s="27"/>
      <c r="K42" s="28"/>
      <c r="L42" s="29"/>
      <c r="M42" s="30"/>
      <c r="N42" s="30"/>
      <c r="O42" s="30"/>
      <c r="P42" s="30"/>
      <c r="Q42" s="30"/>
      <c r="R42" s="30"/>
      <c r="S42" s="30"/>
      <c r="T42" s="30"/>
      <c r="U42" s="30"/>
      <c r="V42" s="30"/>
      <c r="W42" s="27"/>
      <c r="X42" s="27"/>
    </row>
    <row r="43" spans="1:24">
      <c r="A43" s="30"/>
      <c r="B43" s="27"/>
      <c r="C43" s="28"/>
      <c r="D43" s="27"/>
      <c r="E43" s="28"/>
      <c r="F43" s="27"/>
      <c r="G43" s="28"/>
      <c r="H43" s="27"/>
      <c r="I43" s="27"/>
      <c r="J43" s="27"/>
      <c r="K43" s="28"/>
      <c r="L43" s="29"/>
      <c r="M43" s="30"/>
      <c r="N43" s="30"/>
      <c r="O43" s="30"/>
      <c r="P43" s="30"/>
      <c r="Q43" s="30"/>
      <c r="R43" s="30"/>
      <c r="S43" s="30"/>
      <c r="T43" s="30"/>
      <c r="U43" s="30"/>
      <c r="V43" s="30"/>
      <c r="W43" s="27"/>
      <c r="X43" s="27"/>
    </row>
    <row r="44" spans="1:24">
      <c r="A44" s="30"/>
      <c r="B44" s="27"/>
      <c r="C44" s="28"/>
      <c r="D44" s="27"/>
      <c r="E44" s="28"/>
      <c r="F44" s="27"/>
      <c r="G44" s="28"/>
      <c r="H44" s="27"/>
      <c r="I44" s="27"/>
      <c r="J44" s="27"/>
      <c r="K44" s="28"/>
      <c r="L44" s="29"/>
      <c r="M44" s="30"/>
      <c r="N44" s="30"/>
      <c r="O44" s="30"/>
      <c r="P44" s="30"/>
      <c r="Q44" s="30"/>
      <c r="R44" s="30"/>
      <c r="S44" s="30"/>
      <c r="T44" s="30"/>
      <c r="U44" s="30"/>
      <c r="V44" s="30"/>
      <c r="W44" s="27"/>
      <c r="X44" s="27"/>
    </row>
    <row r="45" spans="1:24">
      <c r="A45" s="30"/>
      <c r="B45" s="27"/>
      <c r="C45" s="28"/>
      <c r="D45" s="27"/>
      <c r="E45" s="28"/>
      <c r="F45" s="27"/>
      <c r="G45" s="28"/>
      <c r="H45" s="27"/>
      <c r="I45" s="27"/>
      <c r="J45" s="27"/>
      <c r="K45" s="28"/>
      <c r="L45" s="29"/>
      <c r="M45" s="30"/>
      <c r="N45" s="30"/>
      <c r="O45" s="30"/>
      <c r="P45" s="30"/>
      <c r="Q45" s="30"/>
      <c r="R45" s="30"/>
      <c r="S45" s="30"/>
      <c r="T45" s="30"/>
      <c r="U45" s="30"/>
      <c r="V45" s="30"/>
      <c r="W45" s="27"/>
      <c r="X45" s="27"/>
    </row>
    <row r="46" spans="1:24">
      <c r="A46" s="30"/>
      <c r="B46" s="27"/>
      <c r="C46" s="28"/>
      <c r="D46" s="27"/>
      <c r="E46" s="28"/>
      <c r="F46" s="27"/>
      <c r="G46" s="28"/>
      <c r="H46" s="27"/>
      <c r="I46" s="27"/>
      <c r="J46" s="27"/>
      <c r="K46" s="28"/>
      <c r="L46" s="29"/>
      <c r="M46" s="30"/>
      <c r="N46" s="30"/>
      <c r="O46" s="30"/>
      <c r="P46" s="30"/>
      <c r="Q46" s="30"/>
      <c r="R46" s="30"/>
      <c r="S46" s="30"/>
      <c r="T46" s="30"/>
      <c r="U46" s="30"/>
      <c r="V46" s="30"/>
      <c r="W46" s="27"/>
      <c r="X46" s="27"/>
    </row>
    <row r="47" spans="1:24">
      <c r="A47" s="30"/>
      <c r="B47" s="27"/>
      <c r="C47" s="28"/>
      <c r="D47" s="27"/>
      <c r="E47" s="28"/>
      <c r="F47" s="27"/>
      <c r="G47" s="28"/>
      <c r="H47" s="27"/>
      <c r="I47" s="27"/>
      <c r="J47" s="27"/>
      <c r="K47" s="28"/>
      <c r="L47" s="29"/>
      <c r="M47" s="30"/>
      <c r="N47" s="30"/>
      <c r="O47" s="30"/>
      <c r="P47" s="30"/>
      <c r="Q47" s="30"/>
      <c r="R47" s="30"/>
      <c r="S47" s="30"/>
      <c r="T47" s="30"/>
      <c r="U47" s="30"/>
      <c r="V47" s="30"/>
      <c r="W47" s="27"/>
      <c r="X47" s="27"/>
    </row>
    <row r="48" spans="1:24">
      <c r="A48" s="30"/>
      <c r="B48" s="27"/>
      <c r="C48" s="28"/>
      <c r="D48" s="27"/>
      <c r="E48" s="28"/>
      <c r="F48" s="27"/>
      <c r="G48" s="28"/>
      <c r="H48" s="27"/>
      <c r="I48" s="27"/>
      <c r="J48" s="27"/>
      <c r="K48" s="28"/>
      <c r="L48" s="29"/>
      <c r="M48" s="30"/>
      <c r="N48" s="30"/>
      <c r="O48" s="30"/>
      <c r="P48" s="30"/>
      <c r="Q48" s="30"/>
      <c r="R48" s="30"/>
      <c r="S48" s="30"/>
      <c r="T48" s="30"/>
      <c r="U48" s="30"/>
      <c r="V48" s="30"/>
      <c r="W48" s="27"/>
      <c r="X48" s="27"/>
    </row>
    <row r="49" spans="1:24">
      <c r="A49" s="30"/>
      <c r="B49" s="27"/>
      <c r="C49" s="28"/>
      <c r="D49" s="27"/>
      <c r="E49" s="28"/>
      <c r="F49" s="27"/>
      <c r="G49" s="28"/>
      <c r="H49" s="27"/>
      <c r="I49" s="27"/>
      <c r="J49" s="27"/>
      <c r="K49" s="28"/>
      <c r="L49" s="29"/>
      <c r="M49" s="30"/>
      <c r="N49" s="30"/>
      <c r="O49" s="30"/>
      <c r="P49" s="30"/>
      <c r="Q49" s="30"/>
      <c r="R49" s="30"/>
      <c r="S49" s="30"/>
      <c r="T49" s="30"/>
      <c r="U49" s="30"/>
      <c r="V49" s="30"/>
      <c r="W49" s="27"/>
      <c r="X49" s="27"/>
    </row>
    <row r="50" spans="1:24">
      <c r="A50" s="30"/>
      <c r="B50" s="27"/>
      <c r="C50" s="28"/>
      <c r="D50" s="27"/>
      <c r="E50" s="28"/>
      <c r="F50" s="27"/>
      <c r="G50" s="28"/>
      <c r="H50" s="27"/>
      <c r="I50" s="27"/>
      <c r="J50" s="27"/>
      <c r="K50" s="28"/>
      <c r="L50" s="29"/>
      <c r="M50" s="30"/>
      <c r="N50" s="30"/>
      <c r="O50" s="30"/>
      <c r="P50" s="30"/>
      <c r="Q50" s="30"/>
      <c r="R50" s="30"/>
      <c r="S50" s="30"/>
      <c r="T50" s="30"/>
      <c r="U50" s="30"/>
      <c r="V50" s="30"/>
      <c r="W50" s="27"/>
      <c r="X50" s="27"/>
    </row>
    <row r="51" spans="1:24">
      <c r="A51" s="30"/>
      <c r="B51" s="27"/>
      <c r="C51" s="28"/>
      <c r="D51" s="27"/>
      <c r="E51" s="28"/>
      <c r="F51" s="27"/>
      <c r="G51" s="28"/>
      <c r="H51" s="27"/>
      <c r="I51" s="27"/>
      <c r="J51" s="27"/>
      <c r="K51" s="28"/>
      <c r="L51" s="29"/>
      <c r="M51" s="30"/>
      <c r="N51" s="30"/>
      <c r="O51" s="30"/>
      <c r="P51" s="30"/>
      <c r="Q51" s="30"/>
      <c r="R51" s="30"/>
      <c r="S51" s="30"/>
      <c r="T51" s="30"/>
      <c r="U51" s="30"/>
      <c r="V51" s="30"/>
      <c r="W51" s="27"/>
      <c r="X51" s="27"/>
    </row>
    <row r="52" spans="1:24">
      <c r="A52" s="30"/>
      <c r="B52" s="27"/>
      <c r="C52" s="28"/>
      <c r="D52" s="27"/>
      <c r="E52" s="28"/>
      <c r="F52" s="27"/>
      <c r="G52" s="28"/>
      <c r="H52" s="27"/>
      <c r="I52" s="27"/>
      <c r="J52" s="27"/>
      <c r="K52" s="28"/>
      <c r="L52" s="29"/>
      <c r="M52" s="30"/>
      <c r="N52" s="30"/>
      <c r="O52" s="30"/>
      <c r="P52" s="30"/>
      <c r="Q52" s="30"/>
      <c r="R52" s="30"/>
      <c r="S52" s="30"/>
      <c r="T52" s="30"/>
      <c r="U52" s="30"/>
      <c r="V52" s="30"/>
      <c r="W52" s="27"/>
      <c r="X52" s="27"/>
    </row>
    <row r="53" spans="1:24">
      <c r="A53" s="30"/>
      <c r="B53" s="27"/>
      <c r="C53" s="28"/>
      <c r="D53" s="27"/>
      <c r="E53" s="28"/>
      <c r="F53" s="27"/>
      <c r="G53" s="28"/>
      <c r="H53" s="27"/>
      <c r="I53" s="27"/>
      <c r="J53" s="27"/>
      <c r="K53" s="28"/>
      <c r="L53" s="29"/>
      <c r="M53" s="30"/>
      <c r="N53" s="30"/>
      <c r="O53" s="30"/>
      <c r="P53" s="30"/>
      <c r="Q53" s="30"/>
      <c r="R53" s="30"/>
      <c r="S53" s="30"/>
      <c r="T53" s="30"/>
      <c r="U53" s="30"/>
      <c r="V53" s="30"/>
      <c r="W53" s="27"/>
      <c r="X53" s="27"/>
    </row>
    <row r="54" spans="1:24">
      <c r="A54" s="30"/>
      <c r="B54" s="27"/>
      <c r="C54" s="28"/>
      <c r="D54" s="27"/>
      <c r="E54" s="28"/>
      <c r="F54" s="27"/>
      <c r="G54" s="28"/>
      <c r="H54" s="27"/>
      <c r="I54" s="27"/>
      <c r="J54" s="27"/>
      <c r="K54" s="28"/>
      <c r="L54" s="29"/>
      <c r="M54" s="30"/>
      <c r="N54" s="30"/>
      <c r="O54" s="30"/>
      <c r="P54" s="30"/>
      <c r="Q54" s="30"/>
      <c r="R54" s="30"/>
      <c r="S54" s="30"/>
      <c r="T54" s="30"/>
      <c r="U54" s="30"/>
      <c r="V54" s="30"/>
      <c r="W54" s="27"/>
      <c r="X54" s="27"/>
    </row>
    <row r="55" spans="1:24">
      <c r="A55" s="30"/>
      <c r="B55" s="27"/>
      <c r="C55" s="28"/>
      <c r="D55" s="27"/>
      <c r="E55" s="28"/>
      <c r="F55" s="27"/>
      <c r="G55" s="28"/>
      <c r="H55" s="27"/>
      <c r="I55" s="27"/>
      <c r="J55" s="27"/>
      <c r="K55" s="28"/>
      <c r="L55" s="29"/>
      <c r="M55" s="30"/>
      <c r="N55" s="30"/>
      <c r="O55" s="30"/>
      <c r="P55" s="30"/>
      <c r="Q55" s="30"/>
      <c r="R55" s="30"/>
      <c r="S55" s="30"/>
      <c r="T55" s="30"/>
      <c r="U55" s="30"/>
      <c r="V55" s="30"/>
      <c r="W55" s="27"/>
      <c r="X55" s="27"/>
    </row>
    <row r="56" spans="1:24">
      <c r="A56" s="30"/>
      <c r="B56" s="27"/>
      <c r="C56" s="28"/>
      <c r="D56" s="27"/>
      <c r="E56" s="28"/>
      <c r="F56" s="27"/>
      <c r="G56" s="28"/>
      <c r="H56" s="27"/>
      <c r="I56" s="27"/>
      <c r="J56" s="27"/>
      <c r="K56" s="28"/>
      <c r="L56" s="29"/>
      <c r="M56" s="30"/>
      <c r="N56" s="30"/>
      <c r="O56" s="30"/>
      <c r="P56" s="30"/>
      <c r="Q56" s="30"/>
      <c r="R56" s="30"/>
      <c r="S56" s="30"/>
      <c r="T56" s="30"/>
      <c r="U56" s="30"/>
      <c r="V56" s="30"/>
      <c r="W56" s="27"/>
      <c r="X56" s="27"/>
    </row>
    <row r="57" spans="1:24">
      <c r="A57" s="30"/>
      <c r="B57" s="27"/>
      <c r="C57" s="28"/>
      <c r="D57" s="27"/>
      <c r="E57" s="28"/>
      <c r="F57" s="27"/>
      <c r="G57" s="28"/>
      <c r="H57" s="27"/>
      <c r="I57" s="27"/>
      <c r="J57" s="27"/>
      <c r="K57" s="28"/>
      <c r="L57" s="29"/>
      <c r="M57" s="30"/>
      <c r="N57" s="30"/>
      <c r="O57" s="30"/>
      <c r="P57" s="30"/>
      <c r="Q57" s="30"/>
      <c r="R57" s="30"/>
      <c r="S57" s="30"/>
      <c r="T57" s="30"/>
      <c r="U57" s="30"/>
      <c r="V57" s="30"/>
      <c r="W57" s="27"/>
      <c r="X57" s="27"/>
    </row>
    <row r="58" spans="1:24">
      <c r="A58" s="30"/>
      <c r="B58" s="27"/>
      <c r="C58" s="28"/>
      <c r="D58" s="27"/>
      <c r="E58" s="28"/>
      <c r="F58" s="27"/>
      <c r="G58" s="28"/>
      <c r="H58" s="27"/>
      <c r="I58" s="27"/>
      <c r="J58" s="27"/>
      <c r="K58" s="28"/>
      <c r="L58" s="29"/>
      <c r="M58" s="30"/>
      <c r="N58" s="30"/>
      <c r="O58" s="30"/>
      <c r="P58" s="30"/>
      <c r="Q58" s="30"/>
      <c r="R58" s="30"/>
      <c r="S58" s="30"/>
      <c r="T58" s="30"/>
      <c r="U58" s="30"/>
      <c r="V58" s="30"/>
      <c r="W58" s="27"/>
      <c r="X58" s="27"/>
    </row>
    <row r="59" spans="1:24">
      <c r="A59" s="30"/>
      <c r="B59" s="27"/>
      <c r="C59" s="28"/>
      <c r="D59" s="27"/>
      <c r="E59" s="28"/>
      <c r="F59" s="27"/>
      <c r="G59" s="28"/>
      <c r="H59" s="27"/>
      <c r="I59" s="27"/>
      <c r="J59" s="27"/>
      <c r="K59" s="28"/>
      <c r="L59" s="29"/>
      <c r="M59" s="30"/>
      <c r="N59" s="30"/>
      <c r="O59" s="30"/>
      <c r="P59" s="30"/>
      <c r="Q59" s="30"/>
      <c r="R59" s="30"/>
      <c r="S59" s="30"/>
      <c r="T59" s="30"/>
      <c r="U59" s="30"/>
      <c r="V59" s="30"/>
      <c r="W59" s="27"/>
      <c r="X59" s="27"/>
    </row>
    <row r="60" spans="1:24">
      <c r="A60" s="30"/>
      <c r="B60" s="27"/>
      <c r="C60" s="28"/>
      <c r="D60" s="27"/>
      <c r="E60" s="28"/>
      <c r="F60" s="27"/>
      <c r="G60" s="28"/>
      <c r="H60" s="27"/>
      <c r="I60" s="27"/>
      <c r="J60" s="27"/>
      <c r="K60" s="28"/>
      <c r="L60" s="29"/>
      <c r="M60" s="30"/>
      <c r="N60" s="30"/>
      <c r="O60" s="30"/>
      <c r="P60" s="30"/>
      <c r="Q60" s="30"/>
      <c r="R60" s="30"/>
      <c r="S60" s="30"/>
      <c r="T60" s="30"/>
      <c r="U60" s="30"/>
      <c r="V60" s="30"/>
      <c r="W60" s="27"/>
      <c r="X60" s="27"/>
    </row>
    <row r="61" spans="1:24">
      <c r="A61" s="30"/>
      <c r="B61" s="27"/>
      <c r="C61" s="28"/>
      <c r="D61" s="27"/>
      <c r="E61" s="28"/>
      <c r="F61" s="27"/>
      <c r="G61" s="28"/>
      <c r="H61" s="27"/>
      <c r="I61" s="27"/>
      <c r="J61" s="27"/>
      <c r="K61" s="28"/>
      <c r="L61" s="29"/>
      <c r="M61" s="30"/>
      <c r="N61" s="30"/>
      <c r="O61" s="30"/>
      <c r="P61" s="30"/>
      <c r="Q61" s="30"/>
      <c r="R61" s="30"/>
      <c r="S61" s="30"/>
      <c r="T61" s="30"/>
      <c r="U61" s="30"/>
      <c r="V61" s="30"/>
      <c r="W61" s="27"/>
      <c r="X61" s="27"/>
    </row>
    <row r="62" spans="1:24">
      <c r="A62" s="30"/>
      <c r="B62" s="27"/>
      <c r="C62" s="28"/>
      <c r="D62" s="27"/>
      <c r="E62" s="28"/>
      <c r="F62" s="27"/>
      <c r="G62" s="28"/>
      <c r="H62" s="27"/>
      <c r="I62" s="27"/>
      <c r="J62" s="27"/>
      <c r="K62" s="28"/>
      <c r="L62" s="29"/>
      <c r="M62" s="30"/>
      <c r="N62" s="30"/>
      <c r="O62" s="30"/>
      <c r="P62" s="30"/>
      <c r="Q62" s="30"/>
      <c r="R62" s="30"/>
      <c r="S62" s="30"/>
      <c r="T62" s="30"/>
      <c r="U62" s="30"/>
      <c r="V62" s="30"/>
      <c r="W62" s="27"/>
      <c r="X62" s="27"/>
    </row>
    <row r="63" spans="1:24">
      <c r="A63" s="30"/>
      <c r="B63" s="27"/>
      <c r="C63" s="28"/>
      <c r="D63" s="27"/>
      <c r="E63" s="28"/>
      <c r="F63" s="27"/>
      <c r="G63" s="28"/>
      <c r="H63" s="27"/>
      <c r="I63" s="27"/>
      <c r="J63" s="27"/>
      <c r="K63" s="28"/>
      <c r="L63" s="29"/>
      <c r="M63" s="30"/>
      <c r="N63" s="30"/>
      <c r="O63" s="30"/>
      <c r="P63" s="30"/>
      <c r="Q63" s="30"/>
      <c r="R63" s="30"/>
      <c r="S63" s="30"/>
      <c r="T63" s="30"/>
      <c r="U63" s="30"/>
      <c r="V63" s="30"/>
      <c r="W63" s="27"/>
      <c r="X63" s="27"/>
    </row>
    <row r="64" spans="1:24">
      <c r="A64" s="30"/>
      <c r="B64" s="27"/>
      <c r="C64" s="28"/>
      <c r="D64" s="27"/>
      <c r="E64" s="28"/>
      <c r="F64" s="27"/>
      <c r="G64" s="28"/>
      <c r="H64" s="27"/>
      <c r="I64" s="27"/>
      <c r="J64" s="27"/>
      <c r="K64" s="28"/>
      <c r="L64" s="29"/>
      <c r="M64" s="30"/>
      <c r="N64" s="30"/>
      <c r="O64" s="30"/>
      <c r="P64" s="30"/>
      <c r="Q64" s="30"/>
      <c r="R64" s="30"/>
      <c r="S64" s="30"/>
      <c r="T64" s="30"/>
      <c r="U64" s="30"/>
      <c r="V64" s="30"/>
      <c r="W64" s="27"/>
      <c r="X64" s="27"/>
    </row>
    <row r="65" spans="1:24">
      <c r="A65" s="30"/>
      <c r="B65" s="27"/>
      <c r="C65" s="28"/>
      <c r="D65" s="27"/>
      <c r="E65" s="28"/>
      <c r="F65" s="27"/>
      <c r="G65" s="28"/>
      <c r="H65" s="27"/>
      <c r="I65" s="27"/>
      <c r="J65" s="27"/>
      <c r="K65" s="28"/>
      <c r="L65" s="29"/>
      <c r="M65" s="30"/>
      <c r="N65" s="30"/>
      <c r="O65" s="30"/>
      <c r="P65" s="30"/>
      <c r="Q65" s="30"/>
      <c r="R65" s="30"/>
      <c r="S65" s="30"/>
      <c r="T65" s="30"/>
      <c r="U65" s="30"/>
      <c r="V65" s="30"/>
      <c r="W65" s="27"/>
      <c r="X65" s="27"/>
    </row>
    <row r="66" spans="1:24">
      <c r="A66" s="30"/>
      <c r="B66" s="27"/>
      <c r="C66" s="28"/>
      <c r="D66" s="27"/>
      <c r="E66" s="28"/>
      <c r="F66" s="27"/>
      <c r="G66" s="28"/>
      <c r="H66" s="27"/>
      <c r="I66" s="27"/>
      <c r="J66" s="27"/>
      <c r="K66" s="28"/>
      <c r="L66" s="29"/>
      <c r="M66" s="30"/>
      <c r="N66" s="30"/>
      <c r="O66" s="30"/>
      <c r="P66" s="30"/>
      <c r="Q66" s="30"/>
      <c r="R66" s="30"/>
      <c r="S66" s="30"/>
      <c r="T66" s="30"/>
      <c r="U66" s="30"/>
      <c r="V66" s="30"/>
      <c r="W66" s="27"/>
      <c r="X66" s="27"/>
    </row>
    <row r="67" spans="1:24">
      <c r="A67" s="30"/>
      <c r="B67" s="27"/>
      <c r="C67" s="28"/>
      <c r="D67" s="27"/>
      <c r="E67" s="28"/>
      <c r="F67" s="27"/>
      <c r="G67" s="28"/>
      <c r="H67" s="27"/>
      <c r="I67" s="27"/>
      <c r="J67" s="27"/>
      <c r="K67" s="28"/>
      <c r="L67" s="29"/>
      <c r="M67" s="30"/>
      <c r="N67" s="30"/>
      <c r="O67" s="30"/>
      <c r="P67" s="30"/>
      <c r="Q67" s="30"/>
      <c r="R67" s="30"/>
      <c r="S67" s="30"/>
      <c r="T67" s="30"/>
      <c r="U67" s="30"/>
      <c r="V67" s="30"/>
      <c r="W67" s="27"/>
      <c r="X67" s="27"/>
    </row>
    <row r="68" spans="1:24">
      <c r="A68" s="30"/>
      <c r="B68" s="27"/>
      <c r="C68" s="28"/>
      <c r="D68" s="27"/>
      <c r="E68" s="28"/>
      <c r="F68" s="27"/>
      <c r="G68" s="28"/>
      <c r="H68" s="27"/>
      <c r="I68" s="27"/>
      <c r="J68" s="27"/>
      <c r="K68" s="28"/>
      <c r="L68" s="29"/>
      <c r="M68" s="30"/>
      <c r="N68" s="30"/>
      <c r="O68" s="30"/>
      <c r="P68" s="30"/>
      <c r="Q68" s="30"/>
      <c r="R68" s="30"/>
      <c r="S68" s="30"/>
      <c r="T68" s="30"/>
      <c r="U68" s="30"/>
      <c r="V68" s="30"/>
      <c r="W68" s="27"/>
      <c r="X68" s="27"/>
    </row>
    <row r="69" spans="1:24">
      <c r="A69" s="30"/>
      <c r="B69" s="27"/>
      <c r="C69" s="28"/>
      <c r="D69" s="27"/>
      <c r="E69" s="28"/>
      <c r="F69" s="27"/>
      <c r="G69" s="28"/>
      <c r="H69" s="27"/>
      <c r="I69" s="27"/>
      <c r="J69" s="27"/>
      <c r="K69" s="28"/>
      <c r="L69" s="29"/>
      <c r="M69" s="30"/>
      <c r="N69" s="30"/>
      <c r="O69" s="30"/>
      <c r="P69" s="30"/>
      <c r="Q69" s="30"/>
      <c r="R69" s="30"/>
      <c r="S69" s="30"/>
      <c r="T69" s="30"/>
      <c r="U69" s="30"/>
      <c r="V69" s="30"/>
      <c r="W69" s="27"/>
      <c r="X69" s="27"/>
    </row>
    <row r="70" spans="1:24">
      <c r="A70" s="30"/>
      <c r="B70" s="27"/>
      <c r="C70" s="28"/>
      <c r="D70" s="27"/>
      <c r="E70" s="28"/>
      <c r="F70" s="27"/>
      <c r="G70" s="28"/>
      <c r="H70" s="27"/>
      <c r="I70" s="27"/>
      <c r="J70" s="27"/>
      <c r="K70" s="28"/>
      <c r="L70" s="29"/>
      <c r="M70" s="30"/>
      <c r="N70" s="30"/>
      <c r="O70" s="30"/>
      <c r="P70" s="30"/>
      <c r="Q70" s="30"/>
      <c r="R70" s="30"/>
      <c r="S70" s="30"/>
      <c r="T70" s="30"/>
      <c r="U70" s="30"/>
      <c r="V70" s="30"/>
      <c r="W70" s="27"/>
      <c r="X70" s="27"/>
    </row>
    <row r="71" spans="1:24">
      <c r="A71" s="30"/>
      <c r="B71" s="27"/>
      <c r="C71" s="28"/>
      <c r="D71" s="27"/>
      <c r="E71" s="28"/>
      <c r="F71" s="27"/>
      <c r="G71" s="28"/>
      <c r="H71" s="27"/>
      <c r="I71" s="27"/>
      <c r="J71" s="27"/>
      <c r="K71" s="28"/>
      <c r="L71" s="29"/>
      <c r="M71" s="30"/>
      <c r="N71" s="30"/>
      <c r="O71" s="30"/>
      <c r="P71" s="30"/>
      <c r="Q71" s="30"/>
      <c r="R71" s="30"/>
      <c r="S71" s="30"/>
      <c r="T71" s="30"/>
      <c r="U71" s="30"/>
      <c r="V71" s="30"/>
      <c r="W71" s="27"/>
      <c r="X71" s="27"/>
    </row>
    <row r="72" spans="1:24">
      <c r="A72" s="30"/>
      <c r="B72" s="27"/>
      <c r="C72" s="28"/>
      <c r="D72" s="27"/>
      <c r="E72" s="28"/>
      <c r="F72" s="27"/>
      <c r="G72" s="28"/>
      <c r="H72" s="27"/>
      <c r="I72" s="27"/>
      <c r="J72" s="27"/>
      <c r="K72" s="28"/>
      <c r="L72" s="29"/>
      <c r="M72" s="30"/>
      <c r="N72" s="30"/>
      <c r="O72" s="30"/>
      <c r="P72" s="30"/>
      <c r="Q72" s="30"/>
      <c r="R72" s="30"/>
      <c r="S72" s="30"/>
      <c r="T72" s="30"/>
      <c r="U72" s="30"/>
      <c r="V72" s="30"/>
      <c r="W72" s="27"/>
      <c r="X72" s="27"/>
    </row>
    <row r="73" spans="1:24">
      <c r="A73" s="30"/>
      <c r="B73" s="27"/>
      <c r="C73" s="28"/>
      <c r="D73" s="27"/>
      <c r="E73" s="28"/>
      <c r="F73" s="27"/>
      <c r="G73" s="28"/>
      <c r="H73" s="27"/>
      <c r="I73" s="27"/>
      <c r="J73" s="27"/>
      <c r="K73" s="28"/>
      <c r="L73" s="29"/>
      <c r="M73" s="30"/>
      <c r="N73" s="30"/>
      <c r="O73" s="30"/>
      <c r="P73" s="30"/>
      <c r="Q73" s="30"/>
      <c r="R73" s="30"/>
      <c r="S73" s="30"/>
      <c r="T73" s="30"/>
      <c r="U73" s="30"/>
      <c r="V73" s="30"/>
      <c r="W73" s="27"/>
      <c r="X73" s="27"/>
    </row>
    <row r="74" spans="1:24">
      <c r="A74" s="30"/>
      <c r="B74" s="27"/>
      <c r="C74" s="28"/>
      <c r="D74" s="27"/>
      <c r="E74" s="28"/>
      <c r="F74" s="27"/>
      <c r="G74" s="28"/>
      <c r="H74" s="27"/>
      <c r="I74" s="27"/>
      <c r="J74" s="27"/>
      <c r="K74" s="28"/>
      <c r="L74" s="29"/>
      <c r="M74" s="30"/>
      <c r="N74" s="30"/>
      <c r="O74" s="30"/>
      <c r="P74" s="30"/>
      <c r="Q74" s="30"/>
      <c r="R74" s="30"/>
      <c r="S74" s="30"/>
      <c r="T74" s="30"/>
      <c r="U74" s="30"/>
      <c r="V74" s="30"/>
      <c r="W74" s="27"/>
      <c r="X74" s="27"/>
    </row>
    <row r="75" spans="1:24">
      <c r="A75" s="30"/>
      <c r="B75" s="27"/>
      <c r="C75" s="28"/>
      <c r="D75" s="27"/>
      <c r="E75" s="28"/>
      <c r="F75" s="27"/>
      <c r="G75" s="28"/>
      <c r="H75" s="27"/>
      <c r="I75" s="27"/>
      <c r="J75" s="27"/>
      <c r="K75" s="28"/>
      <c r="L75" s="29"/>
      <c r="M75" s="30"/>
      <c r="N75" s="30"/>
      <c r="O75" s="30"/>
      <c r="P75" s="30"/>
      <c r="Q75" s="30"/>
      <c r="R75" s="30"/>
      <c r="S75" s="30"/>
      <c r="T75" s="30"/>
      <c r="U75" s="30"/>
      <c r="V75" s="30"/>
      <c r="W75" s="27"/>
      <c r="X75" s="27"/>
    </row>
    <row r="76" spans="1:24">
      <c r="A76" s="30"/>
      <c r="B76" s="27"/>
      <c r="C76" s="28"/>
      <c r="D76" s="27"/>
      <c r="E76" s="28"/>
      <c r="F76" s="27"/>
      <c r="G76" s="28"/>
      <c r="H76" s="27"/>
      <c r="I76" s="27"/>
      <c r="J76" s="27"/>
      <c r="K76" s="28"/>
      <c r="L76" s="29"/>
      <c r="M76" s="30"/>
      <c r="N76" s="30"/>
      <c r="O76" s="30"/>
      <c r="P76" s="30"/>
      <c r="Q76" s="30"/>
      <c r="R76" s="30"/>
      <c r="S76" s="30"/>
      <c r="T76" s="30"/>
      <c r="U76" s="30"/>
      <c r="V76" s="30"/>
      <c r="W76" s="27"/>
      <c r="X76" s="27"/>
    </row>
    <row r="77" spans="1:24">
      <c r="A77" s="30"/>
      <c r="B77" s="27"/>
      <c r="C77" s="28"/>
      <c r="D77" s="27"/>
      <c r="E77" s="28"/>
      <c r="F77" s="27"/>
      <c r="G77" s="28"/>
      <c r="H77" s="27"/>
      <c r="I77" s="27"/>
      <c r="J77" s="27"/>
      <c r="K77" s="28"/>
      <c r="L77" s="29"/>
      <c r="M77" s="30"/>
      <c r="N77" s="30"/>
      <c r="O77" s="30"/>
      <c r="P77" s="30"/>
      <c r="Q77" s="30"/>
      <c r="R77" s="30"/>
      <c r="S77" s="30"/>
      <c r="T77" s="30"/>
      <c r="U77" s="30"/>
      <c r="V77" s="30"/>
      <c r="W77" s="27"/>
      <c r="X77" s="27"/>
    </row>
    <row r="78" spans="1:24">
      <c r="A78" s="30"/>
      <c r="B78" s="27"/>
      <c r="C78" s="28"/>
      <c r="D78" s="27"/>
      <c r="E78" s="28"/>
      <c r="F78" s="27"/>
      <c r="G78" s="28"/>
      <c r="H78" s="27"/>
      <c r="I78" s="27"/>
      <c r="J78" s="27"/>
      <c r="K78" s="28"/>
      <c r="L78" s="29"/>
      <c r="M78" s="30"/>
      <c r="N78" s="30"/>
      <c r="O78" s="30"/>
      <c r="P78" s="30"/>
      <c r="Q78" s="30"/>
      <c r="R78" s="30"/>
      <c r="S78" s="30"/>
      <c r="T78" s="30"/>
      <c r="U78" s="30"/>
      <c r="V78" s="30"/>
      <c r="W78" s="27"/>
      <c r="X78" s="27"/>
    </row>
    <row r="79" spans="1:24">
      <c r="A79" s="30"/>
      <c r="B79" s="27"/>
      <c r="C79" s="28"/>
      <c r="D79" s="27"/>
      <c r="E79" s="28"/>
      <c r="F79" s="27"/>
      <c r="G79" s="28"/>
      <c r="H79" s="27"/>
      <c r="I79" s="27"/>
      <c r="J79" s="27"/>
      <c r="K79" s="28"/>
      <c r="L79" s="29"/>
      <c r="M79" s="30"/>
      <c r="N79" s="30"/>
      <c r="O79" s="30"/>
      <c r="P79" s="30"/>
      <c r="Q79" s="30"/>
      <c r="R79" s="30"/>
      <c r="S79" s="30"/>
      <c r="T79" s="30"/>
      <c r="U79" s="30"/>
      <c r="V79" s="30"/>
      <c r="W79" s="27"/>
      <c r="X79" s="27"/>
    </row>
    <row r="80" spans="1:24">
      <c r="A80" s="30"/>
      <c r="B80" s="27"/>
      <c r="C80" s="28"/>
      <c r="D80" s="27"/>
      <c r="E80" s="28"/>
      <c r="F80" s="27"/>
      <c r="G80" s="28"/>
      <c r="H80" s="27"/>
      <c r="I80" s="27"/>
      <c r="J80" s="27"/>
      <c r="K80" s="28"/>
      <c r="L80" s="29"/>
      <c r="M80" s="30"/>
      <c r="N80" s="30"/>
      <c r="O80" s="30"/>
      <c r="P80" s="30"/>
      <c r="Q80" s="30"/>
      <c r="R80" s="30"/>
      <c r="S80" s="30"/>
      <c r="T80" s="30"/>
      <c r="U80" s="30"/>
      <c r="V80" s="30"/>
      <c r="W80" s="27"/>
      <c r="X80" s="27"/>
    </row>
    <row r="81" spans="1:24">
      <c r="A81" s="30"/>
      <c r="B81" s="27"/>
      <c r="C81" s="28"/>
      <c r="D81" s="27"/>
      <c r="E81" s="28"/>
      <c r="F81" s="27"/>
      <c r="G81" s="28"/>
      <c r="H81" s="27"/>
      <c r="I81" s="27"/>
      <c r="J81" s="27"/>
      <c r="K81" s="28"/>
      <c r="L81" s="29"/>
      <c r="M81" s="30"/>
      <c r="N81" s="30"/>
      <c r="O81" s="30"/>
      <c r="P81" s="30"/>
      <c r="Q81" s="30"/>
      <c r="R81" s="30"/>
      <c r="S81" s="30"/>
      <c r="T81" s="30"/>
      <c r="U81" s="30"/>
      <c r="V81" s="30"/>
      <c r="W81" s="27"/>
      <c r="X81" s="27"/>
    </row>
    <row r="82" spans="1:24">
      <c r="A82" s="30"/>
      <c r="B82" s="27"/>
      <c r="C82" s="28"/>
      <c r="D82" s="27"/>
      <c r="E82" s="28"/>
      <c r="F82" s="27"/>
      <c r="G82" s="28"/>
      <c r="H82" s="27"/>
      <c r="I82" s="27"/>
      <c r="J82" s="27"/>
      <c r="K82" s="28"/>
      <c r="L82" s="29"/>
      <c r="M82" s="30"/>
      <c r="N82" s="30"/>
      <c r="O82" s="30"/>
      <c r="P82" s="30"/>
      <c r="Q82" s="30"/>
      <c r="R82" s="30"/>
      <c r="S82" s="30"/>
      <c r="T82" s="30"/>
      <c r="U82" s="30"/>
      <c r="V82" s="30"/>
      <c r="W82" s="27"/>
      <c r="X82" s="27"/>
    </row>
    <row r="83" spans="1:24">
      <c r="A83" s="30"/>
      <c r="B83" s="27"/>
      <c r="C83" s="28"/>
      <c r="D83" s="27"/>
      <c r="E83" s="28"/>
      <c r="F83" s="27"/>
      <c r="G83" s="28"/>
      <c r="H83" s="27"/>
      <c r="I83" s="27"/>
      <c r="J83" s="27"/>
      <c r="K83" s="28"/>
      <c r="L83" s="29"/>
      <c r="M83" s="30"/>
      <c r="N83" s="30"/>
      <c r="O83" s="30"/>
      <c r="P83" s="30"/>
      <c r="Q83" s="30"/>
      <c r="R83" s="30"/>
      <c r="S83" s="30"/>
      <c r="T83" s="30"/>
      <c r="U83" s="30"/>
      <c r="V83" s="30"/>
      <c r="W83" s="27"/>
      <c r="X83" s="27"/>
    </row>
    <row r="84" spans="1:24">
      <c r="A84" s="30"/>
      <c r="B84" s="27"/>
      <c r="C84" s="28"/>
      <c r="D84" s="27"/>
      <c r="E84" s="28"/>
      <c r="F84" s="27"/>
      <c r="G84" s="28"/>
      <c r="H84" s="27"/>
      <c r="I84" s="27"/>
      <c r="J84" s="27"/>
      <c r="K84" s="28"/>
      <c r="L84" s="29"/>
      <c r="M84" s="30"/>
      <c r="N84" s="30"/>
      <c r="O84" s="30"/>
      <c r="P84" s="30"/>
      <c r="Q84" s="30"/>
      <c r="R84" s="30"/>
      <c r="S84" s="30"/>
      <c r="T84" s="30"/>
      <c r="U84" s="30"/>
      <c r="V84" s="30"/>
      <c r="W84" s="27"/>
      <c r="X84" s="27"/>
    </row>
    <row r="85" spans="1:24">
      <c r="A85" s="30"/>
      <c r="B85" s="27"/>
      <c r="C85" s="28"/>
      <c r="D85" s="27"/>
      <c r="E85" s="28"/>
      <c r="F85" s="27"/>
      <c r="G85" s="28"/>
      <c r="H85" s="27"/>
      <c r="I85" s="27"/>
      <c r="J85" s="27"/>
      <c r="K85" s="28"/>
      <c r="L85" s="29"/>
      <c r="M85" s="30"/>
      <c r="N85" s="30"/>
      <c r="O85" s="30"/>
      <c r="P85" s="30"/>
      <c r="Q85" s="30"/>
      <c r="R85" s="30"/>
      <c r="S85" s="30"/>
      <c r="T85" s="30"/>
      <c r="U85" s="30"/>
      <c r="V85" s="30"/>
      <c r="W85" s="27"/>
      <c r="X85" s="27"/>
    </row>
    <row r="86" spans="1:24">
      <c r="A86" s="30"/>
      <c r="B86" s="27"/>
      <c r="C86" s="28"/>
      <c r="D86" s="27"/>
      <c r="E86" s="28"/>
      <c r="F86" s="27"/>
      <c r="G86" s="28"/>
      <c r="H86" s="27"/>
      <c r="I86" s="27"/>
      <c r="J86" s="27"/>
      <c r="K86" s="28"/>
      <c r="L86" s="29"/>
      <c r="M86" s="30"/>
      <c r="N86" s="30"/>
      <c r="O86" s="30"/>
      <c r="P86" s="30"/>
      <c r="Q86" s="30"/>
      <c r="R86" s="30"/>
      <c r="S86" s="30"/>
      <c r="T86" s="30"/>
      <c r="U86" s="30"/>
      <c r="V86" s="30"/>
      <c r="W86" s="27"/>
      <c r="X86" s="27"/>
    </row>
    <row r="87" spans="1:24">
      <c r="A87" s="30"/>
      <c r="B87" s="27"/>
      <c r="C87" s="28"/>
      <c r="D87" s="27"/>
      <c r="E87" s="28"/>
      <c r="F87" s="27"/>
      <c r="G87" s="28"/>
      <c r="H87" s="27"/>
      <c r="I87" s="27"/>
      <c r="J87" s="27"/>
      <c r="K87" s="28"/>
      <c r="L87" s="29"/>
      <c r="M87" s="30"/>
      <c r="N87" s="30"/>
      <c r="O87" s="30"/>
      <c r="P87" s="30"/>
      <c r="Q87" s="30"/>
      <c r="R87" s="30"/>
      <c r="S87" s="30"/>
      <c r="T87" s="30"/>
      <c r="U87" s="30"/>
      <c r="V87" s="30"/>
      <c r="W87" s="27"/>
      <c r="X87" s="27"/>
    </row>
    <row r="88" spans="1:24">
      <c r="A88" s="30"/>
      <c r="B88" s="27"/>
      <c r="C88" s="28"/>
      <c r="D88" s="27"/>
      <c r="E88" s="28"/>
      <c r="F88" s="27"/>
      <c r="G88" s="28"/>
      <c r="H88" s="27"/>
      <c r="I88" s="27"/>
      <c r="J88" s="27"/>
      <c r="K88" s="28"/>
      <c r="L88" s="29"/>
      <c r="M88" s="30"/>
      <c r="N88" s="30"/>
      <c r="O88" s="30"/>
      <c r="P88" s="30"/>
      <c r="Q88" s="30"/>
      <c r="R88" s="30"/>
      <c r="S88" s="30"/>
      <c r="T88" s="30"/>
      <c r="U88" s="30"/>
      <c r="V88" s="30"/>
      <c r="W88" s="27"/>
      <c r="X88" s="27"/>
    </row>
    <row r="89" spans="1:24">
      <c r="A89" s="30"/>
      <c r="B89" s="27"/>
      <c r="C89" s="28"/>
      <c r="D89" s="27"/>
      <c r="E89" s="28"/>
      <c r="F89" s="27"/>
      <c r="G89" s="28"/>
      <c r="H89" s="27"/>
      <c r="I89" s="27"/>
      <c r="J89" s="27"/>
      <c r="K89" s="28"/>
      <c r="L89" s="29"/>
      <c r="M89" s="30"/>
      <c r="N89" s="30"/>
      <c r="O89" s="30"/>
      <c r="P89" s="30"/>
      <c r="Q89" s="30"/>
      <c r="R89" s="30"/>
      <c r="S89" s="30"/>
      <c r="T89" s="30"/>
      <c r="U89" s="30"/>
      <c r="V89" s="30"/>
      <c r="W89" s="27"/>
      <c r="X89" s="27"/>
    </row>
    <row r="90" spans="1:24">
      <c r="A90" s="30"/>
      <c r="B90" s="27"/>
      <c r="C90" s="28"/>
      <c r="D90" s="27"/>
      <c r="E90" s="28"/>
      <c r="F90" s="27"/>
      <c r="G90" s="28"/>
      <c r="H90" s="27"/>
      <c r="I90" s="27"/>
      <c r="J90" s="27"/>
      <c r="K90" s="28"/>
      <c r="L90" s="29"/>
      <c r="M90" s="30"/>
      <c r="N90" s="30"/>
      <c r="O90" s="30"/>
      <c r="P90" s="30"/>
      <c r="Q90" s="30"/>
      <c r="R90" s="30"/>
      <c r="S90" s="30"/>
      <c r="T90" s="30"/>
      <c r="U90" s="30"/>
      <c r="V90" s="30"/>
      <c r="W90" s="27"/>
      <c r="X90" s="27"/>
    </row>
    <row r="91" spans="1:24">
      <c r="A91" s="30"/>
      <c r="B91" s="27"/>
      <c r="C91" s="28"/>
      <c r="D91" s="27"/>
      <c r="E91" s="28"/>
      <c r="F91" s="27"/>
      <c r="G91" s="28"/>
      <c r="H91" s="27"/>
      <c r="I91" s="27"/>
      <c r="J91" s="27"/>
      <c r="K91" s="28"/>
      <c r="L91" s="29"/>
      <c r="M91" s="30"/>
      <c r="N91" s="30"/>
      <c r="O91" s="30"/>
      <c r="P91" s="30"/>
      <c r="Q91" s="30"/>
      <c r="R91" s="30"/>
      <c r="S91" s="30"/>
      <c r="T91" s="30"/>
      <c r="U91" s="30"/>
      <c r="V91" s="30"/>
      <c r="W91" s="27"/>
      <c r="X91" s="27"/>
    </row>
    <row r="92" spans="1:24">
      <c r="A92" s="30"/>
      <c r="B92" s="27"/>
      <c r="C92" s="28"/>
      <c r="D92" s="27"/>
      <c r="E92" s="28"/>
      <c r="F92" s="27"/>
      <c r="G92" s="28"/>
      <c r="H92" s="27"/>
      <c r="I92" s="27"/>
      <c r="J92" s="27"/>
      <c r="K92" s="28"/>
      <c r="L92" s="29"/>
      <c r="M92" s="30"/>
      <c r="N92" s="30"/>
      <c r="O92" s="30"/>
      <c r="P92" s="30"/>
      <c r="Q92" s="30"/>
      <c r="R92" s="30"/>
      <c r="S92" s="30"/>
      <c r="T92" s="30"/>
      <c r="U92" s="30"/>
      <c r="V92" s="30"/>
      <c r="W92" s="27"/>
      <c r="X92" s="27"/>
    </row>
    <row r="93" spans="1:24">
      <c r="A93" s="30"/>
      <c r="B93" s="27"/>
      <c r="C93" s="28"/>
      <c r="D93" s="27"/>
      <c r="E93" s="28"/>
      <c r="F93" s="27"/>
      <c r="G93" s="28"/>
      <c r="H93" s="27"/>
      <c r="I93" s="27"/>
      <c r="J93" s="27"/>
      <c r="K93" s="28"/>
      <c r="L93" s="29"/>
      <c r="M93" s="30"/>
      <c r="N93" s="30"/>
      <c r="O93" s="30"/>
      <c r="P93" s="30"/>
      <c r="Q93" s="30"/>
      <c r="R93" s="30"/>
      <c r="S93" s="30"/>
      <c r="T93" s="30"/>
      <c r="U93" s="30"/>
      <c r="V93" s="30"/>
      <c r="W93" s="27"/>
      <c r="X93" s="27"/>
    </row>
    <row r="94" spans="1:24">
      <c r="A94" s="30"/>
      <c r="B94" s="27"/>
      <c r="C94" s="28"/>
      <c r="D94" s="27"/>
      <c r="E94" s="28"/>
      <c r="F94" s="27"/>
      <c r="G94" s="28"/>
      <c r="H94" s="27"/>
      <c r="I94" s="27"/>
      <c r="J94" s="27"/>
      <c r="K94" s="28"/>
      <c r="L94" s="29"/>
      <c r="M94" s="30"/>
      <c r="N94" s="30"/>
      <c r="O94" s="30"/>
      <c r="P94" s="30"/>
      <c r="Q94" s="30"/>
      <c r="R94" s="30"/>
      <c r="S94" s="30"/>
      <c r="T94" s="30"/>
      <c r="U94" s="30"/>
      <c r="V94" s="30"/>
      <c r="W94" s="27"/>
      <c r="X94" s="27"/>
    </row>
    <row r="95" spans="1:24">
      <c r="A95" s="30"/>
      <c r="B95" s="27"/>
      <c r="C95" s="28"/>
      <c r="D95" s="27"/>
      <c r="E95" s="28"/>
      <c r="F95" s="27"/>
      <c r="G95" s="28"/>
      <c r="H95" s="27"/>
      <c r="I95" s="27"/>
      <c r="J95" s="27"/>
      <c r="K95" s="28"/>
      <c r="L95" s="29"/>
      <c r="M95" s="30"/>
      <c r="N95" s="30"/>
      <c r="O95" s="30"/>
      <c r="P95" s="30"/>
      <c r="Q95" s="30"/>
      <c r="R95" s="30"/>
      <c r="S95" s="30"/>
      <c r="T95" s="30"/>
      <c r="U95" s="30"/>
      <c r="V95" s="30"/>
      <c r="W95" s="27"/>
      <c r="X95" s="27"/>
    </row>
    <row r="96" spans="1:24">
      <c r="A96" s="30"/>
      <c r="B96" s="27"/>
      <c r="C96" s="28"/>
      <c r="D96" s="27"/>
      <c r="E96" s="28"/>
      <c r="F96" s="27"/>
      <c r="G96" s="28"/>
      <c r="H96" s="27"/>
      <c r="I96" s="27"/>
      <c r="J96" s="27"/>
      <c r="K96" s="28"/>
      <c r="L96" s="29"/>
      <c r="M96" s="30"/>
      <c r="N96" s="30"/>
      <c r="O96" s="30"/>
      <c r="P96" s="30"/>
      <c r="Q96" s="30"/>
      <c r="R96" s="30"/>
      <c r="S96" s="30"/>
      <c r="T96" s="30"/>
      <c r="U96" s="30"/>
      <c r="V96" s="30"/>
      <c r="W96" s="27"/>
      <c r="X96" s="27"/>
    </row>
    <row r="97" spans="1:24">
      <c r="A97" s="30"/>
      <c r="B97" s="27"/>
      <c r="C97" s="28"/>
      <c r="D97" s="27"/>
      <c r="E97" s="28"/>
      <c r="F97" s="27"/>
      <c r="G97" s="28"/>
      <c r="H97" s="27"/>
      <c r="I97" s="27"/>
      <c r="J97" s="27"/>
      <c r="K97" s="28"/>
      <c r="L97" s="29"/>
      <c r="M97" s="30"/>
      <c r="N97" s="30"/>
      <c r="O97" s="30"/>
      <c r="P97" s="30"/>
      <c r="Q97" s="30"/>
      <c r="R97" s="30"/>
      <c r="S97" s="30"/>
      <c r="T97" s="30"/>
      <c r="U97" s="30"/>
      <c r="V97" s="30"/>
      <c r="W97" s="27"/>
      <c r="X97" s="27"/>
    </row>
    <row r="98" spans="1:24">
      <c r="A98" s="30"/>
      <c r="B98" s="27"/>
      <c r="C98" s="28"/>
      <c r="D98" s="27"/>
      <c r="E98" s="28"/>
      <c r="F98" s="27"/>
      <c r="G98" s="28"/>
      <c r="H98" s="27"/>
      <c r="I98" s="27"/>
      <c r="J98" s="27"/>
      <c r="K98" s="28"/>
      <c r="L98" s="29"/>
      <c r="M98" s="30"/>
      <c r="N98" s="30"/>
      <c r="O98" s="30"/>
      <c r="P98" s="30"/>
      <c r="Q98" s="30"/>
      <c r="R98" s="30"/>
      <c r="S98" s="30"/>
      <c r="T98" s="30"/>
      <c r="U98" s="30"/>
      <c r="V98" s="30"/>
      <c r="W98" s="27"/>
      <c r="X98" s="27"/>
    </row>
    <row r="99" spans="1:24">
      <c r="A99" s="30"/>
      <c r="B99" s="27"/>
      <c r="C99" s="28"/>
      <c r="D99" s="27"/>
      <c r="E99" s="28"/>
      <c r="F99" s="27"/>
      <c r="G99" s="28"/>
      <c r="H99" s="27"/>
      <c r="I99" s="27"/>
      <c r="J99" s="27"/>
      <c r="K99" s="28"/>
      <c r="L99" s="29"/>
      <c r="M99" s="30"/>
      <c r="N99" s="30"/>
      <c r="O99" s="30"/>
      <c r="P99" s="30"/>
      <c r="Q99" s="30"/>
      <c r="R99" s="30"/>
      <c r="S99" s="30"/>
      <c r="T99" s="30"/>
      <c r="U99" s="30"/>
      <c r="V99" s="30"/>
      <c r="W99" s="27"/>
      <c r="X99" s="27"/>
    </row>
    <row r="100" spans="1:24">
      <c r="A100" s="30"/>
      <c r="B100" s="27"/>
      <c r="C100" s="28"/>
      <c r="D100" s="27"/>
      <c r="E100" s="28"/>
      <c r="F100" s="27"/>
      <c r="G100" s="28"/>
      <c r="H100" s="27"/>
      <c r="I100" s="27"/>
      <c r="J100" s="27"/>
      <c r="K100" s="28"/>
      <c r="L100" s="29"/>
      <c r="M100" s="30"/>
      <c r="N100" s="30"/>
      <c r="O100" s="30"/>
      <c r="P100" s="30"/>
      <c r="Q100" s="30"/>
      <c r="R100" s="30"/>
      <c r="S100" s="30"/>
      <c r="T100" s="30"/>
      <c r="U100" s="30"/>
      <c r="V100" s="30"/>
      <c r="W100" s="27"/>
      <c r="X100" s="27"/>
    </row>
    <row r="101" spans="1:24">
      <c r="A101" s="30"/>
      <c r="B101" s="27"/>
      <c r="C101" s="28"/>
      <c r="D101" s="27"/>
      <c r="E101" s="28"/>
      <c r="F101" s="27"/>
      <c r="G101" s="28"/>
      <c r="H101" s="27"/>
      <c r="I101" s="27"/>
      <c r="J101" s="27"/>
      <c r="K101" s="28"/>
      <c r="L101" s="29"/>
      <c r="M101" s="30"/>
      <c r="N101" s="30"/>
      <c r="O101" s="30"/>
      <c r="P101" s="30"/>
      <c r="Q101" s="30"/>
      <c r="R101" s="30"/>
      <c r="S101" s="30"/>
      <c r="T101" s="30"/>
      <c r="U101" s="30"/>
      <c r="V101" s="30"/>
      <c r="W101" s="27"/>
      <c r="X101" s="27"/>
    </row>
    <row r="102" spans="1:24">
      <c r="A102" s="30"/>
      <c r="B102" s="27"/>
      <c r="C102" s="28"/>
      <c r="D102" s="27"/>
      <c r="E102" s="28"/>
      <c r="F102" s="27"/>
      <c r="G102" s="28"/>
      <c r="H102" s="27"/>
      <c r="I102" s="27"/>
      <c r="J102" s="27"/>
      <c r="K102" s="28"/>
      <c r="L102" s="29"/>
      <c r="M102" s="30"/>
      <c r="N102" s="30"/>
      <c r="O102" s="30"/>
      <c r="P102" s="30"/>
      <c r="Q102" s="30"/>
      <c r="R102" s="30"/>
      <c r="S102" s="30"/>
      <c r="T102" s="30"/>
      <c r="U102" s="30"/>
      <c r="V102" s="30"/>
      <c r="W102" s="27"/>
      <c r="X102" s="27"/>
    </row>
    <row r="103" spans="1:24">
      <c r="A103" s="30"/>
      <c r="B103" s="27"/>
      <c r="C103" s="28"/>
      <c r="D103" s="27"/>
      <c r="E103" s="28"/>
      <c r="F103" s="27"/>
      <c r="G103" s="28"/>
      <c r="H103" s="27"/>
      <c r="I103" s="27"/>
      <c r="J103" s="27"/>
      <c r="K103" s="28"/>
      <c r="L103" s="29"/>
      <c r="M103" s="30"/>
      <c r="N103" s="30"/>
      <c r="O103" s="30"/>
      <c r="P103" s="30"/>
      <c r="Q103" s="30"/>
      <c r="R103" s="30"/>
      <c r="S103" s="30"/>
      <c r="T103" s="30"/>
      <c r="U103" s="30"/>
      <c r="V103" s="30"/>
      <c r="W103" s="27"/>
      <c r="X103" s="27"/>
    </row>
    <row r="104" spans="1:24">
      <c r="A104" s="30"/>
      <c r="B104" s="27"/>
      <c r="C104" s="28"/>
      <c r="D104" s="27"/>
      <c r="E104" s="28"/>
      <c r="F104" s="27"/>
      <c r="G104" s="28"/>
      <c r="H104" s="27"/>
      <c r="I104" s="27"/>
      <c r="J104" s="27"/>
      <c r="K104" s="28"/>
      <c r="L104" s="29"/>
      <c r="M104" s="30"/>
      <c r="N104" s="30"/>
      <c r="O104" s="30"/>
      <c r="P104" s="30"/>
      <c r="Q104" s="30"/>
      <c r="R104" s="30"/>
      <c r="S104" s="30"/>
      <c r="T104" s="30"/>
      <c r="U104" s="30"/>
      <c r="V104" s="30"/>
      <c r="W104" s="27"/>
      <c r="X104" s="27"/>
    </row>
    <row r="105" spans="1:24">
      <c r="A105" s="30"/>
      <c r="B105" s="27"/>
      <c r="C105" s="28"/>
      <c r="D105" s="27"/>
      <c r="E105" s="28"/>
      <c r="F105" s="27"/>
      <c r="G105" s="28"/>
      <c r="H105" s="27"/>
      <c r="I105" s="27"/>
      <c r="J105" s="27"/>
      <c r="K105" s="28"/>
      <c r="L105" s="29"/>
      <c r="M105" s="30"/>
      <c r="N105" s="30"/>
      <c r="O105" s="30"/>
      <c r="P105" s="30"/>
      <c r="Q105" s="30"/>
      <c r="R105" s="30"/>
      <c r="S105" s="30"/>
      <c r="T105" s="30"/>
      <c r="U105" s="30"/>
      <c r="V105" s="30"/>
      <c r="W105" s="27"/>
      <c r="X105" s="27"/>
    </row>
    <row r="106" spans="1:24">
      <c r="A106" s="30"/>
      <c r="B106" s="27"/>
      <c r="C106" s="28"/>
      <c r="D106" s="27"/>
      <c r="E106" s="28"/>
      <c r="F106" s="27"/>
      <c r="G106" s="28"/>
      <c r="H106" s="27"/>
      <c r="I106" s="27"/>
      <c r="J106" s="27"/>
      <c r="K106" s="28"/>
      <c r="L106" s="29"/>
      <c r="M106" s="30"/>
      <c r="N106" s="30"/>
      <c r="O106" s="30"/>
      <c r="P106" s="30"/>
      <c r="Q106" s="30"/>
      <c r="R106" s="30"/>
      <c r="S106" s="30"/>
      <c r="T106" s="30"/>
      <c r="U106" s="30"/>
      <c r="V106" s="30"/>
      <c r="W106" s="27"/>
      <c r="X106" s="27"/>
    </row>
    <row r="107" spans="1:24">
      <c r="A107" s="30"/>
      <c r="B107" s="27"/>
      <c r="C107" s="28"/>
      <c r="D107" s="27"/>
      <c r="E107" s="28"/>
      <c r="F107" s="27"/>
      <c r="G107" s="28"/>
      <c r="H107" s="27"/>
      <c r="I107" s="27"/>
      <c r="J107" s="27"/>
      <c r="K107" s="28"/>
      <c r="L107" s="29"/>
      <c r="M107" s="30"/>
      <c r="N107" s="30"/>
      <c r="O107" s="30"/>
      <c r="P107" s="30"/>
      <c r="Q107" s="30"/>
      <c r="R107" s="30"/>
      <c r="S107" s="30"/>
      <c r="T107" s="30"/>
      <c r="U107" s="30"/>
      <c r="V107" s="30"/>
      <c r="W107" s="27"/>
      <c r="X107" s="27"/>
    </row>
    <row r="108" spans="1:24">
      <c r="A108" s="30"/>
      <c r="B108" s="27"/>
      <c r="C108" s="28"/>
      <c r="D108" s="27"/>
      <c r="E108" s="28"/>
      <c r="F108" s="27"/>
      <c r="G108" s="28"/>
      <c r="H108" s="27"/>
      <c r="I108" s="27"/>
      <c r="J108" s="27"/>
      <c r="K108" s="28"/>
      <c r="L108" s="29"/>
      <c r="M108" s="30"/>
      <c r="N108" s="30"/>
      <c r="O108" s="30"/>
      <c r="P108" s="30"/>
      <c r="Q108" s="30"/>
      <c r="R108" s="30"/>
      <c r="S108" s="30"/>
      <c r="T108" s="30"/>
      <c r="U108" s="30"/>
      <c r="V108" s="30"/>
      <c r="W108" s="27"/>
      <c r="X108" s="27"/>
    </row>
    <row r="109" spans="1:24">
      <c r="A109" s="30"/>
      <c r="B109" s="27"/>
      <c r="C109" s="28"/>
      <c r="D109" s="27"/>
      <c r="E109" s="28"/>
      <c r="F109" s="27"/>
      <c r="G109" s="28"/>
      <c r="H109" s="27"/>
      <c r="I109" s="27"/>
      <c r="J109" s="27"/>
      <c r="K109" s="28"/>
      <c r="L109" s="29"/>
      <c r="M109" s="30"/>
      <c r="N109" s="30"/>
      <c r="O109" s="30"/>
      <c r="P109" s="30"/>
      <c r="Q109" s="30"/>
      <c r="R109" s="30"/>
      <c r="S109" s="30"/>
      <c r="T109" s="30"/>
      <c r="U109" s="30"/>
      <c r="V109" s="30"/>
      <c r="W109" s="27"/>
      <c r="X109" s="27"/>
    </row>
    <row r="110" spans="1:24">
      <c r="A110" s="30"/>
      <c r="B110" s="27"/>
      <c r="C110" s="28"/>
      <c r="D110" s="27"/>
      <c r="E110" s="28"/>
      <c r="F110" s="27"/>
      <c r="G110" s="28"/>
      <c r="H110" s="27"/>
      <c r="I110" s="27"/>
      <c r="J110" s="27"/>
      <c r="K110" s="28"/>
      <c r="L110" s="29"/>
      <c r="M110" s="30"/>
      <c r="N110" s="30"/>
      <c r="O110" s="30"/>
      <c r="P110" s="30"/>
      <c r="Q110" s="30"/>
      <c r="R110" s="30"/>
      <c r="S110" s="30"/>
      <c r="T110" s="30"/>
      <c r="U110" s="30"/>
      <c r="V110" s="30"/>
      <c r="W110" s="27"/>
      <c r="X110" s="27"/>
    </row>
    <row r="111" spans="1:24">
      <c r="A111" s="30"/>
      <c r="B111" s="27"/>
      <c r="C111" s="28"/>
      <c r="D111" s="27"/>
      <c r="E111" s="28"/>
      <c r="F111" s="27"/>
      <c r="G111" s="28"/>
      <c r="H111" s="27"/>
      <c r="I111" s="27"/>
      <c r="J111" s="27"/>
      <c r="K111" s="28"/>
      <c r="L111" s="29"/>
      <c r="M111" s="30"/>
      <c r="N111" s="30"/>
      <c r="O111" s="30"/>
      <c r="P111" s="30"/>
      <c r="Q111" s="30"/>
      <c r="R111" s="30"/>
      <c r="S111" s="30"/>
      <c r="T111" s="30"/>
      <c r="U111" s="30"/>
      <c r="V111" s="30"/>
      <c r="W111" s="27"/>
      <c r="X111" s="27"/>
    </row>
    <row r="112" spans="1:24">
      <c r="A112" s="30"/>
      <c r="B112" s="27"/>
      <c r="C112" s="28"/>
      <c r="D112" s="27"/>
      <c r="E112" s="28"/>
      <c r="F112" s="27"/>
      <c r="G112" s="28"/>
      <c r="H112" s="27"/>
      <c r="I112" s="27"/>
      <c r="J112" s="27"/>
      <c r="K112" s="28"/>
      <c r="L112" s="29"/>
      <c r="M112" s="30"/>
      <c r="N112" s="30"/>
      <c r="O112" s="30"/>
      <c r="P112" s="30"/>
      <c r="Q112" s="30"/>
      <c r="R112" s="30"/>
      <c r="S112" s="30"/>
      <c r="T112" s="30"/>
      <c r="U112" s="30"/>
      <c r="V112" s="30"/>
      <c r="W112" s="27"/>
      <c r="X112" s="27"/>
    </row>
    <row r="113" spans="1:24">
      <c r="A113" s="30"/>
      <c r="B113" s="27"/>
      <c r="C113" s="28"/>
      <c r="D113" s="27"/>
      <c r="E113" s="28"/>
      <c r="F113" s="27"/>
      <c r="G113" s="28"/>
      <c r="H113" s="27"/>
      <c r="I113" s="27"/>
      <c r="J113" s="27"/>
      <c r="K113" s="28"/>
      <c r="L113" s="29"/>
      <c r="M113" s="30"/>
      <c r="N113" s="30"/>
      <c r="O113" s="30"/>
      <c r="P113" s="30"/>
      <c r="Q113" s="30"/>
      <c r="R113" s="30"/>
      <c r="S113" s="30"/>
      <c r="T113" s="30"/>
      <c r="U113" s="30"/>
      <c r="V113" s="30"/>
      <c r="W113" s="27"/>
      <c r="X113" s="27"/>
    </row>
    <row r="114" spans="1:24">
      <c r="A114" s="30"/>
      <c r="B114" s="27"/>
      <c r="C114" s="28"/>
      <c r="D114" s="27"/>
      <c r="E114" s="28"/>
      <c r="F114" s="27"/>
      <c r="G114" s="28"/>
      <c r="H114" s="27"/>
      <c r="I114" s="27"/>
      <c r="J114" s="27"/>
      <c r="K114" s="28"/>
      <c r="L114" s="29"/>
      <c r="M114" s="30"/>
      <c r="N114" s="30"/>
      <c r="O114" s="30"/>
      <c r="P114" s="30"/>
      <c r="Q114" s="30"/>
      <c r="R114" s="30"/>
      <c r="S114" s="30"/>
      <c r="T114" s="30"/>
      <c r="U114" s="30"/>
      <c r="V114" s="30"/>
      <c r="W114" s="27"/>
      <c r="X114" s="27"/>
    </row>
    <row r="115" spans="1:24">
      <c r="A115" s="30"/>
      <c r="B115" s="27"/>
      <c r="C115" s="28"/>
      <c r="D115" s="27"/>
      <c r="E115" s="28"/>
      <c r="F115" s="27"/>
      <c r="G115" s="28"/>
      <c r="H115" s="27"/>
      <c r="I115" s="27"/>
      <c r="J115" s="27"/>
      <c r="K115" s="28"/>
      <c r="L115" s="29"/>
      <c r="M115" s="30"/>
      <c r="N115" s="30"/>
      <c r="O115" s="30"/>
      <c r="P115" s="30"/>
      <c r="Q115" s="30"/>
      <c r="R115" s="30"/>
      <c r="S115" s="30"/>
      <c r="T115" s="30"/>
      <c r="U115" s="30"/>
      <c r="V115" s="30"/>
      <c r="W115" s="27"/>
      <c r="X115" s="27"/>
    </row>
    <row r="116" spans="1:24">
      <c r="A116" s="30"/>
      <c r="B116" s="27"/>
      <c r="C116" s="28"/>
      <c r="D116" s="27"/>
      <c r="E116" s="28"/>
      <c r="F116" s="27"/>
      <c r="G116" s="28"/>
      <c r="H116" s="27"/>
      <c r="I116" s="27"/>
      <c r="J116" s="27"/>
      <c r="K116" s="28"/>
      <c r="L116" s="29"/>
      <c r="M116" s="30"/>
      <c r="N116" s="30"/>
      <c r="O116" s="30"/>
      <c r="P116" s="30"/>
      <c r="Q116" s="30"/>
      <c r="R116" s="30"/>
      <c r="S116" s="30"/>
      <c r="T116" s="30"/>
      <c r="U116" s="30"/>
      <c r="V116" s="30"/>
      <c r="W116" s="27"/>
      <c r="X116" s="27"/>
    </row>
    <row r="117" spans="1:24">
      <c r="A117" s="30"/>
      <c r="B117" s="27"/>
      <c r="C117" s="28"/>
      <c r="D117" s="27"/>
      <c r="E117" s="28"/>
      <c r="F117" s="27"/>
      <c r="G117" s="28"/>
      <c r="H117" s="27"/>
      <c r="I117" s="27"/>
      <c r="J117" s="27"/>
      <c r="K117" s="28"/>
      <c r="L117" s="29"/>
      <c r="M117" s="30"/>
      <c r="N117" s="30"/>
      <c r="O117" s="30"/>
      <c r="P117" s="30"/>
      <c r="Q117" s="30"/>
      <c r="R117" s="30"/>
      <c r="S117" s="30"/>
      <c r="T117" s="30"/>
      <c r="U117" s="30"/>
      <c r="V117" s="30"/>
      <c r="W117" s="27"/>
      <c r="X117" s="27"/>
    </row>
    <row r="118" spans="1:24">
      <c r="A118" s="30"/>
      <c r="B118" s="27"/>
      <c r="C118" s="28"/>
      <c r="D118" s="27"/>
      <c r="E118" s="28"/>
      <c r="F118" s="27"/>
      <c r="G118" s="28"/>
      <c r="H118" s="27"/>
      <c r="I118" s="27"/>
      <c r="J118" s="27"/>
      <c r="K118" s="28"/>
      <c r="L118" s="29"/>
      <c r="M118" s="30"/>
      <c r="N118" s="30"/>
      <c r="O118" s="30"/>
      <c r="P118" s="30"/>
      <c r="Q118" s="30"/>
      <c r="R118" s="30"/>
      <c r="S118" s="30"/>
      <c r="T118" s="30"/>
      <c r="U118" s="30"/>
      <c r="V118" s="30"/>
      <c r="W118" s="27"/>
      <c r="X118" s="27"/>
    </row>
    <row r="119" spans="1:24">
      <c r="A119" s="30"/>
      <c r="B119" s="27"/>
      <c r="C119" s="28"/>
      <c r="D119" s="27"/>
      <c r="E119" s="28"/>
      <c r="F119" s="27"/>
      <c r="G119" s="28"/>
      <c r="H119" s="27"/>
      <c r="I119" s="27"/>
      <c r="J119" s="27"/>
      <c r="K119" s="28"/>
      <c r="L119" s="29"/>
      <c r="M119" s="30"/>
      <c r="N119" s="30"/>
      <c r="O119" s="30"/>
      <c r="P119" s="30"/>
      <c r="Q119" s="30"/>
      <c r="R119" s="30"/>
      <c r="S119" s="30"/>
      <c r="T119" s="30"/>
      <c r="U119" s="30"/>
      <c r="V119" s="30"/>
      <c r="W119" s="27"/>
      <c r="X119" s="27"/>
    </row>
    <row r="120" spans="1:24">
      <c r="A120" s="30"/>
      <c r="B120" s="27"/>
      <c r="C120" s="28"/>
      <c r="D120" s="27"/>
      <c r="E120" s="28"/>
      <c r="F120" s="27"/>
      <c r="G120" s="28"/>
      <c r="H120" s="27"/>
      <c r="I120" s="27"/>
      <c r="J120" s="27"/>
      <c r="K120" s="28"/>
      <c r="L120" s="29"/>
      <c r="M120" s="30"/>
      <c r="N120" s="30"/>
      <c r="O120" s="30"/>
      <c r="P120" s="30"/>
      <c r="Q120" s="30"/>
      <c r="R120" s="30"/>
      <c r="S120" s="30"/>
      <c r="T120" s="30"/>
      <c r="U120" s="30"/>
      <c r="V120" s="30"/>
      <c r="W120" s="27"/>
      <c r="X120" s="27"/>
    </row>
    <row r="121" spans="1:24">
      <c r="A121" s="30"/>
      <c r="B121" s="27"/>
      <c r="C121" s="28"/>
      <c r="D121" s="27"/>
      <c r="E121" s="28"/>
      <c r="F121" s="27"/>
      <c r="G121" s="28"/>
      <c r="H121" s="27"/>
      <c r="I121" s="27"/>
      <c r="J121" s="27"/>
      <c r="K121" s="28"/>
      <c r="L121" s="29"/>
      <c r="M121" s="30"/>
      <c r="N121" s="30"/>
      <c r="O121" s="30"/>
      <c r="P121" s="30"/>
      <c r="Q121" s="30"/>
      <c r="R121" s="30"/>
      <c r="S121" s="30"/>
      <c r="T121" s="30"/>
      <c r="U121" s="30"/>
      <c r="V121" s="30"/>
      <c r="W121" s="27"/>
      <c r="X121" s="27"/>
    </row>
    <row r="122" spans="1:24">
      <c r="A122" s="30"/>
      <c r="B122" s="27"/>
      <c r="C122" s="28"/>
      <c r="D122" s="27"/>
      <c r="E122" s="28"/>
      <c r="F122" s="27"/>
      <c r="G122" s="28"/>
      <c r="H122" s="27"/>
      <c r="I122" s="27"/>
      <c r="J122" s="27"/>
      <c r="K122" s="28"/>
      <c r="L122" s="29"/>
      <c r="M122" s="30"/>
      <c r="N122" s="30"/>
      <c r="O122" s="30"/>
      <c r="P122" s="30"/>
      <c r="Q122" s="30"/>
      <c r="R122" s="30"/>
      <c r="S122" s="30"/>
      <c r="T122" s="30"/>
      <c r="U122" s="30"/>
      <c r="V122" s="30"/>
      <c r="W122" s="27"/>
      <c r="X122" s="27"/>
    </row>
    <row r="123" spans="1:24">
      <c r="A123" s="30"/>
      <c r="B123" s="27"/>
      <c r="C123" s="28"/>
      <c r="D123" s="27"/>
      <c r="E123" s="28"/>
      <c r="F123" s="27"/>
      <c r="G123" s="28"/>
      <c r="H123" s="27"/>
      <c r="I123" s="27"/>
      <c r="J123" s="27"/>
      <c r="K123" s="28"/>
      <c r="L123" s="29"/>
      <c r="M123" s="30"/>
      <c r="N123" s="30"/>
      <c r="O123" s="30"/>
      <c r="P123" s="30"/>
      <c r="Q123" s="30"/>
      <c r="R123" s="30"/>
      <c r="S123" s="30"/>
      <c r="T123" s="30"/>
      <c r="U123" s="30"/>
      <c r="V123" s="30"/>
      <c r="W123" s="27"/>
      <c r="X123" s="27"/>
    </row>
    <row r="124" spans="1:24">
      <c r="A124" s="30"/>
      <c r="B124" s="27"/>
      <c r="C124" s="28"/>
      <c r="D124" s="27"/>
      <c r="E124" s="28"/>
      <c r="F124" s="27"/>
      <c r="G124" s="28"/>
      <c r="H124" s="27"/>
      <c r="I124" s="27"/>
      <c r="J124" s="27"/>
      <c r="K124" s="28"/>
      <c r="L124" s="29"/>
      <c r="M124" s="30"/>
      <c r="N124" s="30"/>
      <c r="O124" s="30"/>
      <c r="P124" s="30"/>
      <c r="Q124" s="30"/>
      <c r="R124" s="30"/>
      <c r="S124" s="30"/>
      <c r="T124" s="30"/>
      <c r="U124" s="30"/>
      <c r="V124" s="30"/>
      <c r="W124" s="27"/>
      <c r="X124" s="27"/>
    </row>
    <row r="125" spans="1:24">
      <c r="A125" s="30"/>
      <c r="B125" s="27"/>
      <c r="C125" s="28"/>
      <c r="D125" s="27"/>
      <c r="E125" s="28"/>
      <c r="F125" s="27"/>
      <c r="G125" s="28"/>
      <c r="H125" s="27"/>
      <c r="I125" s="27"/>
      <c r="J125" s="27"/>
      <c r="K125" s="28"/>
      <c r="L125" s="29"/>
      <c r="M125" s="30"/>
      <c r="N125" s="30"/>
      <c r="O125" s="30"/>
      <c r="P125" s="30"/>
      <c r="Q125" s="30"/>
      <c r="R125" s="30"/>
      <c r="S125" s="30"/>
      <c r="T125" s="30"/>
      <c r="U125" s="30"/>
      <c r="V125" s="30"/>
      <c r="W125" s="27"/>
      <c r="X125" s="27"/>
    </row>
    <row r="126" spans="1:24">
      <c r="A126" s="30"/>
      <c r="B126" s="27"/>
      <c r="C126" s="28"/>
      <c r="D126" s="27"/>
      <c r="E126" s="28"/>
      <c r="F126" s="27"/>
      <c r="G126" s="28"/>
      <c r="H126" s="27"/>
      <c r="I126" s="27"/>
      <c r="J126" s="27"/>
      <c r="K126" s="28"/>
      <c r="L126" s="29"/>
      <c r="M126" s="30"/>
      <c r="N126" s="30"/>
      <c r="O126" s="30"/>
      <c r="P126" s="30"/>
      <c r="Q126" s="30"/>
      <c r="R126" s="30"/>
      <c r="S126" s="30"/>
      <c r="T126" s="30"/>
      <c r="U126" s="30"/>
      <c r="V126" s="30"/>
      <c r="W126" s="27"/>
      <c r="X126" s="27"/>
    </row>
    <row r="127" spans="1:24">
      <c r="A127" s="30"/>
      <c r="B127" s="27"/>
      <c r="C127" s="28"/>
      <c r="D127" s="27"/>
      <c r="E127" s="28"/>
      <c r="F127" s="27"/>
      <c r="G127" s="28"/>
      <c r="H127" s="27"/>
      <c r="I127" s="27"/>
      <c r="J127" s="27"/>
      <c r="K127" s="28"/>
      <c r="L127" s="29"/>
      <c r="M127" s="30"/>
      <c r="N127" s="30"/>
      <c r="O127" s="30"/>
      <c r="P127" s="30"/>
      <c r="Q127" s="30"/>
      <c r="R127" s="30"/>
      <c r="S127" s="30"/>
      <c r="T127" s="30"/>
      <c r="U127" s="30"/>
      <c r="V127" s="30"/>
      <c r="W127" s="27"/>
      <c r="X127" s="27"/>
    </row>
    <row r="128" spans="1:24">
      <c r="A128" s="30"/>
      <c r="B128" s="27"/>
      <c r="C128" s="28"/>
      <c r="D128" s="27"/>
      <c r="E128" s="28"/>
      <c r="F128" s="27"/>
      <c r="G128" s="28"/>
      <c r="H128" s="27"/>
      <c r="I128" s="27"/>
      <c r="J128" s="27"/>
      <c r="K128" s="28"/>
      <c r="L128" s="29"/>
      <c r="M128" s="30"/>
      <c r="N128" s="30"/>
      <c r="O128" s="30"/>
      <c r="P128" s="30"/>
      <c r="Q128" s="30"/>
      <c r="R128" s="30"/>
      <c r="S128" s="30"/>
      <c r="T128" s="30"/>
      <c r="U128" s="30"/>
      <c r="V128" s="30"/>
      <c r="W128" s="27"/>
      <c r="X128" s="27"/>
    </row>
    <row r="129" spans="1:24">
      <c r="A129" s="30"/>
      <c r="B129" s="27"/>
      <c r="C129" s="28"/>
      <c r="D129" s="27"/>
      <c r="E129" s="28"/>
      <c r="F129" s="27"/>
      <c r="G129" s="28"/>
      <c r="H129" s="27"/>
      <c r="I129" s="27"/>
      <c r="J129" s="27"/>
      <c r="K129" s="28"/>
      <c r="L129" s="29"/>
      <c r="M129" s="30"/>
      <c r="N129" s="30"/>
      <c r="O129" s="30"/>
      <c r="P129" s="30"/>
      <c r="Q129" s="30"/>
      <c r="R129" s="30"/>
      <c r="S129" s="30"/>
      <c r="T129" s="30"/>
      <c r="U129" s="30"/>
      <c r="V129" s="30"/>
      <c r="W129" s="27"/>
      <c r="X129" s="27"/>
    </row>
    <row r="130" spans="1:24">
      <c r="A130" s="30"/>
      <c r="B130" s="27"/>
      <c r="C130" s="28"/>
      <c r="D130" s="27"/>
      <c r="E130" s="28"/>
      <c r="F130" s="27"/>
      <c r="G130" s="28"/>
      <c r="H130" s="27"/>
      <c r="I130" s="27"/>
      <c r="J130" s="27"/>
      <c r="K130" s="28"/>
      <c r="L130" s="29"/>
      <c r="M130" s="30"/>
      <c r="N130" s="30"/>
      <c r="O130" s="30"/>
      <c r="P130" s="30"/>
      <c r="Q130" s="30"/>
      <c r="R130" s="30"/>
      <c r="S130" s="30"/>
      <c r="T130" s="30"/>
      <c r="U130" s="30"/>
      <c r="V130" s="30"/>
      <c r="W130" s="27"/>
      <c r="X130" s="27"/>
    </row>
    <row r="131" spans="1:24">
      <c r="A131" s="30"/>
      <c r="B131" s="27"/>
      <c r="C131" s="28"/>
      <c r="D131" s="27"/>
      <c r="E131" s="28"/>
      <c r="F131" s="27"/>
      <c r="G131" s="28"/>
      <c r="H131" s="27"/>
      <c r="I131" s="27"/>
      <c r="J131" s="27"/>
      <c r="K131" s="28"/>
      <c r="L131" s="29"/>
      <c r="M131" s="30"/>
      <c r="N131" s="30"/>
      <c r="O131" s="30"/>
      <c r="P131" s="30"/>
      <c r="Q131" s="30"/>
      <c r="R131" s="30"/>
      <c r="S131" s="30"/>
      <c r="T131" s="30"/>
      <c r="U131" s="30"/>
      <c r="V131" s="30"/>
      <c r="W131" s="27"/>
      <c r="X131" s="27"/>
    </row>
    <row r="132" spans="1:24">
      <c r="A132" s="30"/>
      <c r="B132" s="27"/>
      <c r="C132" s="28"/>
      <c r="D132" s="27"/>
      <c r="E132" s="28"/>
      <c r="F132" s="27"/>
      <c r="G132" s="28"/>
      <c r="H132" s="27"/>
      <c r="I132" s="27"/>
      <c r="J132" s="27"/>
      <c r="K132" s="28"/>
      <c r="L132" s="29"/>
      <c r="M132" s="30"/>
      <c r="N132" s="30"/>
      <c r="O132" s="30"/>
      <c r="P132" s="30"/>
      <c r="Q132" s="30"/>
      <c r="R132" s="30"/>
      <c r="S132" s="30"/>
      <c r="T132" s="30"/>
      <c r="U132" s="30"/>
      <c r="V132" s="30"/>
      <c r="W132" s="27"/>
      <c r="X132" s="27"/>
    </row>
    <row r="133" spans="1:24">
      <c r="A133" s="30"/>
      <c r="B133" s="27"/>
      <c r="C133" s="28"/>
      <c r="D133" s="27"/>
      <c r="E133" s="28"/>
      <c r="F133" s="27"/>
      <c r="G133" s="28"/>
      <c r="H133" s="27"/>
      <c r="I133" s="27"/>
      <c r="J133" s="27"/>
      <c r="K133" s="28"/>
      <c r="L133" s="29"/>
      <c r="M133" s="30"/>
      <c r="N133" s="30"/>
      <c r="O133" s="30"/>
      <c r="P133" s="30"/>
      <c r="Q133" s="30"/>
      <c r="R133" s="30"/>
      <c r="S133" s="30"/>
      <c r="T133" s="30"/>
      <c r="U133" s="30"/>
      <c r="V133" s="30"/>
      <c r="W133" s="27"/>
      <c r="X133" s="27"/>
    </row>
    <row r="134" spans="1:24">
      <c r="A134" s="30"/>
      <c r="B134" s="27"/>
      <c r="C134" s="28"/>
      <c r="D134" s="27"/>
      <c r="E134" s="28"/>
      <c r="F134" s="27"/>
      <c r="G134" s="28"/>
      <c r="H134" s="27"/>
      <c r="I134" s="27"/>
      <c r="J134" s="27"/>
      <c r="K134" s="28"/>
      <c r="L134" s="29"/>
      <c r="M134" s="30"/>
      <c r="N134" s="30"/>
      <c r="O134" s="30"/>
      <c r="P134" s="30"/>
      <c r="Q134" s="30"/>
      <c r="R134" s="30"/>
      <c r="S134" s="30"/>
      <c r="T134" s="30"/>
      <c r="U134" s="30"/>
      <c r="V134" s="30"/>
      <c r="W134" s="27"/>
      <c r="X134" s="27"/>
    </row>
    <row r="135" spans="1:24">
      <c r="A135" s="30"/>
      <c r="B135" s="27"/>
      <c r="C135" s="28"/>
      <c r="D135" s="27"/>
      <c r="E135" s="28"/>
      <c r="F135" s="27"/>
      <c r="G135" s="28"/>
      <c r="H135" s="27"/>
      <c r="I135" s="27"/>
      <c r="J135" s="27"/>
      <c r="K135" s="28"/>
      <c r="L135" s="29"/>
      <c r="M135" s="30"/>
      <c r="N135" s="30"/>
      <c r="O135" s="30"/>
      <c r="P135" s="30"/>
      <c r="Q135" s="30"/>
      <c r="R135" s="30"/>
      <c r="S135" s="30"/>
      <c r="T135" s="30"/>
      <c r="U135" s="30"/>
      <c r="V135" s="30"/>
      <c r="W135" s="27"/>
      <c r="X135" s="27"/>
    </row>
    <row r="136" spans="1:24">
      <c r="A136" s="30"/>
      <c r="B136" s="27"/>
      <c r="C136" s="28"/>
      <c r="D136" s="27"/>
      <c r="E136" s="28"/>
      <c r="F136" s="27"/>
      <c r="G136" s="28"/>
      <c r="H136" s="27"/>
      <c r="I136" s="27"/>
      <c r="J136" s="27"/>
      <c r="K136" s="28"/>
      <c r="L136" s="29"/>
      <c r="M136" s="30"/>
      <c r="N136" s="30"/>
      <c r="O136" s="30"/>
      <c r="P136" s="30"/>
      <c r="Q136" s="30"/>
      <c r="R136" s="30"/>
      <c r="S136" s="30"/>
      <c r="T136" s="30"/>
      <c r="U136" s="30"/>
      <c r="V136" s="30"/>
      <c r="W136" s="27"/>
      <c r="X136" s="27"/>
    </row>
    <row r="137" spans="1:24">
      <c r="A137" s="30"/>
      <c r="B137" s="27"/>
      <c r="C137" s="28"/>
      <c r="D137" s="27"/>
      <c r="E137" s="28"/>
      <c r="F137" s="27"/>
      <c r="G137" s="28"/>
      <c r="H137" s="27"/>
      <c r="I137" s="27"/>
      <c r="J137" s="27"/>
      <c r="K137" s="28"/>
      <c r="L137" s="29"/>
      <c r="M137" s="30"/>
      <c r="N137" s="30"/>
      <c r="O137" s="30"/>
      <c r="P137" s="30"/>
      <c r="Q137" s="30"/>
      <c r="R137" s="30"/>
      <c r="S137" s="30"/>
      <c r="T137" s="30"/>
      <c r="U137" s="30"/>
      <c r="V137" s="30"/>
      <c r="W137" s="27"/>
      <c r="X137" s="27"/>
    </row>
    <row r="138" spans="1:24">
      <c r="A138" s="30"/>
      <c r="B138" s="27"/>
      <c r="C138" s="28"/>
      <c r="D138" s="27"/>
      <c r="E138" s="28"/>
      <c r="F138" s="27"/>
      <c r="G138" s="28"/>
      <c r="H138" s="27"/>
      <c r="I138" s="27"/>
      <c r="J138" s="27"/>
      <c r="K138" s="28"/>
      <c r="L138" s="29"/>
      <c r="M138" s="30"/>
      <c r="N138" s="30"/>
      <c r="O138" s="30"/>
      <c r="P138" s="30"/>
      <c r="Q138" s="30"/>
      <c r="R138" s="30"/>
      <c r="S138" s="30"/>
      <c r="T138" s="30"/>
      <c r="U138" s="30"/>
      <c r="V138" s="30"/>
      <c r="W138" s="27"/>
      <c r="X138" s="27"/>
    </row>
  </sheetData>
  <sheetProtection algorithmName="SHA-512" hashValue="KZIPpFx+WvaoTgaG/XJpq1Rwd9AxRkzp97dFrNHVRGq9Bux0G7g/XdaJyKnf6FMGEbVK/BcSY2MGFUtPHmRLng==" saltValue="xMqB9yixStkLEcrV+F31og==" spinCount="100000" sheet="1" objects="1" scenarios="1" formatCells="0" formatColumns="0" formatRows="0"/>
  <mergeCells count="106">
    <mergeCell ref="B8:B9"/>
    <mergeCell ref="D8:D9"/>
    <mergeCell ref="E8:E9"/>
    <mergeCell ref="F8:F9"/>
    <mergeCell ref="G8:G9"/>
    <mergeCell ref="W8:W9"/>
    <mergeCell ref="X8:X9"/>
    <mergeCell ref="C8:C9"/>
    <mergeCell ref="B12:B13"/>
    <mergeCell ref="C12:C13"/>
    <mergeCell ref="D12:D13"/>
    <mergeCell ref="E12:E13"/>
    <mergeCell ref="F12:F13"/>
    <mergeCell ref="G12:G13"/>
    <mergeCell ref="J8:J9"/>
    <mergeCell ref="K8:K9"/>
    <mergeCell ref="W12:W13"/>
    <mergeCell ref="X12:X13"/>
    <mergeCell ref="I12:I13"/>
    <mergeCell ref="J12:J13"/>
    <mergeCell ref="K12:K13"/>
    <mergeCell ref="H8:H9"/>
    <mergeCell ref="X6:X7"/>
    <mergeCell ref="V6:V7"/>
    <mergeCell ref="R6:R7"/>
    <mergeCell ref="S6:S7"/>
    <mergeCell ref="T6:T7"/>
    <mergeCell ref="U6:U7"/>
    <mergeCell ref="X14:X15"/>
    <mergeCell ref="W14:W15"/>
    <mergeCell ref="R14:R15"/>
    <mergeCell ref="S14:S15"/>
    <mergeCell ref="R12:R13"/>
    <mergeCell ref="S12:S13"/>
    <mergeCell ref="T14:T15"/>
    <mergeCell ref="U14:U15"/>
    <mergeCell ref="V8:V9"/>
    <mergeCell ref="V12:V13"/>
    <mergeCell ref="V14:V15"/>
    <mergeCell ref="R8:R9"/>
    <mergeCell ref="S8:S9"/>
    <mergeCell ref="T8:T9"/>
    <mergeCell ref="T12:T13"/>
    <mergeCell ref="U12:U13"/>
    <mergeCell ref="W6:W7"/>
    <mergeCell ref="U8:U9"/>
    <mergeCell ref="F6:F7"/>
    <mergeCell ref="G6:G7"/>
    <mergeCell ref="I6:I7"/>
    <mergeCell ref="J6:J7"/>
    <mergeCell ref="K6:K7"/>
    <mergeCell ref="C4:C5"/>
    <mergeCell ref="C6:C7"/>
    <mergeCell ref="D6:D7"/>
    <mergeCell ref="D4:D5"/>
    <mergeCell ref="H4:H5"/>
    <mergeCell ref="H6:H7"/>
    <mergeCell ref="X1:X2"/>
    <mergeCell ref="K4:K5"/>
    <mergeCell ref="J4:J5"/>
    <mergeCell ref="R4:R5"/>
    <mergeCell ref="S4:S5"/>
    <mergeCell ref="T4:T5"/>
    <mergeCell ref="U4:U5"/>
    <mergeCell ref="W4:W5"/>
    <mergeCell ref="X4:X5"/>
    <mergeCell ref="M1:Q1"/>
    <mergeCell ref="R1:V1"/>
    <mergeCell ref="V4:V5"/>
    <mergeCell ref="W1:W2"/>
    <mergeCell ref="I14:I15"/>
    <mergeCell ref="J14:J15"/>
    <mergeCell ref="K14:K15"/>
    <mergeCell ref="H1:H2"/>
    <mergeCell ref="I1:I2"/>
    <mergeCell ref="J1:J2"/>
    <mergeCell ref="K1:K2"/>
    <mergeCell ref="L1:L2"/>
    <mergeCell ref="I4:I5"/>
    <mergeCell ref="I8:I9"/>
    <mergeCell ref="H12:H13"/>
    <mergeCell ref="H14:H15"/>
    <mergeCell ref="A14:A15"/>
    <mergeCell ref="A1:A2"/>
    <mergeCell ref="A4:A5"/>
    <mergeCell ref="A6:A7"/>
    <mergeCell ref="A8:A9"/>
    <mergeCell ref="A12:A13"/>
    <mergeCell ref="G1:G2"/>
    <mergeCell ref="B1:B2"/>
    <mergeCell ref="C1:C2"/>
    <mergeCell ref="D1:D2"/>
    <mergeCell ref="E1:E2"/>
    <mergeCell ref="F1:F2"/>
    <mergeCell ref="E6:E7"/>
    <mergeCell ref="G4:G5"/>
    <mergeCell ref="F4:F5"/>
    <mergeCell ref="E4:E5"/>
    <mergeCell ref="B4:B5"/>
    <mergeCell ref="B6:B7"/>
    <mergeCell ref="B14:B15"/>
    <mergeCell ref="C14:C15"/>
    <mergeCell ref="D14:D15"/>
    <mergeCell ref="E14:E15"/>
    <mergeCell ref="F14:F15"/>
    <mergeCell ref="G14:G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AC1D2-C10E-4E5D-AE9E-09F9B7F6AD68}">
  <dimension ref="A1:X4"/>
  <sheetViews>
    <sheetView topLeftCell="G1" zoomScale="91" zoomScaleNormal="91" workbookViewId="0">
      <selection activeCell="R3" sqref="R3"/>
    </sheetView>
  </sheetViews>
  <sheetFormatPr baseColWidth="10" defaultRowHeight="15"/>
  <cols>
    <col min="3" max="3" width="28.42578125" customWidth="1"/>
    <col min="5" max="5" width="28.42578125" customWidth="1"/>
    <col min="7" max="7" width="28.42578125" customWidth="1"/>
    <col min="8" max="8" width="11.42578125" customWidth="1"/>
    <col min="9" max="9" width="45.7109375" customWidth="1"/>
    <col min="11" max="12" width="28.42578125" customWidth="1"/>
    <col min="23" max="23" width="17.5703125" customWidth="1"/>
    <col min="24" max="24" width="29" customWidth="1"/>
  </cols>
  <sheetData>
    <row r="1" spans="1:24" s="1" customFormat="1" ht="18.75" customHeight="1">
      <c r="A1" s="195" t="s">
        <v>437</v>
      </c>
      <c r="B1" s="195" t="s">
        <v>30</v>
      </c>
      <c r="C1" s="195" t="s">
        <v>31</v>
      </c>
      <c r="D1" s="195" t="s">
        <v>32</v>
      </c>
      <c r="E1" s="195" t="s">
        <v>33</v>
      </c>
      <c r="F1" s="195" t="s">
        <v>106</v>
      </c>
      <c r="G1" s="195" t="s">
        <v>0</v>
      </c>
      <c r="H1" s="208" t="s">
        <v>464</v>
      </c>
      <c r="I1" s="199" t="s">
        <v>1</v>
      </c>
      <c r="J1" s="195" t="s">
        <v>2</v>
      </c>
      <c r="K1" s="196" t="s">
        <v>34</v>
      </c>
      <c r="L1" s="196" t="s">
        <v>3</v>
      </c>
      <c r="M1" s="191" t="s">
        <v>4</v>
      </c>
      <c r="N1" s="191"/>
      <c r="O1" s="191"/>
      <c r="P1" s="191"/>
      <c r="Q1" s="192"/>
      <c r="R1" s="196" t="s">
        <v>5</v>
      </c>
      <c r="S1" s="196"/>
      <c r="T1" s="196"/>
      <c r="U1" s="196"/>
      <c r="V1" s="196"/>
      <c r="W1" s="196" t="s">
        <v>6</v>
      </c>
      <c r="X1" s="197" t="s">
        <v>7</v>
      </c>
    </row>
    <row r="2" spans="1:24" s="1" customFormat="1" ht="24">
      <c r="A2" s="195"/>
      <c r="B2" s="195"/>
      <c r="C2" s="195"/>
      <c r="D2" s="195"/>
      <c r="E2" s="195"/>
      <c r="F2" s="195"/>
      <c r="G2" s="195"/>
      <c r="H2" s="208"/>
      <c r="I2" s="199"/>
      <c r="J2" s="195"/>
      <c r="K2" s="196"/>
      <c r="L2" s="196"/>
      <c r="M2" s="5" t="s">
        <v>629</v>
      </c>
      <c r="N2" s="5">
        <v>2027</v>
      </c>
      <c r="O2" s="5">
        <v>2028</v>
      </c>
      <c r="P2" s="5">
        <v>2029</v>
      </c>
      <c r="Q2" s="5">
        <v>2030</v>
      </c>
      <c r="R2" s="50" t="s">
        <v>629</v>
      </c>
      <c r="S2" s="50">
        <v>2027</v>
      </c>
      <c r="T2" s="50">
        <v>2028</v>
      </c>
      <c r="U2" s="50">
        <v>2029</v>
      </c>
      <c r="V2" s="50">
        <v>2030</v>
      </c>
      <c r="W2" s="196"/>
      <c r="X2" s="197"/>
    </row>
    <row r="3" spans="1:24" ht="150">
      <c r="A3" s="45">
        <v>1</v>
      </c>
      <c r="B3" s="45" t="s">
        <v>160</v>
      </c>
      <c r="C3" s="46" t="s">
        <v>161</v>
      </c>
      <c r="D3" s="47" t="s">
        <v>162</v>
      </c>
      <c r="E3" s="46" t="s">
        <v>163</v>
      </c>
      <c r="F3" s="44">
        <v>1</v>
      </c>
      <c r="G3" s="47" t="s">
        <v>164</v>
      </c>
      <c r="H3" s="117" t="s">
        <v>506</v>
      </c>
      <c r="I3" s="27"/>
      <c r="J3" s="44" t="s">
        <v>9</v>
      </c>
      <c r="K3" s="47" t="s">
        <v>128</v>
      </c>
      <c r="L3" s="47" t="s">
        <v>165</v>
      </c>
      <c r="M3" s="18"/>
      <c r="N3" s="18"/>
      <c r="O3" s="18"/>
      <c r="P3" s="18"/>
      <c r="Q3" s="18"/>
      <c r="R3" s="52">
        <f t="shared" ref="R3:T4" si="0">M3</f>
        <v>0</v>
      </c>
      <c r="S3" s="52">
        <f t="shared" si="0"/>
        <v>0</v>
      </c>
      <c r="T3" s="52">
        <f t="shared" si="0"/>
        <v>0</v>
      </c>
      <c r="U3" s="52">
        <f t="shared" ref="U3:V4" si="1">P3</f>
        <v>0</v>
      </c>
      <c r="V3" s="52">
        <f t="shared" si="1"/>
        <v>0</v>
      </c>
      <c r="W3" s="44" t="s">
        <v>10</v>
      </c>
      <c r="X3" s="26"/>
    </row>
    <row r="4" spans="1:24" ht="150">
      <c r="A4" s="45">
        <v>2</v>
      </c>
      <c r="B4" s="45" t="s">
        <v>160</v>
      </c>
      <c r="C4" s="46" t="s">
        <v>161</v>
      </c>
      <c r="D4" s="47" t="s">
        <v>162</v>
      </c>
      <c r="E4" s="46" t="s">
        <v>163</v>
      </c>
      <c r="F4" s="44">
        <v>7</v>
      </c>
      <c r="G4" s="47" t="s">
        <v>166</v>
      </c>
      <c r="H4" s="117" t="s">
        <v>507</v>
      </c>
      <c r="I4" s="17"/>
      <c r="J4" s="44" t="s">
        <v>9</v>
      </c>
      <c r="K4" s="47" t="s">
        <v>128</v>
      </c>
      <c r="L4" s="47" t="s">
        <v>167</v>
      </c>
      <c r="M4" s="18"/>
      <c r="N4" s="18"/>
      <c r="O4" s="18"/>
      <c r="P4" s="18"/>
      <c r="Q4" s="18"/>
      <c r="R4" s="52">
        <f t="shared" si="0"/>
        <v>0</v>
      </c>
      <c r="S4" s="52">
        <f t="shared" si="0"/>
        <v>0</v>
      </c>
      <c r="T4" s="52">
        <f t="shared" si="0"/>
        <v>0</v>
      </c>
      <c r="U4" s="52">
        <f t="shared" si="1"/>
        <v>0</v>
      </c>
      <c r="V4" s="52">
        <f t="shared" si="1"/>
        <v>0</v>
      </c>
      <c r="W4" s="44" t="s">
        <v>10</v>
      </c>
      <c r="X4" s="26"/>
    </row>
  </sheetData>
  <sheetProtection algorithmName="SHA-512" hashValue="eCTFDUz4Fvb+mufVcFZKeiLusdU1BHkTI8bdCrQ3ldtGPajF4xqUQbfbm5Ld+pu+uLbyLB+zXEYHvF01RivX2w==" saltValue="2ZtT2mYRLyBf4SrAFgRQgw==" spinCount="100000" sheet="1" objects="1" scenarios="1" formatCells="0" formatColumns="0" formatRows="0"/>
  <mergeCells count="16">
    <mergeCell ref="W1:W2"/>
    <mergeCell ref="X1:X2"/>
    <mergeCell ref="H1:H2"/>
    <mergeCell ref="I1:I2"/>
    <mergeCell ref="J1:J2"/>
    <mergeCell ref="K1:K2"/>
    <mergeCell ref="L1:L2"/>
    <mergeCell ref="M1:Q1"/>
    <mergeCell ref="R1:V1"/>
    <mergeCell ref="A1:A2"/>
    <mergeCell ref="G1:G2"/>
    <mergeCell ref="B1:B2"/>
    <mergeCell ref="C1:C2"/>
    <mergeCell ref="D1:D2"/>
    <mergeCell ref="E1:E2"/>
    <mergeCell ref="F1: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04BE-7183-4C75-8512-BA140C509409}">
  <dimension ref="A1:X5"/>
  <sheetViews>
    <sheetView topLeftCell="G1" zoomScaleNormal="100" workbookViewId="0">
      <selection activeCell="G4" sqref="G4"/>
    </sheetView>
  </sheetViews>
  <sheetFormatPr baseColWidth="10" defaultRowHeight="15"/>
  <cols>
    <col min="1" max="1" width="11.42578125" style="1"/>
    <col min="3" max="3" width="27.85546875" customWidth="1"/>
    <col min="5" max="5" width="27.85546875" customWidth="1"/>
    <col min="7" max="8" width="27.85546875" customWidth="1"/>
    <col min="9" max="9" width="45.7109375" customWidth="1"/>
    <col min="11" max="11" width="27.85546875" style="22" customWidth="1"/>
    <col min="12" max="12" width="27.85546875" customWidth="1"/>
    <col min="13" max="22" width="11.42578125" style="1"/>
    <col min="24" max="24" width="29" customWidth="1"/>
  </cols>
  <sheetData>
    <row r="1" spans="1:24" ht="23.45" customHeight="1">
      <c r="A1" s="195" t="s">
        <v>437</v>
      </c>
      <c r="B1" s="195" t="s">
        <v>30</v>
      </c>
      <c r="C1" s="195" t="s">
        <v>31</v>
      </c>
      <c r="D1" s="195" t="s">
        <v>32</v>
      </c>
      <c r="E1" s="195" t="s">
        <v>33</v>
      </c>
      <c r="F1" s="195" t="s">
        <v>106</v>
      </c>
      <c r="G1" s="195" t="s">
        <v>0</v>
      </c>
      <c r="H1" s="208" t="s">
        <v>464</v>
      </c>
      <c r="I1" s="199" t="s">
        <v>1</v>
      </c>
      <c r="J1" s="195" t="s">
        <v>2</v>
      </c>
      <c r="K1" s="196" t="s">
        <v>34</v>
      </c>
      <c r="L1" s="196" t="s">
        <v>3</v>
      </c>
      <c r="M1" s="191" t="s">
        <v>4</v>
      </c>
      <c r="N1" s="191"/>
      <c r="O1" s="191"/>
      <c r="P1" s="191"/>
      <c r="Q1" s="192"/>
      <c r="R1" s="206" t="s">
        <v>5</v>
      </c>
      <c r="S1" s="206"/>
      <c r="T1" s="206"/>
      <c r="U1" s="206"/>
      <c r="V1" s="207"/>
      <c r="W1" s="196" t="s">
        <v>6</v>
      </c>
      <c r="X1" s="197" t="s">
        <v>7</v>
      </c>
    </row>
    <row r="2" spans="1:24" ht="33.6" customHeight="1">
      <c r="A2" s="195"/>
      <c r="B2" s="195"/>
      <c r="C2" s="195"/>
      <c r="D2" s="195"/>
      <c r="E2" s="195"/>
      <c r="F2" s="195"/>
      <c r="G2" s="195"/>
      <c r="H2" s="208"/>
      <c r="I2" s="199"/>
      <c r="J2" s="195"/>
      <c r="K2" s="196"/>
      <c r="L2" s="196"/>
      <c r="M2" s="5" t="s">
        <v>629</v>
      </c>
      <c r="N2" s="5">
        <v>2027</v>
      </c>
      <c r="O2" s="5">
        <v>2028</v>
      </c>
      <c r="P2" s="5">
        <v>2029</v>
      </c>
      <c r="Q2" s="5">
        <v>2030</v>
      </c>
      <c r="R2" s="50" t="s">
        <v>629</v>
      </c>
      <c r="S2" s="50">
        <v>2027</v>
      </c>
      <c r="T2" s="50">
        <v>2028</v>
      </c>
      <c r="U2" s="50">
        <v>2029</v>
      </c>
      <c r="V2" s="50">
        <v>2030</v>
      </c>
      <c r="W2" s="196"/>
      <c r="X2" s="197"/>
    </row>
    <row r="3" spans="1:24" ht="165">
      <c r="A3" s="44">
        <v>2</v>
      </c>
      <c r="B3" s="45" t="s">
        <v>168</v>
      </c>
      <c r="C3" s="46" t="s">
        <v>169</v>
      </c>
      <c r="D3" s="47" t="s">
        <v>170</v>
      </c>
      <c r="E3" s="46" t="s">
        <v>171</v>
      </c>
      <c r="F3" s="44">
        <v>6</v>
      </c>
      <c r="G3" s="47" t="s">
        <v>172</v>
      </c>
      <c r="H3" s="117" t="s">
        <v>508</v>
      </c>
      <c r="I3" s="17"/>
      <c r="J3" s="44" t="s">
        <v>9</v>
      </c>
      <c r="K3" s="48" t="s">
        <v>128</v>
      </c>
      <c r="L3" s="47" t="s">
        <v>173</v>
      </c>
      <c r="M3" s="18"/>
      <c r="N3" s="18"/>
      <c r="O3" s="18"/>
      <c r="P3" s="18"/>
      <c r="Q3" s="18"/>
      <c r="R3" s="52">
        <f t="shared" ref="R3:T5" si="0">M3</f>
        <v>0</v>
      </c>
      <c r="S3" s="52">
        <f t="shared" si="0"/>
        <v>0</v>
      </c>
      <c r="T3" s="52">
        <f t="shared" si="0"/>
        <v>0</v>
      </c>
      <c r="U3" s="52">
        <f t="shared" ref="U3:V5" si="1">P3</f>
        <v>0</v>
      </c>
      <c r="V3" s="52">
        <f t="shared" si="1"/>
        <v>0</v>
      </c>
      <c r="W3" s="44" t="s">
        <v>10</v>
      </c>
      <c r="X3" s="26"/>
    </row>
    <row r="4" spans="1:24" ht="165">
      <c r="A4" s="44">
        <v>3</v>
      </c>
      <c r="B4" s="45" t="s">
        <v>168</v>
      </c>
      <c r="C4" s="46" t="s">
        <v>169</v>
      </c>
      <c r="D4" s="47" t="s">
        <v>170</v>
      </c>
      <c r="E4" s="46" t="s">
        <v>171</v>
      </c>
      <c r="F4" s="44">
        <v>13</v>
      </c>
      <c r="G4" s="47" t="s">
        <v>174</v>
      </c>
      <c r="H4" s="117" t="s">
        <v>509</v>
      </c>
      <c r="I4" s="17"/>
      <c r="J4" s="44" t="s">
        <v>9</v>
      </c>
      <c r="K4" s="48" t="s">
        <v>128</v>
      </c>
      <c r="L4" s="47" t="s">
        <v>175</v>
      </c>
      <c r="M4" s="25"/>
      <c r="N4" s="25"/>
      <c r="O4" s="25"/>
      <c r="P4" s="25"/>
      <c r="Q4" s="25"/>
      <c r="R4" s="52">
        <f t="shared" si="0"/>
        <v>0</v>
      </c>
      <c r="S4" s="52">
        <f t="shared" si="0"/>
        <v>0</v>
      </c>
      <c r="T4" s="52">
        <f t="shared" si="0"/>
        <v>0</v>
      </c>
      <c r="U4" s="52">
        <f t="shared" si="1"/>
        <v>0</v>
      </c>
      <c r="V4" s="52">
        <f t="shared" si="1"/>
        <v>0</v>
      </c>
      <c r="W4" s="44" t="s">
        <v>10</v>
      </c>
      <c r="X4" s="26"/>
    </row>
    <row r="5" spans="1:24" ht="165">
      <c r="A5" s="44">
        <v>4</v>
      </c>
      <c r="B5" s="45" t="s">
        <v>168</v>
      </c>
      <c r="C5" s="46" t="s">
        <v>169</v>
      </c>
      <c r="D5" s="47" t="s">
        <v>170</v>
      </c>
      <c r="E5" s="46" t="s">
        <v>171</v>
      </c>
      <c r="F5" s="44">
        <v>15</v>
      </c>
      <c r="G5" s="47" t="s">
        <v>176</v>
      </c>
      <c r="H5" s="117" t="s">
        <v>510</v>
      </c>
      <c r="I5" s="17"/>
      <c r="J5" s="44" t="s">
        <v>9</v>
      </c>
      <c r="K5" s="48" t="s">
        <v>128</v>
      </c>
      <c r="L5" s="47" t="s">
        <v>177</v>
      </c>
      <c r="M5" s="18"/>
      <c r="N5" s="18"/>
      <c r="O5" s="18"/>
      <c r="P5" s="18"/>
      <c r="Q5" s="18"/>
      <c r="R5" s="52">
        <f t="shared" si="0"/>
        <v>0</v>
      </c>
      <c r="S5" s="52">
        <f t="shared" si="0"/>
        <v>0</v>
      </c>
      <c r="T5" s="52">
        <f t="shared" si="0"/>
        <v>0</v>
      </c>
      <c r="U5" s="52">
        <f t="shared" si="1"/>
        <v>0</v>
      </c>
      <c r="V5" s="52">
        <f t="shared" si="1"/>
        <v>0</v>
      </c>
      <c r="W5" s="44" t="s">
        <v>10</v>
      </c>
      <c r="X5" s="26"/>
    </row>
  </sheetData>
  <sheetProtection algorithmName="SHA-512" hashValue="xHr5SJilA3TH5JLdKGOx+RG+pUkr+DiONR1T3R1mGCx+0SI9d0uqKnCqJ96C6bLgEbthzkKFnkJtgaUBKpG2LQ==" saltValue="bGC4MZUrPr5XOOFJTA1m1A==" spinCount="100000" sheet="1" formatCells="0" formatColumns="0" formatRows="0"/>
  <mergeCells count="16">
    <mergeCell ref="W1:W2"/>
    <mergeCell ref="X1:X2"/>
    <mergeCell ref="H1:H2"/>
    <mergeCell ref="I1:I2"/>
    <mergeCell ref="J1:J2"/>
    <mergeCell ref="K1:K2"/>
    <mergeCell ref="L1:L2"/>
    <mergeCell ref="M1:Q1"/>
    <mergeCell ref="R1:V1"/>
    <mergeCell ref="A1:A2"/>
    <mergeCell ref="G1:G2"/>
    <mergeCell ref="B1:B2"/>
    <mergeCell ref="C1:C2"/>
    <mergeCell ref="D1:D2"/>
    <mergeCell ref="E1:E2"/>
    <mergeCell ref="F1:F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DF9B-AE97-4BA1-984F-919A689EE896}">
  <dimension ref="A1:X8"/>
  <sheetViews>
    <sheetView topLeftCell="E5" zoomScale="85" zoomScaleNormal="85" workbookViewId="0">
      <selection activeCell="G3" sqref="G3"/>
    </sheetView>
  </sheetViews>
  <sheetFormatPr baseColWidth="10" defaultRowHeight="15"/>
  <cols>
    <col min="1" max="1" width="11.42578125" style="1"/>
    <col min="3" max="3" width="28.42578125" customWidth="1"/>
    <col min="5" max="5" width="28.42578125" customWidth="1"/>
    <col min="7" max="8" width="28.42578125" customWidth="1"/>
    <col min="9" max="9" width="45.7109375" customWidth="1"/>
    <col min="11" max="12" width="28.42578125" customWidth="1"/>
    <col min="13" max="22" width="11.42578125" style="1"/>
    <col min="23" max="23" width="13" customWidth="1"/>
    <col min="24" max="24" width="29" customWidth="1"/>
  </cols>
  <sheetData>
    <row r="1" spans="1:24" ht="18.75" customHeight="1">
      <c r="A1" s="195" t="s">
        <v>437</v>
      </c>
      <c r="B1" s="195" t="s">
        <v>30</v>
      </c>
      <c r="C1" s="195" t="s">
        <v>31</v>
      </c>
      <c r="D1" s="195" t="s">
        <v>32</v>
      </c>
      <c r="E1" s="195" t="s">
        <v>33</v>
      </c>
      <c r="F1" s="195" t="s">
        <v>106</v>
      </c>
      <c r="G1" s="195" t="s">
        <v>0</v>
      </c>
      <c r="H1" s="208" t="s">
        <v>464</v>
      </c>
      <c r="I1" s="199" t="s">
        <v>1</v>
      </c>
      <c r="J1" s="195" t="s">
        <v>2</v>
      </c>
      <c r="K1" s="214" t="s">
        <v>34</v>
      </c>
      <c r="L1" s="196" t="s">
        <v>3</v>
      </c>
      <c r="M1" s="191" t="s">
        <v>4</v>
      </c>
      <c r="N1" s="191"/>
      <c r="O1" s="191"/>
      <c r="P1" s="191"/>
      <c r="Q1" s="192"/>
      <c r="R1" s="206" t="s">
        <v>5</v>
      </c>
      <c r="S1" s="206"/>
      <c r="T1" s="206"/>
      <c r="U1" s="206"/>
      <c r="V1" s="207"/>
      <c r="W1" s="196" t="s">
        <v>6</v>
      </c>
      <c r="X1" s="197" t="s">
        <v>7</v>
      </c>
    </row>
    <row r="2" spans="1:24" ht="24">
      <c r="A2" s="195"/>
      <c r="B2" s="195"/>
      <c r="C2" s="195"/>
      <c r="D2" s="195"/>
      <c r="E2" s="195"/>
      <c r="F2" s="195"/>
      <c r="G2" s="195"/>
      <c r="H2" s="208"/>
      <c r="I2" s="199"/>
      <c r="J2" s="195"/>
      <c r="K2" s="214"/>
      <c r="L2" s="196"/>
      <c r="M2" s="5" t="s">
        <v>629</v>
      </c>
      <c r="N2" s="5">
        <v>2027</v>
      </c>
      <c r="O2" s="5">
        <v>2028</v>
      </c>
      <c r="P2" s="5">
        <v>2029</v>
      </c>
      <c r="Q2" s="5">
        <v>2030</v>
      </c>
      <c r="R2" s="50" t="s">
        <v>629</v>
      </c>
      <c r="S2" s="50">
        <v>2027</v>
      </c>
      <c r="T2" s="50">
        <v>2028</v>
      </c>
      <c r="U2" s="50">
        <v>2029</v>
      </c>
      <c r="V2" s="50">
        <v>2030</v>
      </c>
      <c r="W2" s="196"/>
      <c r="X2" s="197"/>
    </row>
    <row r="3" spans="1:24" ht="156.75" customHeight="1">
      <c r="A3" s="44">
        <v>1</v>
      </c>
      <c r="B3" s="45" t="s">
        <v>178</v>
      </c>
      <c r="C3" s="47" t="s">
        <v>179</v>
      </c>
      <c r="D3" s="47" t="s">
        <v>196</v>
      </c>
      <c r="E3" s="47" t="s">
        <v>194</v>
      </c>
      <c r="F3" s="44">
        <v>2</v>
      </c>
      <c r="G3" s="104" t="s">
        <v>180</v>
      </c>
      <c r="H3" s="117" t="s">
        <v>586</v>
      </c>
      <c r="I3" s="17"/>
      <c r="J3" s="44" t="s">
        <v>9</v>
      </c>
      <c r="K3" s="47" t="s">
        <v>128</v>
      </c>
      <c r="L3" s="47" t="s">
        <v>181</v>
      </c>
      <c r="M3" s="25"/>
      <c r="N3" s="25"/>
      <c r="O3" s="25"/>
      <c r="P3" s="25"/>
      <c r="Q3" s="25"/>
      <c r="R3" s="52">
        <f t="shared" ref="R3:V3" si="0">M3</f>
        <v>0</v>
      </c>
      <c r="S3" s="52">
        <f t="shared" si="0"/>
        <v>0</v>
      </c>
      <c r="T3" s="52">
        <f t="shared" si="0"/>
        <v>0</v>
      </c>
      <c r="U3" s="52">
        <f t="shared" si="0"/>
        <v>0</v>
      </c>
      <c r="V3" s="52">
        <f t="shared" si="0"/>
        <v>0</v>
      </c>
      <c r="W3" s="44" t="s">
        <v>182</v>
      </c>
      <c r="X3" s="26"/>
    </row>
    <row r="4" spans="1:24" ht="156.75" customHeight="1">
      <c r="A4" s="44">
        <v>2</v>
      </c>
      <c r="B4" s="45" t="s">
        <v>178</v>
      </c>
      <c r="C4" s="47" t="s">
        <v>179</v>
      </c>
      <c r="D4" s="47" t="s">
        <v>196</v>
      </c>
      <c r="E4" s="47" t="s">
        <v>194</v>
      </c>
      <c r="F4" s="44">
        <v>4</v>
      </c>
      <c r="G4" s="104" t="s">
        <v>183</v>
      </c>
      <c r="H4" s="118" t="s">
        <v>511</v>
      </c>
      <c r="I4" s="17"/>
      <c r="J4" s="44" t="s">
        <v>9</v>
      </c>
      <c r="K4" s="47" t="s">
        <v>128</v>
      </c>
      <c r="L4" s="47" t="s">
        <v>184</v>
      </c>
      <c r="M4" s="25"/>
      <c r="N4" s="25"/>
      <c r="O4" s="25"/>
      <c r="P4" s="25"/>
      <c r="Q4" s="25"/>
      <c r="R4" s="52">
        <f t="shared" ref="R4:R8" si="1">M4</f>
        <v>0</v>
      </c>
      <c r="S4" s="52">
        <f t="shared" ref="S4:S8" si="2">N4</f>
        <v>0</v>
      </c>
      <c r="T4" s="52">
        <f t="shared" ref="T4:T8" si="3">O4</f>
        <v>0</v>
      </c>
      <c r="U4" s="52">
        <f t="shared" ref="U4:V8" si="4">P4</f>
        <v>0</v>
      </c>
      <c r="V4" s="52">
        <f t="shared" si="4"/>
        <v>0</v>
      </c>
      <c r="W4" s="44" t="s">
        <v>182</v>
      </c>
      <c r="X4" s="26"/>
    </row>
    <row r="5" spans="1:24" ht="156.75" customHeight="1">
      <c r="A5" s="44">
        <v>3</v>
      </c>
      <c r="B5" s="45" t="s">
        <v>178</v>
      </c>
      <c r="C5" s="47" t="s">
        <v>179</v>
      </c>
      <c r="D5" s="47" t="s">
        <v>196</v>
      </c>
      <c r="E5" s="47" t="s">
        <v>194</v>
      </c>
      <c r="F5" s="44">
        <v>8</v>
      </c>
      <c r="G5" s="104" t="s">
        <v>185</v>
      </c>
      <c r="H5" s="117" t="s">
        <v>512</v>
      </c>
      <c r="I5" s="17"/>
      <c r="J5" s="44" t="s">
        <v>9</v>
      </c>
      <c r="K5" s="47" t="s">
        <v>128</v>
      </c>
      <c r="L5" s="47" t="s">
        <v>186</v>
      </c>
      <c r="M5" s="25"/>
      <c r="N5" s="25"/>
      <c r="O5" s="25"/>
      <c r="P5" s="25"/>
      <c r="Q5" s="25"/>
      <c r="R5" s="52">
        <f t="shared" si="1"/>
        <v>0</v>
      </c>
      <c r="S5" s="52">
        <f t="shared" si="2"/>
        <v>0</v>
      </c>
      <c r="T5" s="52">
        <f t="shared" si="3"/>
        <v>0</v>
      </c>
      <c r="U5" s="52">
        <f t="shared" si="4"/>
        <v>0</v>
      </c>
      <c r="V5" s="52">
        <f t="shared" si="4"/>
        <v>0</v>
      </c>
      <c r="W5" s="44" t="s">
        <v>182</v>
      </c>
      <c r="X5" s="26"/>
    </row>
    <row r="6" spans="1:24" ht="156.75" customHeight="1">
      <c r="A6" s="44">
        <v>4</v>
      </c>
      <c r="B6" s="45" t="s">
        <v>178</v>
      </c>
      <c r="C6" s="47" t="s">
        <v>179</v>
      </c>
      <c r="D6" s="47" t="s">
        <v>187</v>
      </c>
      <c r="E6" s="47" t="s">
        <v>195</v>
      </c>
      <c r="F6" s="44">
        <v>15</v>
      </c>
      <c r="G6" s="104" t="s">
        <v>188</v>
      </c>
      <c r="H6" s="116" t="s">
        <v>513</v>
      </c>
      <c r="I6" s="17"/>
      <c r="J6" s="44" t="s">
        <v>9</v>
      </c>
      <c r="K6" s="47" t="s">
        <v>128</v>
      </c>
      <c r="L6" s="47" t="s">
        <v>189</v>
      </c>
      <c r="M6" s="25"/>
      <c r="N6" s="25"/>
      <c r="O6" s="25"/>
      <c r="P6" s="25"/>
      <c r="Q6" s="25"/>
      <c r="R6" s="52">
        <f t="shared" si="1"/>
        <v>0</v>
      </c>
      <c r="S6" s="52">
        <f t="shared" si="2"/>
        <v>0</v>
      </c>
      <c r="T6" s="52">
        <f t="shared" si="3"/>
        <v>0</v>
      </c>
      <c r="U6" s="52">
        <f t="shared" si="4"/>
        <v>0</v>
      </c>
      <c r="V6" s="52">
        <f t="shared" si="4"/>
        <v>0</v>
      </c>
      <c r="W6" s="44" t="s">
        <v>182</v>
      </c>
      <c r="X6" s="26"/>
    </row>
    <row r="7" spans="1:24" ht="156.75" customHeight="1">
      <c r="A7" s="44">
        <v>5</v>
      </c>
      <c r="B7" s="44" t="s">
        <v>178</v>
      </c>
      <c r="C7" s="49" t="s">
        <v>179</v>
      </c>
      <c r="D7" s="49" t="s">
        <v>187</v>
      </c>
      <c r="E7" s="47" t="s">
        <v>195</v>
      </c>
      <c r="F7" s="44">
        <v>17</v>
      </c>
      <c r="G7" s="104" t="s">
        <v>190</v>
      </c>
      <c r="H7" s="116" t="s">
        <v>514</v>
      </c>
      <c r="I7" s="17"/>
      <c r="J7" s="44" t="s">
        <v>9</v>
      </c>
      <c r="K7" s="47" t="s">
        <v>128</v>
      </c>
      <c r="L7" s="49" t="s">
        <v>191</v>
      </c>
      <c r="M7" s="25"/>
      <c r="N7" s="25"/>
      <c r="O7" s="25"/>
      <c r="P7" s="25"/>
      <c r="Q7" s="25"/>
      <c r="R7" s="52">
        <f t="shared" si="1"/>
        <v>0</v>
      </c>
      <c r="S7" s="52">
        <f t="shared" si="2"/>
        <v>0</v>
      </c>
      <c r="T7" s="52">
        <f t="shared" si="3"/>
        <v>0</v>
      </c>
      <c r="U7" s="52">
        <f t="shared" si="4"/>
        <v>0</v>
      </c>
      <c r="V7" s="52">
        <f t="shared" si="4"/>
        <v>0</v>
      </c>
      <c r="W7" s="44" t="s">
        <v>182</v>
      </c>
      <c r="X7" s="26"/>
    </row>
    <row r="8" spans="1:24" ht="156.75" customHeight="1">
      <c r="A8" s="44">
        <v>6</v>
      </c>
      <c r="B8" s="45" t="s">
        <v>178</v>
      </c>
      <c r="C8" s="47" t="s">
        <v>179</v>
      </c>
      <c r="D8" s="47" t="s">
        <v>187</v>
      </c>
      <c r="E8" s="47" t="s">
        <v>195</v>
      </c>
      <c r="F8" s="44">
        <v>20</v>
      </c>
      <c r="G8" s="104" t="s">
        <v>192</v>
      </c>
      <c r="H8" s="116" t="s">
        <v>515</v>
      </c>
      <c r="I8" s="17"/>
      <c r="J8" s="44" t="s">
        <v>9</v>
      </c>
      <c r="K8" s="47" t="s">
        <v>128</v>
      </c>
      <c r="L8" s="47" t="s">
        <v>193</v>
      </c>
      <c r="M8" s="25"/>
      <c r="N8" s="25"/>
      <c r="O8" s="25"/>
      <c r="P8" s="25"/>
      <c r="Q8" s="25"/>
      <c r="R8" s="52">
        <f t="shared" si="1"/>
        <v>0</v>
      </c>
      <c r="S8" s="52">
        <f t="shared" si="2"/>
        <v>0</v>
      </c>
      <c r="T8" s="52">
        <f t="shared" si="3"/>
        <v>0</v>
      </c>
      <c r="U8" s="52">
        <f t="shared" si="4"/>
        <v>0</v>
      </c>
      <c r="V8" s="52">
        <f t="shared" si="4"/>
        <v>0</v>
      </c>
      <c r="W8" s="44" t="s">
        <v>182</v>
      </c>
      <c r="X8" s="26"/>
    </row>
  </sheetData>
  <sheetProtection algorithmName="SHA-512" hashValue="4jjh2tfnSpxwsHCw6sQmNweDt5USklJSSmWtnezQkoJLwM+KfgeBlLzlLw21HZBTsMiKma32Ahrxq+fPrweQZA==" saltValue="kKoKlmZ5EN6iVr8gm5GJqw==" spinCount="100000" sheet="1" formatCells="0" formatColumns="0" formatRows="0"/>
  <mergeCells count="16">
    <mergeCell ref="W1:W2"/>
    <mergeCell ref="X1:X2"/>
    <mergeCell ref="H1:H2"/>
    <mergeCell ref="I1:I2"/>
    <mergeCell ref="J1:J2"/>
    <mergeCell ref="K1:K2"/>
    <mergeCell ref="L1:L2"/>
    <mergeCell ref="M1:Q1"/>
    <mergeCell ref="R1:V1"/>
    <mergeCell ref="A1:A2"/>
    <mergeCell ref="G1:G2"/>
    <mergeCell ref="B1:B2"/>
    <mergeCell ref="C1:C2"/>
    <mergeCell ref="D1:D2"/>
    <mergeCell ref="E1:E2"/>
    <mergeCell ref="F1:F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09B1-8E03-4674-BE30-3532142FBF20}">
  <dimension ref="A1:X10"/>
  <sheetViews>
    <sheetView topLeftCell="E1" zoomScale="91" zoomScaleNormal="91" workbookViewId="0">
      <selection activeCell="L1" sqref="L1:L1048576"/>
    </sheetView>
  </sheetViews>
  <sheetFormatPr baseColWidth="10" defaultRowHeight="15"/>
  <cols>
    <col min="3" max="3" width="29.28515625" style="22" customWidth="1"/>
    <col min="5" max="5" width="29.28515625" style="22" customWidth="1"/>
    <col min="7" max="8" width="29.28515625" style="22" customWidth="1"/>
    <col min="9" max="9" width="45.7109375" customWidth="1"/>
    <col min="11" max="11" width="29.28515625" style="1" customWidth="1"/>
    <col min="12" max="12" width="29.28515625" style="22" customWidth="1"/>
    <col min="13" max="22" width="11.42578125" style="1"/>
    <col min="24" max="24" width="29" customWidth="1"/>
  </cols>
  <sheetData>
    <row r="1" spans="1:24" ht="18.75" customHeight="1">
      <c r="A1" s="195" t="s">
        <v>437</v>
      </c>
      <c r="B1" s="195" t="s">
        <v>30</v>
      </c>
      <c r="C1" s="217" t="s">
        <v>31</v>
      </c>
      <c r="D1" s="195" t="s">
        <v>32</v>
      </c>
      <c r="E1" s="217" t="s">
        <v>33</v>
      </c>
      <c r="F1" s="195" t="s">
        <v>106</v>
      </c>
      <c r="G1" s="217" t="s">
        <v>0</v>
      </c>
      <c r="H1" s="221" t="s">
        <v>464</v>
      </c>
      <c r="I1" s="199" t="s">
        <v>1</v>
      </c>
      <c r="J1" s="195" t="s">
        <v>2</v>
      </c>
      <c r="K1" s="196" t="s">
        <v>34</v>
      </c>
      <c r="L1" s="222" t="s">
        <v>3</v>
      </c>
      <c r="M1" s="191" t="s">
        <v>4</v>
      </c>
      <c r="N1" s="191"/>
      <c r="O1" s="191"/>
      <c r="P1" s="191"/>
      <c r="Q1" s="192"/>
      <c r="R1" s="206" t="s">
        <v>5</v>
      </c>
      <c r="S1" s="206"/>
      <c r="T1" s="206"/>
      <c r="U1" s="206"/>
      <c r="V1" s="207"/>
      <c r="W1" s="196" t="s">
        <v>6</v>
      </c>
      <c r="X1" s="197" t="s">
        <v>7</v>
      </c>
    </row>
    <row r="2" spans="1:24" ht="24">
      <c r="A2" s="195"/>
      <c r="B2" s="195"/>
      <c r="C2" s="217"/>
      <c r="D2" s="195"/>
      <c r="E2" s="217"/>
      <c r="F2" s="195"/>
      <c r="G2" s="217"/>
      <c r="H2" s="221"/>
      <c r="I2" s="199"/>
      <c r="J2" s="195"/>
      <c r="K2" s="196"/>
      <c r="L2" s="222"/>
      <c r="M2" s="5" t="s">
        <v>629</v>
      </c>
      <c r="N2" s="5">
        <v>2027</v>
      </c>
      <c r="O2" s="5">
        <v>2028</v>
      </c>
      <c r="P2" s="5">
        <v>2029</v>
      </c>
      <c r="Q2" s="5">
        <v>2030</v>
      </c>
      <c r="R2" s="50" t="s">
        <v>629</v>
      </c>
      <c r="S2" s="50">
        <v>2027</v>
      </c>
      <c r="T2" s="50">
        <v>2028</v>
      </c>
      <c r="U2" s="50">
        <v>2029</v>
      </c>
      <c r="V2" s="50">
        <v>2030</v>
      </c>
      <c r="W2" s="196"/>
      <c r="X2" s="197"/>
    </row>
    <row r="3" spans="1:24" ht="95.25" customHeight="1">
      <c r="A3" s="44">
        <v>1</v>
      </c>
      <c r="B3" s="45" t="s">
        <v>197</v>
      </c>
      <c r="C3" s="48" t="s">
        <v>198</v>
      </c>
      <c r="D3" s="47" t="s">
        <v>199</v>
      </c>
      <c r="E3" s="48" t="s">
        <v>200</v>
      </c>
      <c r="F3" s="44">
        <v>1</v>
      </c>
      <c r="G3" s="48" t="s">
        <v>201</v>
      </c>
      <c r="H3" s="18" t="s">
        <v>516</v>
      </c>
      <c r="I3" s="20"/>
      <c r="J3" s="44" t="s">
        <v>9</v>
      </c>
      <c r="K3" s="49" t="s">
        <v>128</v>
      </c>
      <c r="L3" s="48" t="s">
        <v>202</v>
      </c>
      <c r="M3" s="25"/>
      <c r="N3" s="25"/>
      <c r="O3" s="25"/>
      <c r="P3" s="25"/>
      <c r="Q3" s="25"/>
      <c r="R3" s="52">
        <f t="shared" ref="R3:V3" si="0">M3</f>
        <v>0</v>
      </c>
      <c r="S3" s="52">
        <f t="shared" si="0"/>
        <v>0</v>
      </c>
      <c r="T3" s="52">
        <f t="shared" si="0"/>
        <v>0</v>
      </c>
      <c r="U3" s="52">
        <f t="shared" si="0"/>
        <v>0</v>
      </c>
      <c r="V3" s="52">
        <f t="shared" si="0"/>
        <v>0</v>
      </c>
      <c r="W3" s="44" t="s">
        <v>10</v>
      </c>
      <c r="X3" s="26"/>
    </row>
    <row r="4" spans="1:24" ht="57.75" customHeight="1">
      <c r="A4" s="216">
        <v>2</v>
      </c>
      <c r="B4" s="216" t="s">
        <v>197</v>
      </c>
      <c r="C4" s="218" t="s">
        <v>198</v>
      </c>
      <c r="D4" s="219" t="s">
        <v>199</v>
      </c>
      <c r="E4" s="218" t="s">
        <v>200</v>
      </c>
      <c r="F4" s="216">
        <v>2</v>
      </c>
      <c r="G4" s="218" t="s">
        <v>203</v>
      </c>
      <c r="H4" s="220" t="s">
        <v>517</v>
      </c>
      <c r="I4" s="220"/>
      <c r="J4" s="223" t="s">
        <v>12</v>
      </c>
      <c r="K4" s="219" t="s">
        <v>204</v>
      </c>
      <c r="L4" s="48" t="s">
        <v>205</v>
      </c>
      <c r="M4" s="25"/>
      <c r="N4" s="25"/>
      <c r="O4" s="25"/>
      <c r="P4" s="25"/>
      <c r="Q4" s="25"/>
      <c r="R4" s="215" t="str">
        <f t="shared" ref="R4:V4" si="1">IF(M5,M4/M5*100,"0")</f>
        <v>0</v>
      </c>
      <c r="S4" s="215" t="str">
        <f t="shared" si="1"/>
        <v>0</v>
      </c>
      <c r="T4" s="215" t="str">
        <f t="shared" si="1"/>
        <v>0</v>
      </c>
      <c r="U4" s="215" t="str">
        <f t="shared" si="1"/>
        <v>0</v>
      </c>
      <c r="V4" s="215" t="str">
        <f t="shared" si="1"/>
        <v>0</v>
      </c>
      <c r="W4" s="216" t="s">
        <v>10</v>
      </c>
      <c r="X4" s="224"/>
    </row>
    <row r="5" spans="1:24" ht="37.5" customHeight="1">
      <c r="A5" s="216"/>
      <c r="B5" s="216"/>
      <c r="C5" s="218"/>
      <c r="D5" s="219"/>
      <c r="E5" s="218"/>
      <c r="F5" s="216"/>
      <c r="G5" s="218"/>
      <c r="H5" s="220"/>
      <c r="I5" s="220"/>
      <c r="J5" s="223"/>
      <c r="K5" s="219"/>
      <c r="L5" s="48" t="s">
        <v>206</v>
      </c>
      <c r="M5" s="25"/>
      <c r="N5" s="25"/>
      <c r="O5" s="25"/>
      <c r="P5" s="25"/>
      <c r="Q5" s="25"/>
      <c r="R5" s="215"/>
      <c r="S5" s="215"/>
      <c r="T5" s="215"/>
      <c r="U5" s="215"/>
      <c r="V5" s="215"/>
      <c r="W5" s="216"/>
      <c r="X5" s="224"/>
    </row>
    <row r="6" spans="1:24" ht="47.25" customHeight="1">
      <c r="A6" s="149">
        <v>3</v>
      </c>
      <c r="B6" s="149" t="s">
        <v>197</v>
      </c>
      <c r="C6" s="153" t="s">
        <v>198</v>
      </c>
      <c r="D6" s="159" t="s">
        <v>199</v>
      </c>
      <c r="E6" s="153" t="s">
        <v>200</v>
      </c>
      <c r="F6" s="149">
        <v>3</v>
      </c>
      <c r="G6" s="153" t="s">
        <v>207</v>
      </c>
      <c r="H6" s="155" t="s">
        <v>518</v>
      </c>
      <c r="I6" s="155"/>
      <c r="J6" s="170" t="s">
        <v>12</v>
      </c>
      <c r="K6" s="159" t="s">
        <v>208</v>
      </c>
      <c r="L6" s="48" t="s">
        <v>209</v>
      </c>
      <c r="M6" s="25"/>
      <c r="N6" s="25"/>
      <c r="O6" s="25"/>
      <c r="P6" s="25"/>
      <c r="Q6" s="25"/>
      <c r="R6" s="215" t="str">
        <f t="shared" ref="R6:V6" si="2">IF(M7,M6/M7*100,"0")</f>
        <v>0</v>
      </c>
      <c r="S6" s="215" t="str">
        <f t="shared" si="2"/>
        <v>0</v>
      </c>
      <c r="T6" s="215" t="str">
        <f t="shared" si="2"/>
        <v>0</v>
      </c>
      <c r="U6" s="215" t="str">
        <f t="shared" si="2"/>
        <v>0</v>
      </c>
      <c r="V6" s="215" t="str">
        <f t="shared" si="2"/>
        <v>0</v>
      </c>
      <c r="W6" s="149" t="s">
        <v>10</v>
      </c>
      <c r="X6" s="204"/>
    </row>
    <row r="7" spans="1:24" ht="47.25" customHeight="1">
      <c r="A7" s="150"/>
      <c r="B7" s="150"/>
      <c r="C7" s="157"/>
      <c r="D7" s="163"/>
      <c r="E7" s="157"/>
      <c r="F7" s="150"/>
      <c r="G7" s="157"/>
      <c r="H7" s="158"/>
      <c r="I7" s="158"/>
      <c r="J7" s="171"/>
      <c r="K7" s="163"/>
      <c r="L7" s="90" t="s">
        <v>210</v>
      </c>
      <c r="M7" s="21"/>
      <c r="N7" s="21"/>
      <c r="O7" s="21"/>
      <c r="P7" s="21"/>
      <c r="Q7" s="21"/>
      <c r="R7" s="215"/>
      <c r="S7" s="215"/>
      <c r="T7" s="215"/>
      <c r="U7" s="215"/>
      <c r="V7" s="215"/>
      <c r="W7" s="150"/>
      <c r="X7" s="205"/>
    </row>
    <row r="8" spans="1:24" ht="48.75" customHeight="1">
      <c r="A8" s="149">
        <v>4</v>
      </c>
      <c r="B8" s="149" t="s">
        <v>197</v>
      </c>
      <c r="C8" s="153" t="s">
        <v>198</v>
      </c>
      <c r="D8" s="159" t="s">
        <v>199</v>
      </c>
      <c r="E8" s="225" t="s">
        <v>200</v>
      </c>
      <c r="F8" s="212">
        <v>7</v>
      </c>
      <c r="G8" s="225" t="s">
        <v>211</v>
      </c>
      <c r="H8" s="227" t="s">
        <v>519</v>
      </c>
      <c r="I8" s="227"/>
      <c r="J8" s="229" t="s">
        <v>12</v>
      </c>
      <c r="K8" s="231" t="s">
        <v>212</v>
      </c>
      <c r="L8" s="105" t="s">
        <v>213</v>
      </c>
      <c r="M8" s="25"/>
      <c r="N8" s="25"/>
      <c r="O8" s="25"/>
      <c r="P8" s="25"/>
      <c r="Q8" s="25"/>
      <c r="R8" s="215" t="str">
        <f t="shared" ref="R8:V8" si="3">IF(M9,M8/M9*100,"0")</f>
        <v>0</v>
      </c>
      <c r="S8" s="215" t="str">
        <f t="shared" si="3"/>
        <v>0</v>
      </c>
      <c r="T8" s="215" t="str">
        <f t="shared" si="3"/>
        <v>0</v>
      </c>
      <c r="U8" s="215" t="str">
        <f t="shared" si="3"/>
        <v>0</v>
      </c>
      <c r="V8" s="215" t="str">
        <f t="shared" si="3"/>
        <v>0</v>
      </c>
      <c r="W8" s="212" t="s">
        <v>10</v>
      </c>
      <c r="X8" s="204"/>
    </row>
    <row r="9" spans="1:24" ht="48.75" customHeight="1">
      <c r="A9" s="150"/>
      <c r="B9" s="150"/>
      <c r="C9" s="157"/>
      <c r="D9" s="163"/>
      <c r="E9" s="226"/>
      <c r="F9" s="213"/>
      <c r="G9" s="226"/>
      <c r="H9" s="228"/>
      <c r="I9" s="228"/>
      <c r="J9" s="230"/>
      <c r="K9" s="232"/>
      <c r="L9" s="106" t="s">
        <v>218</v>
      </c>
      <c r="M9" s="100">
        <f>'2 EstudiantadoEstProf'!M14</f>
        <v>0</v>
      </c>
      <c r="N9" s="100">
        <f>'2 EstudiantadoEstProf'!N14</f>
        <v>0</v>
      </c>
      <c r="O9" s="100">
        <f>'2 EstudiantadoEstProf'!O14</f>
        <v>0</v>
      </c>
      <c r="P9" s="100">
        <f>'2 EstudiantadoEstProf'!P14</f>
        <v>0</v>
      </c>
      <c r="Q9" s="100">
        <f>'2 EstudiantadoEstProf'!Q14</f>
        <v>0</v>
      </c>
      <c r="R9" s="215"/>
      <c r="S9" s="215"/>
      <c r="T9" s="215"/>
      <c r="U9" s="215"/>
      <c r="V9" s="215"/>
      <c r="W9" s="213"/>
      <c r="X9" s="205"/>
    </row>
    <row r="10" spans="1:24" ht="94.5" customHeight="1">
      <c r="A10" s="44">
        <v>5</v>
      </c>
      <c r="B10" s="45" t="s">
        <v>197</v>
      </c>
      <c r="C10" s="48" t="s">
        <v>198</v>
      </c>
      <c r="D10" s="47" t="s">
        <v>214</v>
      </c>
      <c r="E10" s="48" t="s">
        <v>215</v>
      </c>
      <c r="F10" s="44">
        <v>5</v>
      </c>
      <c r="G10" s="48" t="s">
        <v>216</v>
      </c>
      <c r="H10" s="18" t="s">
        <v>520</v>
      </c>
      <c r="I10" s="17"/>
      <c r="J10" s="44" t="s">
        <v>9</v>
      </c>
      <c r="K10" s="49" t="s">
        <v>128</v>
      </c>
      <c r="L10" s="48" t="s">
        <v>217</v>
      </c>
      <c r="M10" s="25"/>
      <c r="N10" s="25"/>
      <c r="O10" s="25"/>
      <c r="P10" s="25"/>
      <c r="Q10" s="25"/>
      <c r="R10" s="52">
        <f t="shared" ref="R10:V10" si="4">M10</f>
        <v>0</v>
      </c>
      <c r="S10" s="52">
        <f t="shared" si="4"/>
        <v>0</v>
      </c>
      <c r="T10" s="52">
        <f t="shared" si="4"/>
        <v>0</v>
      </c>
      <c r="U10" s="52">
        <f t="shared" si="4"/>
        <v>0</v>
      </c>
      <c r="V10" s="52">
        <f t="shared" si="4"/>
        <v>0</v>
      </c>
      <c r="W10" s="44" t="s">
        <v>10</v>
      </c>
      <c r="X10" s="26"/>
    </row>
  </sheetData>
  <sheetProtection algorithmName="SHA-512" hashValue="ZzrnVOE78why6otV71zdGimuunDyg0YIDkbI86et2nl28pVn1xBTwbjtuBgT4xl1TW5cWQc7SvhutYo1KWgTRQ==" saltValue="9x3MkCrjg5HMy3qB9niX0Q==" spinCount="100000" sheet="1" objects="1" scenarios="1" formatCells="0" formatColumns="0" formatRows="0"/>
  <mergeCells count="70">
    <mergeCell ref="X8:X9"/>
    <mergeCell ref="R8:R9"/>
    <mergeCell ref="S8:S9"/>
    <mergeCell ref="T8:T9"/>
    <mergeCell ref="U8:U9"/>
    <mergeCell ref="W8:W9"/>
    <mergeCell ref="G8:G9"/>
    <mergeCell ref="H8:H9"/>
    <mergeCell ref="I8:I9"/>
    <mergeCell ref="J8:J9"/>
    <mergeCell ref="K8:K9"/>
    <mergeCell ref="B8:B9"/>
    <mergeCell ref="C8:C9"/>
    <mergeCell ref="D8:D9"/>
    <mergeCell ref="E8:E9"/>
    <mergeCell ref="F8:F9"/>
    <mergeCell ref="X4:X5"/>
    <mergeCell ref="W4:W5"/>
    <mergeCell ref="R4:R5"/>
    <mergeCell ref="S4:S5"/>
    <mergeCell ref="S6:S7"/>
    <mergeCell ref="T6:T7"/>
    <mergeCell ref="X6:X7"/>
    <mergeCell ref="U6:U7"/>
    <mergeCell ref="W6:W7"/>
    <mergeCell ref="K4:K5"/>
    <mergeCell ref="H6:H7"/>
    <mergeCell ref="I6:I7"/>
    <mergeCell ref="J6:J7"/>
    <mergeCell ref="K6:K7"/>
    <mergeCell ref="W1:W2"/>
    <mergeCell ref="X1:X2"/>
    <mergeCell ref="B4:B5"/>
    <mergeCell ref="C4:C5"/>
    <mergeCell ref="D4:D5"/>
    <mergeCell ref="E4:E5"/>
    <mergeCell ref="F4:F5"/>
    <mergeCell ref="G4:G5"/>
    <mergeCell ref="H4:H5"/>
    <mergeCell ref="H1:H2"/>
    <mergeCell ref="I1:I2"/>
    <mergeCell ref="J1:J2"/>
    <mergeCell ref="K1:K2"/>
    <mergeCell ref="L1:L2"/>
    <mergeCell ref="I4:I5"/>
    <mergeCell ref="J4:J5"/>
    <mergeCell ref="A1:A2"/>
    <mergeCell ref="A4:A5"/>
    <mergeCell ref="A6:A7"/>
    <mergeCell ref="A8:A9"/>
    <mergeCell ref="G1:G2"/>
    <mergeCell ref="B1:B2"/>
    <mergeCell ref="C1:C2"/>
    <mergeCell ref="D1:D2"/>
    <mergeCell ref="E1:E2"/>
    <mergeCell ref="F1:F2"/>
    <mergeCell ref="G6:G7"/>
    <mergeCell ref="B6:B7"/>
    <mergeCell ref="C6:C7"/>
    <mergeCell ref="D6:D7"/>
    <mergeCell ref="E6:E7"/>
    <mergeCell ref="F6:F7"/>
    <mergeCell ref="M1:Q1"/>
    <mergeCell ref="R1:V1"/>
    <mergeCell ref="V4:V5"/>
    <mergeCell ref="V6:V7"/>
    <mergeCell ref="V8:V9"/>
    <mergeCell ref="R6:R7"/>
    <mergeCell ref="T4:T5"/>
    <mergeCell ref="U4:U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D05FD-5CE1-454E-8AF9-4DCEFCB2ACEB}">
  <dimension ref="A1:X18"/>
  <sheetViews>
    <sheetView topLeftCell="G1" zoomScale="91" zoomScaleNormal="91" workbookViewId="0">
      <selection activeCell="O5" sqref="O5"/>
    </sheetView>
  </sheetViews>
  <sheetFormatPr baseColWidth="10" defaultRowHeight="15"/>
  <cols>
    <col min="1" max="1" width="11.42578125" style="1"/>
    <col min="3" max="3" width="28.42578125" style="22" customWidth="1"/>
    <col min="5" max="5" width="28.42578125" style="22" customWidth="1"/>
    <col min="7" max="7" width="28.42578125" style="23" customWidth="1"/>
    <col min="8" max="8" width="28.42578125" style="22" customWidth="1"/>
    <col min="9" max="9" width="45.7109375" customWidth="1"/>
    <col min="11" max="11" width="28.42578125" style="23" customWidth="1"/>
    <col min="12" max="12" width="28.42578125" customWidth="1"/>
    <col min="13" max="22" width="11.42578125" style="1"/>
    <col min="24" max="24" width="29" customWidth="1"/>
  </cols>
  <sheetData>
    <row r="1" spans="1:24" ht="18.75" customHeight="1">
      <c r="A1" s="195" t="s">
        <v>437</v>
      </c>
      <c r="B1" s="195" t="s">
        <v>30</v>
      </c>
      <c r="C1" s="217" t="s">
        <v>31</v>
      </c>
      <c r="D1" s="195" t="s">
        <v>32</v>
      </c>
      <c r="E1" s="217" t="s">
        <v>33</v>
      </c>
      <c r="F1" s="195" t="s">
        <v>106</v>
      </c>
      <c r="G1" s="238" t="s">
        <v>0</v>
      </c>
      <c r="H1" s="221" t="s">
        <v>464</v>
      </c>
      <c r="I1" s="199" t="s">
        <v>1</v>
      </c>
      <c r="J1" s="195" t="s">
        <v>2</v>
      </c>
      <c r="K1" s="237" t="s">
        <v>34</v>
      </c>
      <c r="L1" s="222" t="s">
        <v>3</v>
      </c>
      <c r="M1" s="191" t="s">
        <v>4</v>
      </c>
      <c r="N1" s="191"/>
      <c r="O1" s="191"/>
      <c r="P1" s="191"/>
      <c r="Q1" s="192"/>
      <c r="R1" s="206" t="s">
        <v>5</v>
      </c>
      <c r="S1" s="206"/>
      <c r="T1" s="206"/>
      <c r="U1" s="206"/>
      <c r="V1" s="207"/>
      <c r="W1" s="196" t="s">
        <v>6</v>
      </c>
      <c r="X1" s="197" t="s">
        <v>7</v>
      </c>
    </row>
    <row r="2" spans="1:24" ht="24">
      <c r="A2" s="195"/>
      <c r="B2" s="195"/>
      <c r="C2" s="217"/>
      <c r="D2" s="195"/>
      <c r="E2" s="217"/>
      <c r="F2" s="195"/>
      <c r="G2" s="238"/>
      <c r="H2" s="221"/>
      <c r="I2" s="199"/>
      <c r="J2" s="195"/>
      <c r="K2" s="237"/>
      <c r="L2" s="222"/>
      <c r="M2" s="5" t="s">
        <v>629</v>
      </c>
      <c r="N2" s="5">
        <v>2027</v>
      </c>
      <c r="O2" s="5">
        <v>2028</v>
      </c>
      <c r="P2" s="5">
        <v>2029</v>
      </c>
      <c r="Q2" s="5">
        <v>2030</v>
      </c>
      <c r="R2" s="50" t="s">
        <v>629</v>
      </c>
      <c r="S2" s="50">
        <v>2027</v>
      </c>
      <c r="T2" s="50">
        <v>2028</v>
      </c>
      <c r="U2" s="50">
        <v>2029</v>
      </c>
      <c r="V2" s="50">
        <v>2030</v>
      </c>
      <c r="W2" s="196"/>
      <c r="X2" s="197"/>
    </row>
    <row r="3" spans="1:24" ht="69.75" customHeight="1">
      <c r="A3" s="149">
        <v>1</v>
      </c>
      <c r="B3" s="149" t="s">
        <v>219</v>
      </c>
      <c r="C3" s="153" t="s">
        <v>220</v>
      </c>
      <c r="D3" s="159" t="s">
        <v>221</v>
      </c>
      <c r="E3" s="153" t="s">
        <v>253</v>
      </c>
      <c r="F3" s="149">
        <v>2</v>
      </c>
      <c r="G3" s="235" t="s">
        <v>222</v>
      </c>
      <c r="H3" s="233" t="s">
        <v>521</v>
      </c>
      <c r="I3" s="209"/>
      <c r="J3" s="170" t="s">
        <v>12</v>
      </c>
      <c r="K3" s="235" t="s">
        <v>223</v>
      </c>
      <c r="L3" s="47" t="s">
        <v>224</v>
      </c>
      <c r="M3" s="25"/>
      <c r="N3" s="25"/>
      <c r="O3" s="25"/>
      <c r="P3" s="25"/>
      <c r="Q3" s="25"/>
      <c r="R3" s="212" t="str">
        <f t="shared" ref="R3:V15" si="0">IF(M4,M3/M4*100,"0")</f>
        <v>0</v>
      </c>
      <c r="S3" s="212" t="str">
        <f t="shared" si="0"/>
        <v>0</v>
      </c>
      <c r="T3" s="212" t="str">
        <f t="shared" si="0"/>
        <v>0</v>
      </c>
      <c r="U3" s="212" t="str">
        <f t="shared" si="0"/>
        <v>0</v>
      </c>
      <c r="V3" s="212" t="str">
        <f t="shared" si="0"/>
        <v>0</v>
      </c>
      <c r="W3" s="149" t="s">
        <v>10</v>
      </c>
      <c r="X3" s="204"/>
    </row>
    <row r="4" spans="1:24" ht="69.75" customHeight="1">
      <c r="A4" s="150"/>
      <c r="B4" s="150"/>
      <c r="C4" s="157"/>
      <c r="D4" s="163"/>
      <c r="E4" s="157"/>
      <c r="F4" s="150"/>
      <c r="G4" s="236"/>
      <c r="H4" s="234"/>
      <c r="I4" s="210"/>
      <c r="J4" s="171"/>
      <c r="K4" s="236"/>
      <c r="L4" s="107" t="s">
        <v>225</v>
      </c>
      <c r="M4" s="21"/>
      <c r="N4" s="21"/>
      <c r="O4" s="21"/>
      <c r="P4" s="21"/>
      <c r="Q4" s="21"/>
      <c r="R4" s="213"/>
      <c r="S4" s="213"/>
      <c r="T4" s="213"/>
      <c r="U4" s="213"/>
      <c r="V4" s="213"/>
      <c r="W4" s="150"/>
      <c r="X4" s="205"/>
    </row>
    <row r="5" spans="1:24" ht="76.5" customHeight="1">
      <c r="A5" s="149">
        <v>2</v>
      </c>
      <c r="B5" s="149" t="s">
        <v>219</v>
      </c>
      <c r="C5" s="153" t="s">
        <v>220</v>
      </c>
      <c r="D5" s="159" t="s">
        <v>221</v>
      </c>
      <c r="E5" s="153" t="s">
        <v>253</v>
      </c>
      <c r="F5" s="149">
        <v>3</v>
      </c>
      <c r="G5" s="235" t="s">
        <v>226</v>
      </c>
      <c r="H5" s="233" t="s">
        <v>522</v>
      </c>
      <c r="I5" s="155"/>
      <c r="J5" s="170" t="s">
        <v>12</v>
      </c>
      <c r="K5" s="235" t="s">
        <v>227</v>
      </c>
      <c r="L5" s="47" t="s">
        <v>228</v>
      </c>
      <c r="M5" s="25"/>
      <c r="N5" s="25"/>
      <c r="O5" s="25"/>
      <c r="P5" s="25"/>
      <c r="Q5" s="111"/>
      <c r="R5" s="212" t="str">
        <f t="shared" ref="R5:U5" si="1">IF(M6,M5/M6*100,"0")</f>
        <v>0</v>
      </c>
      <c r="S5" s="212" t="str">
        <f t="shared" si="1"/>
        <v>0</v>
      </c>
      <c r="T5" s="212" t="str">
        <f t="shared" si="1"/>
        <v>0</v>
      </c>
      <c r="U5" s="212" t="str">
        <f t="shared" si="1"/>
        <v>0</v>
      </c>
      <c r="V5" s="212" t="str">
        <f t="shared" si="0"/>
        <v>0</v>
      </c>
      <c r="W5" s="149" t="s">
        <v>10</v>
      </c>
      <c r="X5" s="204"/>
    </row>
    <row r="6" spans="1:24" ht="76.5" customHeight="1">
      <c r="A6" s="150"/>
      <c r="B6" s="150"/>
      <c r="C6" s="157"/>
      <c r="D6" s="163"/>
      <c r="E6" s="157"/>
      <c r="F6" s="150"/>
      <c r="G6" s="236"/>
      <c r="H6" s="234"/>
      <c r="I6" s="158"/>
      <c r="J6" s="171"/>
      <c r="K6" s="236"/>
      <c r="L6" s="108" t="s">
        <v>229</v>
      </c>
      <c r="M6" s="100">
        <f t="shared" ref="M6:Q6" si="2">M4</f>
        <v>0</v>
      </c>
      <c r="N6" s="100">
        <f t="shared" si="2"/>
        <v>0</v>
      </c>
      <c r="O6" s="100">
        <f t="shared" si="2"/>
        <v>0</v>
      </c>
      <c r="P6" s="100">
        <f t="shared" si="2"/>
        <v>0</v>
      </c>
      <c r="Q6" s="100">
        <f t="shared" si="2"/>
        <v>0</v>
      </c>
      <c r="R6" s="213"/>
      <c r="S6" s="213"/>
      <c r="T6" s="213"/>
      <c r="U6" s="213"/>
      <c r="V6" s="213"/>
      <c r="W6" s="150"/>
      <c r="X6" s="205"/>
    </row>
    <row r="7" spans="1:24" ht="87.75" customHeight="1">
      <c r="A7" s="149">
        <v>3</v>
      </c>
      <c r="B7" s="149" t="s">
        <v>219</v>
      </c>
      <c r="C7" s="153" t="s">
        <v>220</v>
      </c>
      <c r="D7" s="159" t="s">
        <v>221</v>
      </c>
      <c r="E7" s="153" t="s">
        <v>253</v>
      </c>
      <c r="F7" s="149">
        <v>4</v>
      </c>
      <c r="G7" s="235" t="s">
        <v>583</v>
      </c>
      <c r="H7" s="233" t="s">
        <v>523</v>
      </c>
      <c r="I7" s="155"/>
      <c r="J7" s="170" t="s">
        <v>12</v>
      </c>
      <c r="K7" s="235" t="s">
        <v>230</v>
      </c>
      <c r="L7" s="47" t="s">
        <v>231</v>
      </c>
      <c r="M7" s="25"/>
      <c r="N7" s="25"/>
      <c r="O7" s="25"/>
      <c r="P7" s="25"/>
      <c r="Q7" s="111"/>
      <c r="R7" s="212" t="str">
        <f t="shared" ref="R7:U7" si="3">IF(M8,M7/M8*100,"0")</f>
        <v>0</v>
      </c>
      <c r="S7" s="212" t="str">
        <f t="shared" si="3"/>
        <v>0</v>
      </c>
      <c r="T7" s="212" t="str">
        <f t="shared" si="3"/>
        <v>0</v>
      </c>
      <c r="U7" s="212" t="str">
        <f t="shared" si="3"/>
        <v>0</v>
      </c>
      <c r="V7" s="212" t="str">
        <f t="shared" si="0"/>
        <v>0</v>
      </c>
      <c r="W7" s="149" t="s">
        <v>10</v>
      </c>
      <c r="X7" s="204"/>
    </row>
    <row r="8" spans="1:24" ht="87.75" customHeight="1">
      <c r="A8" s="150"/>
      <c r="B8" s="150"/>
      <c r="C8" s="157"/>
      <c r="D8" s="163"/>
      <c r="E8" s="157"/>
      <c r="F8" s="150"/>
      <c r="G8" s="236"/>
      <c r="H8" s="234"/>
      <c r="I8" s="158"/>
      <c r="J8" s="171"/>
      <c r="K8" s="236"/>
      <c r="L8" s="108" t="s">
        <v>229</v>
      </c>
      <c r="M8" s="100">
        <f t="shared" ref="M8:Q8" si="4">M4</f>
        <v>0</v>
      </c>
      <c r="N8" s="100">
        <f t="shared" si="4"/>
        <v>0</v>
      </c>
      <c r="O8" s="100">
        <f t="shared" si="4"/>
        <v>0</v>
      </c>
      <c r="P8" s="100">
        <f t="shared" si="4"/>
        <v>0</v>
      </c>
      <c r="Q8" s="100">
        <f t="shared" si="4"/>
        <v>0</v>
      </c>
      <c r="R8" s="213"/>
      <c r="S8" s="213"/>
      <c r="T8" s="213"/>
      <c r="U8" s="213"/>
      <c r="V8" s="213"/>
      <c r="W8" s="150"/>
      <c r="X8" s="205"/>
    </row>
    <row r="9" spans="1:24" ht="81.75" customHeight="1">
      <c r="A9" s="149">
        <v>4</v>
      </c>
      <c r="B9" s="149" t="s">
        <v>219</v>
      </c>
      <c r="C9" s="153" t="s">
        <v>220</v>
      </c>
      <c r="D9" s="159" t="s">
        <v>221</v>
      </c>
      <c r="E9" s="153" t="s">
        <v>253</v>
      </c>
      <c r="F9" s="149">
        <v>5</v>
      </c>
      <c r="G9" s="235" t="s">
        <v>232</v>
      </c>
      <c r="H9" s="233" t="s">
        <v>524</v>
      </c>
      <c r="I9" s="155"/>
      <c r="J9" s="170" t="s">
        <v>12</v>
      </c>
      <c r="K9" s="235" t="s">
        <v>233</v>
      </c>
      <c r="L9" s="47" t="s">
        <v>234</v>
      </c>
      <c r="M9" s="25"/>
      <c r="N9" s="25"/>
      <c r="O9" s="25"/>
      <c r="P9" s="25"/>
      <c r="Q9" s="25"/>
      <c r="R9" s="212" t="str">
        <f t="shared" ref="R9:U9" si="5">IF(M10,M9/M10*100,"0")</f>
        <v>0</v>
      </c>
      <c r="S9" s="212" t="str">
        <f t="shared" si="5"/>
        <v>0</v>
      </c>
      <c r="T9" s="212" t="str">
        <f t="shared" si="5"/>
        <v>0</v>
      </c>
      <c r="U9" s="212" t="str">
        <f t="shared" si="5"/>
        <v>0</v>
      </c>
      <c r="V9" s="212" t="str">
        <f t="shared" si="0"/>
        <v>0</v>
      </c>
      <c r="W9" s="149" t="s">
        <v>10</v>
      </c>
      <c r="X9" s="204"/>
    </row>
    <row r="10" spans="1:24" ht="81.75" customHeight="1">
      <c r="A10" s="150"/>
      <c r="B10" s="150"/>
      <c r="C10" s="157"/>
      <c r="D10" s="163"/>
      <c r="E10" s="157"/>
      <c r="F10" s="150"/>
      <c r="G10" s="236"/>
      <c r="H10" s="234"/>
      <c r="I10" s="158"/>
      <c r="J10" s="171"/>
      <c r="K10" s="236"/>
      <c r="L10" s="47" t="s">
        <v>235</v>
      </c>
      <c r="M10" s="25"/>
      <c r="N10" s="25"/>
      <c r="O10" s="25"/>
      <c r="P10" s="25"/>
      <c r="Q10" s="25"/>
      <c r="R10" s="213"/>
      <c r="S10" s="213"/>
      <c r="T10" s="213"/>
      <c r="U10" s="213"/>
      <c r="V10" s="213"/>
      <c r="W10" s="150"/>
      <c r="X10" s="205"/>
    </row>
    <row r="11" spans="1:24" ht="79.5" customHeight="1">
      <c r="A11" s="149">
        <v>5</v>
      </c>
      <c r="B11" s="149" t="s">
        <v>219</v>
      </c>
      <c r="C11" s="153" t="s">
        <v>220</v>
      </c>
      <c r="D11" s="159" t="s">
        <v>221</v>
      </c>
      <c r="E11" s="153" t="s">
        <v>253</v>
      </c>
      <c r="F11" s="149">
        <v>6</v>
      </c>
      <c r="G11" s="235" t="s">
        <v>236</v>
      </c>
      <c r="H11" s="233" t="s">
        <v>525</v>
      </c>
      <c r="I11" s="155"/>
      <c r="J11" s="170" t="s">
        <v>12</v>
      </c>
      <c r="K11" s="235" t="s">
        <v>237</v>
      </c>
      <c r="L11" s="47" t="s">
        <v>238</v>
      </c>
      <c r="M11" s="25"/>
      <c r="N11" s="25"/>
      <c r="O11" s="25"/>
      <c r="P11" s="25"/>
      <c r="Q11" s="25"/>
      <c r="R11" s="212" t="str">
        <f t="shared" ref="R11:U11" si="6">IF(M12,M11/M12*100,"0")</f>
        <v>0</v>
      </c>
      <c r="S11" s="212" t="str">
        <f t="shared" si="6"/>
        <v>0</v>
      </c>
      <c r="T11" s="212" t="str">
        <f t="shared" si="6"/>
        <v>0</v>
      </c>
      <c r="U11" s="212" t="str">
        <f t="shared" si="6"/>
        <v>0</v>
      </c>
      <c r="V11" s="212" t="str">
        <f t="shared" si="0"/>
        <v>0</v>
      </c>
      <c r="W11" s="149" t="s">
        <v>10</v>
      </c>
      <c r="X11" s="204"/>
    </row>
    <row r="12" spans="1:24" ht="79.5" customHeight="1">
      <c r="A12" s="150"/>
      <c r="B12" s="150"/>
      <c r="C12" s="157"/>
      <c r="D12" s="163"/>
      <c r="E12" s="157"/>
      <c r="F12" s="150"/>
      <c r="G12" s="236"/>
      <c r="H12" s="234"/>
      <c r="I12" s="158"/>
      <c r="J12" s="171"/>
      <c r="K12" s="236"/>
      <c r="L12" s="108" t="s">
        <v>229</v>
      </c>
      <c r="M12" s="100">
        <f t="shared" ref="M12:P12" si="7">M4</f>
        <v>0</v>
      </c>
      <c r="N12" s="100">
        <f t="shared" si="7"/>
        <v>0</v>
      </c>
      <c r="O12" s="100">
        <f t="shared" si="7"/>
        <v>0</v>
      </c>
      <c r="P12" s="100">
        <f t="shared" si="7"/>
        <v>0</v>
      </c>
      <c r="Q12" s="100">
        <f t="shared" ref="Q12" si="8">Q4</f>
        <v>0</v>
      </c>
      <c r="R12" s="213"/>
      <c r="S12" s="213"/>
      <c r="T12" s="213"/>
      <c r="U12" s="213"/>
      <c r="V12" s="213"/>
      <c r="W12" s="150"/>
      <c r="X12" s="205"/>
    </row>
    <row r="13" spans="1:24" ht="150">
      <c r="A13" s="44">
        <v>6</v>
      </c>
      <c r="B13" s="45" t="s">
        <v>219</v>
      </c>
      <c r="C13" s="48" t="s">
        <v>220</v>
      </c>
      <c r="D13" s="47" t="s">
        <v>239</v>
      </c>
      <c r="E13" s="48" t="s">
        <v>254</v>
      </c>
      <c r="F13" s="44">
        <v>10</v>
      </c>
      <c r="G13" s="51" t="s">
        <v>240</v>
      </c>
      <c r="H13" s="116" t="s">
        <v>526</v>
      </c>
      <c r="I13" s="17"/>
      <c r="J13" s="44" t="s">
        <v>9</v>
      </c>
      <c r="K13" s="51" t="s">
        <v>128</v>
      </c>
      <c r="L13" s="47" t="s">
        <v>241</v>
      </c>
      <c r="M13" s="25"/>
      <c r="N13" s="25"/>
      <c r="O13" s="25"/>
      <c r="P13" s="25"/>
      <c r="Q13" s="25"/>
      <c r="R13" s="52">
        <f t="shared" ref="R13:V14" si="9">M13</f>
        <v>0</v>
      </c>
      <c r="S13" s="52">
        <f t="shared" si="9"/>
        <v>0</v>
      </c>
      <c r="T13" s="52">
        <f t="shared" si="9"/>
        <v>0</v>
      </c>
      <c r="U13" s="52">
        <f t="shared" si="9"/>
        <v>0</v>
      </c>
      <c r="V13" s="52">
        <f t="shared" si="9"/>
        <v>0</v>
      </c>
      <c r="W13" s="44" t="s">
        <v>10</v>
      </c>
      <c r="X13" s="26"/>
    </row>
    <row r="14" spans="1:24" ht="150">
      <c r="A14" s="44">
        <v>7</v>
      </c>
      <c r="B14" s="45" t="s">
        <v>219</v>
      </c>
      <c r="C14" s="48" t="s">
        <v>220</v>
      </c>
      <c r="D14" s="47" t="s">
        <v>242</v>
      </c>
      <c r="E14" s="48" t="s">
        <v>255</v>
      </c>
      <c r="F14" s="44">
        <v>13</v>
      </c>
      <c r="G14" s="51" t="s">
        <v>243</v>
      </c>
      <c r="H14" s="116" t="s">
        <v>527</v>
      </c>
      <c r="I14" s="17"/>
      <c r="J14" s="44" t="s">
        <v>9</v>
      </c>
      <c r="K14" s="51" t="s">
        <v>128</v>
      </c>
      <c r="L14" s="47" t="s">
        <v>244</v>
      </c>
      <c r="M14" s="25"/>
      <c r="N14" s="25"/>
      <c r="O14" s="25"/>
      <c r="P14" s="25"/>
      <c r="Q14" s="25"/>
      <c r="R14" s="52">
        <f t="shared" si="9"/>
        <v>0</v>
      </c>
      <c r="S14" s="52">
        <f t="shared" si="9"/>
        <v>0</v>
      </c>
      <c r="T14" s="52">
        <f t="shared" si="9"/>
        <v>0</v>
      </c>
      <c r="U14" s="52">
        <f t="shared" si="9"/>
        <v>0</v>
      </c>
      <c r="V14" s="52">
        <f t="shared" si="9"/>
        <v>0</v>
      </c>
      <c r="W14" s="44" t="s">
        <v>16</v>
      </c>
      <c r="X14" s="26"/>
    </row>
    <row r="15" spans="1:24" ht="73.5" customHeight="1">
      <c r="A15" s="149">
        <v>8</v>
      </c>
      <c r="B15" s="149" t="s">
        <v>219</v>
      </c>
      <c r="C15" s="153" t="s">
        <v>220</v>
      </c>
      <c r="D15" s="159" t="s">
        <v>242</v>
      </c>
      <c r="E15" s="153" t="s">
        <v>255</v>
      </c>
      <c r="F15" s="149">
        <v>14</v>
      </c>
      <c r="G15" s="235" t="s">
        <v>245</v>
      </c>
      <c r="H15" s="233" t="s">
        <v>528</v>
      </c>
      <c r="I15" s="155"/>
      <c r="J15" s="170" t="s">
        <v>12</v>
      </c>
      <c r="K15" s="235" t="s">
        <v>246</v>
      </c>
      <c r="L15" s="47" t="s">
        <v>247</v>
      </c>
      <c r="M15" s="25"/>
      <c r="N15" s="25"/>
      <c r="O15" s="25"/>
      <c r="P15" s="25"/>
      <c r="Q15" s="25"/>
      <c r="R15" s="212" t="str">
        <f t="shared" ref="R15" si="10">IF(M16,M15/M16*100,"0")</f>
        <v>0</v>
      </c>
      <c r="S15" s="212" t="str">
        <f t="shared" ref="S15" si="11">IF(N16,N15/N16*100,"0")</f>
        <v>0</v>
      </c>
      <c r="T15" s="212" t="str">
        <f t="shared" ref="T15" si="12">IF(O16,O15/O16*100,"0")</f>
        <v>0</v>
      </c>
      <c r="U15" s="212" t="str">
        <f t="shared" ref="U15" si="13">IF(P16,P15/P16*100,"0")</f>
        <v>0</v>
      </c>
      <c r="V15" s="212" t="str">
        <f t="shared" si="0"/>
        <v>0</v>
      </c>
      <c r="W15" s="149" t="s">
        <v>16</v>
      </c>
      <c r="X15" s="204"/>
    </row>
    <row r="16" spans="1:24" ht="73.5" customHeight="1">
      <c r="A16" s="150"/>
      <c r="B16" s="150"/>
      <c r="C16" s="157"/>
      <c r="D16" s="163"/>
      <c r="E16" s="157"/>
      <c r="F16" s="150"/>
      <c r="G16" s="236"/>
      <c r="H16" s="234"/>
      <c r="I16" s="158"/>
      <c r="J16" s="171"/>
      <c r="K16" s="236"/>
      <c r="L16" s="47" t="s">
        <v>248</v>
      </c>
      <c r="M16" s="25"/>
      <c r="N16" s="25"/>
      <c r="O16" s="25"/>
      <c r="P16" s="25"/>
      <c r="Q16" s="25"/>
      <c r="R16" s="213"/>
      <c r="S16" s="213"/>
      <c r="T16" s="213"/>
      <c r="U16" s="213"/>
      <c r="V16" s="213"/>
      <c r="W16" s="150"/>
      <c r="X16" s="205"/>
    </row>
    <row r="17" spans="1:24" ht="150">
      <c r="A17" s="44">
        <v>9</v>
      </c>
      <c r="B17" s="45" t="s">
        <v>219</v>
      </c>
      <c r="C17" s="48" t="s">
        <v>220</v>
      </c>
      <c r="D17" s="47" t="s">
        <v>242</v>
      </c>
      <c r="E17" s="48" t="s">
        <v>255</v>
      </c>
      <c r="F17" s="44">
        <v>15</v>
      </c>
      <c r="G17" s="51" t="s">
        <v>249</v>
      </c>
      <c r="H17" s="116" t="s">
        <v>529</v>
      </c>
      <c r="I17" s="17"/>
      <c r="J17" s="44" t="s">
        <v>9</v>
      </c>
      <c r="K17" s="51" t="s">
        <v>128</v>
      </c>
      <c r="L17" s="47" t="s">
        <v>250</v>
      </c>
      <c r="M17" s="25"/>
      <c r="N17" s="25"/>
      <c r="O17" s="25"/>
      <c r="P17" s="25"/>
      <c r="Q17" s="25"/>
      <c r="R17" s="52">
        <f t="shared" ref="R17:R18" si="14">M17</f>
        <v>0</v>
      </c>
      <c r="S17" s="52">
        <f t="shared" ref="S17:S18" si="15">N17</f>
        <v>0</v>
      </c>
      <c r="T17" s="52">
        <f t="shared" ref="T17:T18" si="16">O17</f>
        <v>0</v>
      </c>
      <c r="U17" s="52">
        <f t="shared" ref="U17:V18" si="17">P17</f>
        <v>0</v>
      </c>
      <c r="V17" s="52">
        <f t="shared" si="17"/>
        <v>0</v>
      </c>
      <c r="W17" s="44" t="s">
        <v>10</v>
      </c>
      <c r="X17" s="26"/>
    </row>
    <row r="18" spans="1:24" ht="150">
      <c r="A18" s="44">
        <v>10</v>
      </c>
      <c r="B18" s="45" t="s">
        <v>219</v>
      </c>
      <c r="C18" s="48" t="s">
        <v>220</v>
      </c>
      <c r="D18" s="47" t="s">
        <v>242</v>
      </c>
      <c r="E18" s="48" t="s">
        <v>255</v>
      </c>
      <c r="F18" s="44">
        <v>16</v>
      </c>
      <c r="G18" s="51" t="s">
        <v>251</v>
      </c>
      <c r="H18" s="116" t="s">
        <v>530</v>
      </c>
      <c r="I18" s="17"/>
      <c r="J18" s="44" t="s">
        <v>9</v>
      </c>
      <c r="K18" s="51" t="s">
        <v>128</v>
      </c>
      <c r="L18" s="47" t="s">
        <v>252</v>
      </c>
      <c r="M18" s="25"/>
      <c r="N18" s="25"/>
      <c r="O18" s="25"/>
      <c r="P18" s="25"/>
      <c r="Q18" s="25"/>
      <c r="R18" s="52">
        <f t="shared" si="14"/>
        <v>0</v>
      </c>
      <c r="S18" s="52">
        <f t="shared" si="15"/>
        <v>0</v>
      </c>
      <c r="T18" s="52">
        <f t="shared" si="16"/>
        <v>0</v>
      </c>
      <c r="U18" s="52">
        <f t="shared" si="17"/>
        <v>0</v>
      </c>
      <c r="V18" s="52">
        <f t="shared" si="17"/>
        <v>0</v>
      </c>
      <c r="W18" s="44" t="s">
        <v>10</v>
      </c>
      <c r="X18" s="26"/>
    </row>
  </sheetData>
  <sheetProtection algorithmName="SHA-512" hashValue="jfcqD3Zs7BjNRDsch3esY5idDYhTie83qmWeAz1EaOIeE4pzxGLWQY7ieEgsYQ3lkGsWElauxVN1iuwxbljOtQ==" saltValue="ut5DgwHLQhVEdn1wUnXw4g==" spinCount="100000" sheet="1" formatCells="0" formatColumns="0" formatRows="0"/>
  <mergeCells count="124">
    <mergeCell ref="H11:H12"/>
    <mergeCell ref="H15:H16"/>
    <mergeCell ref="B11:B12"/>
    <mergeCell ref="C11:C12"/>
    <mergeCell ref="D11:D12"/>
    <mergeCell ref="E11:E12"/>
    <mergeCell ref="F11:F12"/>
    <mergeCell ref="G11:G12"/>
    <mergeCell ref="E15:E16"/>
    <mergeCell ref="F15:F16"/>
    <mergeCell ref="G15:G16"/>
    <mergeCell ref="I11:I12"/>
    <mergeCell ref="J11:J12"/>
    <mergeCell ref="K11:K12"/>
    <mergeCell ref="I15:I16"/>
    <mergeCell ref="J15:J16"/>
    <mergeCell ref="K15:K16"/>
    <mergeCell ref="X11:X12"/>
    <mergeCell ref="T11:T12"/>
    <mergeCell ref="S11:S12"/>
    <mergeCell ref="R11:R12"/>
    <mergeCell ref="W15:W16"/>
    <mergeCell ref="X15:X16"/>
    <mergeCell ref="U15:U16"/>
    <mergeCell ref="T15:T16"/>
    <mergeCell ref="S15:S16"/>
    <mergeCell ref="R15:R16"/>
    <mergeCell ref="V11:V12"/>
    <mergeCell ref="V15:V16"/>
    <mergeCell ref="X5:X6"/>
    <mergeCell ref="K9:K10"/>
    <mergeCell ref="R7:R8"/>
    <mergeCell ref="S7:S8"/>
    <mergeCell ref="T7:T8"/>
    <mergeCell ref="U7:U8"/>
    <mergeCell ref="W7:W8"/>
    <mergeCell ref="R5:R6"/>
    <mergeCell ref="S5:S6"/>
    <mergeCell ref="X7:X8"/>
    <mergeCell ref="K7:K8"/>
    <mergeCell ref="V7:V8"/>
    <mergeCell ref="V9:V10"/>
    <mergeCell ref="R9:R10"/>
    <mergeCell ref="S9:S10"/>
    <mergeCell ref="T9:T10"/>
    <mergeCell ref="U9:U10"/>
    <mergeCell ref="W9:W10"/>
    <mergeCell ref="X9:X10"/>
    <mergeCell ref="X1:X2"/>
    <mergeCell ref="B3:B4"/>
    <mergeCell ref="C3:C4"/>
    <mergeCell ref="D3:D4"/>
    <mergeCell ref="E3:E4"/>
    <mergeCell ref="F3:F4"/>
    <mergeCell ref="G3:G4"/>
    <mergeCell ref="J3:J4"/>
    <mergeCell ref="H1:H2"/>
    <mergeCell ref="I1:I2"/>
    <mergeCell ref="J1:J2"/>
    <mergeCell ref="K1:K2"/>
    <mergeCell ref="L1:L2"/>
    <mergeCell ref="B1:B2"/>
    <mergeCell ref="C1:C2"/>
    <mergeCell ref="D1:D2"/>
    <mergeCell ref="E1:E2"/>
    <mergeCell ref="F1:F2"/>
    <mergeCell ref="G1:G2"/>
    <mergeCell ref="I3:I4"/>
    <mergeCell ref="K3:K4"/>
    <mergeCell ref="X3:X4"/>
    <mergeCell ref="W1:W2"/>
    <mergeCell ref="M1:Q1"/>
    <mergeCell ref="R1:V1"/>
    <mergeCell ref="V3:V4"/>
    <mergeCell ref="V5:V6"/>
    <mergeCell ref="B5:B6"/>
    <mergeCell ref="C5:C6"/>
    <mergeCell ref="D5:D6"/>
    <mergeCell ref="E5:E6"/>
    <mergeCell ref="F5:F6"/>
    <mergeCell ref="G5:G6"/>
    <mergeCell ref="I5:I6"/>
    <mergeCell ref="J5:J6"/>
    <mergeCell ref="K5:K6"/>
    <mergeCell ref="H3:H4"/>
    <mergeCell ref="H5:H6"/>
    <mergeCell ref="A11:A12"/>
    <mergeCell ref="A15:A16"/>
    <mergeCell ref="B7:B8"/>
    <mergeCell ref="B9:B10"/>
    <mergeCell ref="W3:W4"/>
    <mergeCell ref="S3:S4"/>
    <mergeCell ref="T3:T4"/>
    <mergeCell ref="R3:R4"/>
    <mergeCell ref="U3:U4"/>
    <mergeCell ref="T5:T6"/>
    <mergeCell ref="U5:U6"/>
    <mergeCell ref="W5:W6"/>
    <mergeCell ref="I7:I8"/>
    <mergeCell ref="G7:G8"/>
    <mergeCell ref="F7:F8"/>
    <mergeCell ref="F9:F10"/>
    <mergeCell ref="G9:G10"/>
    <mergeCell ref="I9:I10"/>
    <mergeCell ref="J9:J10"/>
    <mergeCell ref="U11:U12"/>
    <mergeCell ref="W11:W12"/>
    <mergeCell ref="B15:B16"/>
    <mergeCell ref="C15:C16"/>
    <mergeCell ref="D15:D16"/>
    <mergeCell ref="C9:C10"/>
    <mergeCell ref="D9:D10"/>
    <mergeCell ref="E9:E10"/>
    <mergeCell ref="E7:E8"/>
    <mergeCell ref="D7:D8"/>
    <mergeCell ref="C7:C8"/>
    <mergeCell ref="J7:J8"/>
    <mergeCell ref="A1:A2"/>
    <mergeCell ref="A3:A4"/>
    <mergeCell ref="A5:A6"/>
    <mergeCell ref="A7:A8"/>
    <mergeCell ref="A9:A10"/>
    <mergeCell ref="H7:H8"/>
    <mergeCell ref="H9:H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80F6-E593-408D-BB7B-96C4DC54184E}">
  <dimension ref="A1:X8"/>
  <sheetViews>
    <sheetView topLeftCell="G1" zoomScale="91" zoomScaleNormal="91" workbookViewId="0">
      <selection activeCell="R1" sqref="R1:V1"/>
    </sheetView>
  </sheetViews>
  <sheetFormatPr baseColWidth="10" defaultRowHeight="15"/>
  <cols>
    <col min="3" max="3" width="28.85546875" style="23" customWidth="1"/>
    <col min="5" max="5" width="28.85546875" style="22" customWidth="1"/>
    <col min="7" max="7" width="28.85546875" style="22" customWidth="1"/>
    <col min="8" max="8" width="28.85546875" style="23" customWidth="1"/>
    <col min="9" max="9" width="45.7109375" customWidth="1"/>
    <col min="11" max="11" width="28.85546875" style="22" customWidth="1"/>
    <col min="12" max="12" width="28.85546875" customWidth="1"/>
    <col min="13" max="22" width="11.42578125" style="1"/>
    <col min="24" max="24" width="29" customWidth="1"/>
  </cols>
  <sheetData>
    <row r="1" spans="1:24" ht="18.75" customHeight="1">
      <c r="A1" s="195" t="s">
        <v>437</v>
      </c>
      <c r="B1" s="195" t="s">
        <v>30</v>
      </c>
      <c r="C1" s="238" t="s">
        <v>31</v>
      </c>
      <c r="D1" s="195" t="s">
        <v>32</v>
      </c>
      <c r="E1" s="217" t="s">
        <v>33</v>
      </c>
      <c r="F1" s="195" t="s">
        <v>106</v>
      </c>
      <c r="G1" s="217" t="s">
        <v>0</v>
      </c>
      <c r="H1" s="240" t="s">
        <v>464</v>
      </c>
      <c r="I1" s="199" t="s">
        <v>1</v>
      </c>
      <c r="J1" s="195" t="s">
        <v>2</v>
      </c>
      <c r="K1" s="222" t="s">
        <v>34</v>
      </c>
      <c r="L1" s="222" t="s">
        <v>3</v>
      </c>
      <c r="M1" s="191" t="s">
        <v>4</v>
      </c>
      <c r="N1" s="191"/>
      <c r="O1" s="191"/>
      <c r="P1" s="191"/>
      <c r="Q1" s="192"/>
      <c r="R1" s="206" t="s">
        <v>5</v>
      </c>
      <c r="S1" s="206"/>
      <c r="T1" s="206"/>
      <c r="U1" s="206"/>
      <c r="V1" s="207"/>
      <c r="W1" s="196" t="s">
        <v>6</v>
      </c>
      <c r="X1" s="197" t="s">
        <v>7</v>
      </c>
    </row>
    <row r="2" spans="1:24" ht="24">
      <c r="A2" s="195"/>
      <c r="B2" s="195"/>
      <c r="C2" s="238"/>
      <c r="D2" s="195"/>
      <c r="E2" s="217"/>
      <c r="F2" s="195"/>
      <c r="G2" s="217"/>
      <c r="H2" s="240"/>
      <c r="I2" s="199"/>
      <c r="J2" s="195"/>
      <c r="K2" s="222"/>
      <c r="L2" s="222"/>
      <c r="M2" s="5" t="s">
        <v>629</v>
      </c>
      <c r="N2" s="5">
        <v>2027</v>
      </c>
      <c r="O2" s="5">
        <v>2028</v>
      </c>
      <c r="P2" s="5">
        <v>2029</v>
      </c>
      <c r="Q2" s="5">
        <v>2030</v>
      </c>
      <c r="R2" s="50" t="s">
        <v>629</v>
      </c>
      <c r="S2" s="50">
        <v>2027</v>
      </c>
      <c r="T2" s="50">
        <v>2028</v>
      </c>
      <c r="U2" s="50">
        <v>2029</v>
      </c>
      <c r="V2" s="50">
        <v>2030</v>
      </c>
      <c r="W2" s="196"/>
      <c r="X2" s="197"/>
    </row>
    <row r="3" spans="1:24" ht="69.75" customHeight="1">
      <c r="A3" s="216">
        <v>1</v>
      </c>
      <c r="B3" s="216" t="s">
        <v>256</v>
      </c>
      <c r="C3" s="239" t="s">
        <v>257</v>
      </c>
      <c r="D3" s="219" t="s">
        <v>258</v>
      </c>
      <c r="E3" s="218" t="s">
        <v>270</v>
      </c>
      <c r="F3" s="216">
        <v>1</v>
      </c>
      <c r="G3" s="218" t="s">
        <v>259</v>
      </c>
      <c r="H3" s="155" t="s">
        <v>531</v>
      </c>
      <c r="I3" s="155"/>
      <c r="J3" s="223" t="s">
        <v>12</v>
      </c>
      <c r="K3" s="218" t="s">
        <v>262</v>
      </c>
      <c r="L3" s="47" t="s">
        <v>263</v>
      </c>
      <c r="M3" s="25"/>
      <c r="N3" s="25"/>
      <c r="O3" s="25"/>
      <c r="P3" s="25"/>
      <c r="Q3" s="25"/>
      <c r="R3" s="215" t="str">
        <f t="shared" ref="R3" si="0">IF(M4,M3/M4*100,"0")</f>
        <v>0</v>
      </c>
      <c r="S3" s="215" t="str">
        <f t="shared" ref="S3" si="1">IF(N4,N3/N4*100,"0")</f>
        <v>0</v>
      </c>
      <c r="T3" s="215" t="str">
        <f t="shared" ref="T3" si="2">IF(O4,O3/O4*100,"0")</f>
        <v>0</v>
      </c>
      <c r="U3" s="215" t="str">
        <f t="shared" ref="U3:V3" si="3">IF(P4,P3/P4*100,"0")</f>
        <v>0</v>
      </c>
      <c r="V3" s="215" t="str">
        <f t="shared" si="3"/>
        <v>0</v>
      </c>
      <c r="W3" s="216" t="s">
        <v>10</v>
      </c>
      <c r="X3" s="224"/>
    </row>
    <row r="4" spans="1:24" ht="60" customHeight="1">
      <c r="A4" s="216"/>
      <c r="B4" s="216"/>
      <c r="C4" s="239"/>
      <c r="D4" s="219"/>
      <c r="E4" s="218"/>
      <c r="F4" s="216"/>
      <c r="G4" s="218"/>
      <c r="H4" s="158"/>
      <c r="I4" s="158"/>
      <c r="J4" s="223"/>
      <c r="K4" s="218"/>
      <c r="L4" s="108" t="s">
        <v>264</v>
      </c>
      <c r="M4" s="100">
        <f>'8 Deporte universitario'!M7</f>
        <v>0</v>
      </c>
      <c r="N4" s="100">
        <f>'8 Deporte universitario'!N7</f>
        <v>0</v>
      </c>
      <c r="O4" s="100">
        <f>'8 Deporte universitario'!O7</f>
        <v>0</v>
      </c>
      <c r="P4" s="100">
        <f>'8 Deporte universitario'!P7</f>
        <v>0</v>
      </c>
      <c r="Q4" s="100">
        <f>'8 Deporte universitario'!Q7</f>
        <v>0</v>
      </c>
      <c r="R4" s="215"/>
      <c r="S4" s="215"/>
      <c r="T4" s="215"/>
      <c r="U4" s="215"/>
      <c r="V4" s="215"/>
      <c r="W4" s="216"/>
      <c r="X4" s="224"/>
    </row>
    <row r="5" spans="1:24" ht="81.75" customHeight="1">
      <c r="A5" s="216">
        <v>2</v>
      </c>
      <c r="B5" s="216" t="s">
        <v>256</v>
      </c>
      <c r="C5" s="239" t="s">
        <v>257</v>
      </c>
      <c r="D5" s="219" t="s">
        <v>258</v>
      </c>
      <c r="E5" s="218" t="s">
        <v>270</v>
      </c>
      <c r="F5" s="216">
        <v>2</v>
      </c>
      <c r="G5" s="218" t="s">
        <v>260</v>
      </c>
      <c r="H5" s="155" t="s">
        <v>532</v>
      </c>
      <c r="I5" s="155"/>
      <c r="J5" s="223" t="s">
        <v>12</v>
      </c>
      <c r="K5" s="218" t="s">
        <v>265</v>
      </c>
      <c r="L5" s="47" t="s">
        <v>266</v>
      </c>
      <c r="M5" s="25"/>
      <c r="N5" s="25"/>
      <c r="O5" s="25"/>
      <c r="P5" s="25"/>
      <c r="Q5" s="25"/>
      <c r="R5" s="215" t="str">
        <f t="shared" ref="R5" si="4">IF(M6,M5/M6*100,"0")</f>
        <v>0</v>
      </c>
      <c r="S5" s="215" t="str">
        <f t="shared" ref="S5" si="5">IF(N6,N5/N6*100,"0")</f>
        <v>0</v>
      </c>
      <c r="T5" s="215" t="str">
        <f t="shared" ref="T5" si="6">IF(O6,O5/O6*100,"0")</f>
        <v>0</v>
      </c>
      <c r="U5" s="215" t="str">
        <f t="shared" ref="U5:V5" si="7">IF(P6,P5/P6*100,"0")</f>
        <v>0</v>
      </c>
      <c r="V5" s="215" t="str">
        <f t="shared" si="7"/>
        <v>0</v>
      </c>
      <c r="W5" s="216" t="s">
        <v>10</v>
      </c>
      <c r="X5" s="224"/>
    </row>
    <row r="6" spans="1:24" ht="48.75" customHeight="1">
      <c r="A6" s="216"/>
      <c r="B6" s="216"/>
      <c r="C6" s="239"/>
      <c r="D6" s="219"/>
      <c r="E6" s="218"/>
      <c r="F6" s="216"/>
      <c r="G6" s="218"/>
      <c r="H6" s="158"/>
      <c r="I6" s="158"/>
      <c r="J6" s="223"/>
      <c r="K6" s="218"/>
      <c r="L6" s="108" t="s">
        <v>264</v>
      </c>
      <c r="M6" s="100">
        <f>'8 Deporte universitario'!M7</f>
        <v>0</v>
      </c>
      <c r="N6" s="100">
        <f>'8 Deporte universitario'!N7</f>
        <v>0</v>
      </c>
      <c r="O6" s="100">
        <f>'8 Deporte universitario'!O7</f>
        <v>0</v>
      </c>
      <c r="P6" s="100">
        <f>'8 Deporte universitario'!P7</f>
        <v>0</v>
      </c>
      <c r="Q6" s="100">
        <f>'8 Deporte universitario'!Q7</f>
        <v>0</v>
      </c>
      <c r="R6" s="215"/>
      <c r="S6" s="215"/>
      <c r="T6" s="215"/>
      <c r="U6" s="215"/>
      <c r="V6" s="215"/>
      <c r="W6" s="216"/>
      <c r="X6" s="224"/>
    </row>
    <row r="7" spans="1:24" ht="69" customHeight="1">
      <c r="A7" s="149">
        <v>3</v>
      </c>
      <c r="B7" s="149" t="s">
        <v>256</v>
      </c>
      <c r="C7" s="161" t="s">
        <v>257</v>
      </c>
      <c r="D7" s="159" t="s">
        <v>258</v>
      </c>
      <c r="E7" s="153" t="s">
        <v>270</v>
      </c>
      <c r="F7" s="149">
        <v>4</v>
      </c>
      <c r="G7" s="153" t="s">
        <v>261</v>
      </c>
      <c r="H7" s="155" t="s">
        <v>533</v>
      </c>
      <c r="I7" s="155"/>
      <c r="J7" s="170" t="s">
        <v>12</v>
      </c>
      <c r="K7" s="153" t="s">
        <v>267</v>
      </c>
      <c r="L7" s="47" t="s">
        <v>268</v>
      </c>
      <c r="M7" s="25"/>
      <c r="N7" s="25"/>
      <c r="O7" s="25"/>
      <c r="P7" s="25"/>
      <c r="Q7" s="25"/>
      <c r="R7" s="215" t="str">
        <f t="shared" ref="R7" si="8">IF(M8,M7/M8*100,"0")</f>
        <v>0</v>
      </c>
      <c r="S7" s="215" t="str">
        <f t="shared" ref="S7" si="9">IF(N8,N7/N8*100,"0")</f>
        <v>0</v>
      </c>
      <c r="T7" s="215" t="str">
        <f t="shared" ref="T7" si="10">IF(O8,O7/O8*100,"0")</f>
        <v>0</v>
      </c>
      <c r="U7" s="215" t="str">
        <f t="shared" ref="U7:V7" si="11">IF(P8,P7/P8*100,"0")</f>
        <v>0</v>
      </c>
      <c r="V7" s="215" t="str">
        <f t="shared" si="11"/>
        <v>0</v>
      </c>
      <c r="W7" s="149" t="s">
        <v>10</v>
      </c>
      <c r="X7" s="204"/>
    </row>
    <row r="8" spans="1:24" ht="44.25" customHeight="1">
      <c r="A8" s="150"/>
      <c r="B8" s="150"/>
      <c r="C8" s="164"/>
      <c r="D8" s="163"/>
      <c r="E8" s="157"/>
      <c r="F8" s="150"/>
      <c r="G8" s="157"/>
      <c r="H8" s="158"/>
      <c r="I8" s="158"/>
      <c r="J8" s="171"/>
      <c r="K8" s="157"/>
      <c r="L8" s="47" t="s">
        <v>269</v>
      </c>
      <c r="M8" s="25"/>
      <c r="N8" s="25"/>
      <c r="O8" s="25"/>
      <c r="P8" s="25"/>
      <c r="Q8" s="25"/>
      <c r="R8" s="215"/>
      <c r="S8" s="215"/>
      <c r="T8" s="215"/>
      <c r="U8" s="215"/>
      <c r="V8" s="215"/>
      <c r="W8" s="150"/>
      <c r="X8" s="205"/>
    </row>
  </sheetData>
  <sheetProtection algorithmName="SHA-512" hashValue="xRUwSIUsVunZ2GRyF3BNqLAuXfl6Gfml5wYEjWeub/9bipfXvHfIXmTYApz1FUAwZ7kk8e4z/peq0fUX/hGiRA==" saltValue="jk6TghyflhxLodlTNyLOTw==" spinCount="100000" sheet="1" objects="1" scenarios="1" formatCells="0" formatColumns="0" formatRows="0"/>
  <mergeCells count="70">
    <mergeCell ref="S7:S8"/>
    <mergeCell ref="T7:T8"/>
    <mergeCell ref="U7:U8"/>
    <mergeCell ref="W7:W8"/>
    <mergeCell ref="X7:X8"/>
    <mergeCell ref="V7:V8"/>
    <mergeCell ref="R7:R8"/>
    <mergeCell ref="B7:B8"/>
    <mergeCell ref="C7:C8"/>
    <mergeCell ref="D7:D8"/>
    <mergeCell ref="E7:E8"/>
    <mergeCell ref="F7:F8"/>
    <mergeCell ref="G7:G8"/>
    <mergeCell ref="H7:H8"/>
    <mergeCell ref="I7:I8"/>
    <mergeCell ref="J7:J8"/>
    <mergeCell ref="K7:K8"/>
    <mergeCell ref="E5:E6"/>
    <mergeCell ref="F5:F6"/>
    <mergeCell ref="X3:X4"/>
    <mergeCell ref="R5:R6"/>
    <mergeCell ref="S5:S6"/>
    <mergeCell ref="T5:T6"/>
    <mergeCell ref="U5:U6"/>
    <mergeCell ref="W5:W6"/>
    <mergeCell ref="X5:X6"/>
    <mergeCell ref="T3:T4"/>
    <mergeCell ref="G5:G6"/>
    <mergeCell ref="H5:H6"/>
    <mergeCell ref="I5:I6"/>
    <mergeCell ref="W3:W4"/>
    <mergeCell ref="M1:Q1"/>
    <mergeCell ref="R1:V1"/>
    <mergeCell ref="V3:V4"/>
    <mergeCell ref="V5:V6"/>
    <mergeCell ref="J5:J6"/>
    <mergeCell ref="K5:K6"/>
    <mergeCell ref="R3:R4"/>
    <mergeCell ref="S3:S4"/>
    <mergeCell ref="J3:J4"/>
    <mergeCell ref="K3:K4"/>
    <mergeCell ref="E1:E2"/>
    <mergeCell ref="F1:F2"/>
    <mergeCell ref="G1:G2"/>
    <mergeCell ref="H3:H4"/>
    <mergeCell ref="X1:X2"/>
    <mergeCell ref="E3:E4"/>
    <mergeCell ref="F3:F4"/>
    <mergeCell ref="G3:G4"/>
    <mergeCell ref="I3:I4"/>
    <mergeCell ref="H1:H2"/>
    <mergeCell ref="I1:I2"/>
    <mergeCell ref="J1:J2"/>
    <mergeCell ref="K1:K2"/>
    <mergeCell ref="L1:L2"/>
    <mergeCell ref="W1:W2"/>
    <mergeCell ref="U3:U4"/>
    <mergeCell ref="A1:A2"/>
    <mergeCell ref="A3:A4"/>
    <mergeCell ref="A5:A6"/>
    <mergeCell ref="A7:A8"/>
    <mergeCell ref="D1:D2"/>
    <mergeCell ref="B3:B4"/>
    <mergeCell ref="C3:C4"/>
    <mergeCell ref="D3:D4"/>
    <mergeCell ref="B1:B2"/>
    <mergeCell ref="C1:C2"/>
    <mergeCell ref="B5:B6"/>
    <mergeCell ref="C5:C6"/>
    <mergeCell ref="D5:D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3B5E9-B1AA-44DB-AF1B-95C79F1C2616}">
  <dimension ref="A1:X4"/>
  <sheetViews>
    <sheetView topLeftCell="G1" zoomScale="91" zoomScaleNormal="91" workbookViewId="0">
      <selection activeCell="R1" sqref="R1:V1"/>
    </sheetView>
  </sheetViews>
  <sheetFormatPr baseColWidth="10" defaultRowHeight="15"/>
  <cols>
    <col min="3" max="3" width="29" style="22" customWidth="1"/>
    <col min="5" max="5" width="29" style="22" customWidth="1"/>
    <col min="7" max="8" width="29" style="22" customWidth="1"/>
    <col min="9" max="9" width="45.7109375" customWidth="1"/>
    <col min="10" max="10" width="11.42578125" customWidth="1"/>
    <col min="11" max="11" width="29" customWidth="1"/>
    <col min="12" max="12" width="29" style="24" customWidth="1"/>
    <col min="18" max="22" width="11.42578125" style="1"/>
    <col min="24" max="24" width="29" customWidth="1"/>
  </cols>
  <sheetData>
    <row r="1" spans="1:24" ht="28.9" customHeight="1">
      <c r="A1" s="195" t="s">
        <v>437</v>
      </c>
      <c r="B1" s="195" t="s">
        <v>30</v>
      </c>
      <c r="C1" s="217" t="s">
        <v>31</v>
      </c>
      <c r="D1" s="195" t="s">
        <v>32</v>
      </c>
      <c r="E1" s="217" t="s">
        <v>33</v>
      </c>
      <c r="F1" s="195" t="s">
        <v>106</v>
      </c>
      <c r="G1" s="217" t="s">
        <v>0</v>
      </c>
      <c r="H1" s="221" t="s">
        <v>464</v>
      </c>
      <c r="I1" s="199" t="s">
        <v>1</v>
      </c>
      <c r="J1" s="195" t="s">
        <v>2</v>
      </c>
      <c r="K1" s="222" t="s">
        <v>34</v>
      </c>
      <c r="L1" s="241" t="s">
        <v>3</v>
      </c>
      <c r="M1" s="191" t="s">
        <v>4</v>
      </c>
      <c r="N1" s="191"/>
      <c r="O1" s="191"/>
      <c r="P1" s="191"/>
      <c r="Q1" s="192"/>
      <c r="R1" s="206" t="s">
        <v>5</v>
      </c>
      <c r="S1" s="206"/>
      <c r="T1" s="206"/>
      <c r="U1" s="206"/>
      <c r="V1" s="207"/>
      <c r="W1" s="196" t="s">
        <v>6</v>
      </c>
      <c r="X1" s="197" t="s">
        <v>7</v>
      </c>
    </row>
    <row r="2" spans="1:24" ht="28.9" customHeight="1">
      <c r="A2" s="195"/>
      <c r="B2" s="195"/>
      <c r="C2" s="217"/>
      <c r="D2" s="195"/>
      <c r="E2" s="217"/>
      <c r="F2" s="195"/>
      <c r="G2" s="217"/>
      <c r="H2" s="221"/>
      <c r="I2" s="199"/>
      <c r="J2" s="195"/>
      <c r="K2" s="222"/>
      <c r="L2" s="241"/>
      <c r="M2" s="5" t="s">
        <v>629</v>
      </c>
      <c r="N2" s="5">
        <v>2027</v>
      </c>
      <c r="O2" s="5">
        <v>2028</v>
      </c>
      <c r="P2" s="5">
        <v>2029</v>
      </c>
      <c r="Q2" s="5">
        <v>2030</v>
      </c>
      <c r="R2" s="50" t="s">
        <v>629</v>
      </c>
      <c r="S2" s="50">
        <v>2027</v>
      </c>
      <c r="T2" s="50">
        <v>2028</v>
      </c>
      <c r="U2" s="50">
        <v>2029</v>
      </c>
      <c r="V2" s="50">
        <v>2030</v>
      </c>
      <c r="W2" s="196"/>
      <c r="X2" s="197"/>
    </row>
    <row r="3" spans="1:24" ht="135">
      <c r="A3" s="44">
        <v>1</v>
      </c>
      <c r="B3" s="45" t="s">
        <v>271</v>
      </c>
      <c r="C3" s="48" t="s">
        <v>272</v>
      </c>
      <c r="D3" s="47" t="s">
        <v>273</v>
      </c>
      <c r="E3" s="48" t="s">
        <v>274</v>
      </c>
      <c r="F3" s="44">
        <v>24</v>
      </c>
      <c r="G3" s="48" t="s">
        <v>275</v>
      </c>
      <c r="H3" s="118" t="s">
        <v>534</v>
      </c>
      <c r="I3" s="17"/>
      <c r="J3" s="44" t="s">
        <v>9</v>
      </c>
      <c r="K3" s="47" t="s">
        <v>128</v>
      </c>
      <c r="L3" s="89" t="s">
        <v>276</v>
      </c>
      <c r="M3" s="26"/>
      <c r="N3" s="26"/>
      <c r="O3" s="26"/>
      <c r="P3" s="26"/>
      <c r="Q3" s="26"/>
      <c r="R3" s="52">
        <f t="shared" ref="R3:V3" si="0">M3</f>
        <v>0</v>
      </c>
      <c r="S3" s="52">
        <f t="shared" si="0"/>
        <v>0</v>
      </c>
      <c r="T3" s="52">
        <f t="shared" si="0"/>
        <v>0</v>
      </c>
      <c r="U3" s="52">
        <f t="shared" si="0"/>
        <v>0</v>
      </c>
      <c r="V3" s="52">
        <f t="shared" si="0"/>
        <v>0</v>
      </c>
      <c r="W3" s="44" t="s">
        <v>10</v>
      </c>
      <c r="X3" s="26"/>
    </row>
    <row r="4" spans="1:24" ht="135">
      <c r="A4" s="44">
        <v>2</v>
      </c>
      <c r="B4" s="45" t="s">
        <v>271</v>
      </c>
      <c r="C4" s="48" t="s">
        <v>272</v>
      </c>
      <c r="D4" s="47" t="s">
        <v>273</v>
      </c>
      <c r="E4" s="48" t="s">
        <v>274</v>
      </c>
      <c r="F4" s="44">
        <v>25</v>
      </c>
      <c r="G4" s="48" t="s">
        <v>277</v>
      </c>
      <c r="H4" s="117" t="s">
        <v>535</v>
      </c>
      <c r="I4" s="17"/>
      <c r="J4" s="44" t="s">
        <v>9</v>
      </c>
      <c r="K4" s="47" t="s">
        <v>128</v>
      </c>
      <c r="L4" s="89" t="s">
        <v>278</v>
      </c>
      <c r="M4" s="26"/>
      <c r="N4" s="26"/>
      <c r="O4" s="26"/>
      <c r="P4" s="26"/>
      <c r="Q4" s="26"/>
      <c r="R4" s="52">
        <f t="shared" ref="R4:V4" si="1">M4</f>
        <v>0</v>
      </c>
      <c r="S4" s="52">
        <f t="shared" si="1"/>
        <v>0</v>
      </c>
      <c r="T4" s="52">
        <f t="shared" si="1"/>
        <v>0</v>
      </c>
      <c r="U4" s="52">
        <f t="shared" si="1"/>
        <v>0</v>
      </c>
      <c r="V4" s="52">
        <f t="shared" si="1"/>
        <v>0</v>
      </c>
      <c r="W4" s="44" t="s">
        <v>10</v>
      </c>
      <c r="X4" s="26"/>
    </row>
  </sheetData>
  <sheetProtection algorithmName="SHA-512" hashValue="nTm9sBwIEK/j26nCNZarZsdTqaAk/veVWeLkFiyiVVvr7C/3BboHqtgzFXm9jnZaVCKVY6Nh0XnqjDniu+T0TA==" saltValue="hWca0Gnyu9TLqwSfu6L72w==" spinCount="100000" sheet="1" objects="1" scenarios="1" formatCells="0" formatColumns="0" formatRows="0"/>
  <mergeCells count="16">
    <mergeCell ref="A1:A2"/>
    <mergeCell ref="G1:G2"/>
    <mergeCell ref="B1:B2"/>
    <mergeCell ref="C1:C2"/>
    <mergeCell ref="D1:D2"/>
    <mergeCell ref="E1:E2"/>
    <mergeCell ref="F1:F2"/>
    <mergeCell ref="W1:W2"/>
    <mergeCell ref="X1:X2"/>
    <mergeCell ref="H1:H2"/>
    <mergeCell ref="I1:I2"/>
    <mergeCell ref="J1:J2"/>
    <mergeCell ref="K1:K2"/>
    <mergeCell ref="L1:L2"/>
    <mergeCell ref="M1:Q1"/>
    <mergeCell ref="R1:V1"/>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317C3-C16A-4145-9B80-756B25D83860}">
  <dimension ref="A1:X4"/>
  <sheetViews>
    <sheetView topLeftCell="F1" zoomScale="91" zoomScaleNormal="91" workbookViewId="0">
      <selection activeCell="R1" sqref="R1:V1"/>
    </sheetView>
  </sheetViews>
  <sheetFormatPr baseColWidth="10" defaultRowHeight="15"/>
  <cols>
    <col min="3" max="3" width="29" customWidth="1"/>
    <col min="5" max="5" width="29" customWidth="1"/>
    <col min="7" max="8" width="29" customWidth="1"/>
    <col min="9" max="9" width="45.7109375" customWidth="1"/>
    <col min="11" max="12" width="29" customWidth="1"/>
    <col min="13" max="22" width="11.42578125" style="1"/>
    <col min="24" max="24" width="29" customWidth="1"/>
  </cols>
  <sheetData>
    <row r="1" spans="1:24" ht="27.6" customHeight="1">
      <c r="A1" s="195" t="s">
        <v>437</v>
      </c>
      <c r="B1" s="195" t="s">
        <v>30</v>
      </c>
      <c r="C1" s="217" t="s">
        <v>31</v>
      </c>
      <c r="D1" s="195" t="s">
        <v>32</v>
      </c>
      <c r="E1" s="217" t="s">
        <v>33</v>
      </c>
      <c r="F1" s="195" t="s">
        <v>106</v>
      </c>
      <c r="G1" s="217" t="s">
        <v>0</v>
      </c>
      <c r="H1" s="221" t="s">
        <v>464</v>
      </c>
      <c r="I1" s="199" t="s">
        <v>1</v>
      </c>
      <c r="J1" s="195" t="s">
        <v>2</v>
      </c>
      <c r="K1" s="196" t="s">
        <v>34</v>
      </c>
      <c r="L1" s="196" t="s">
        <v>3</v>
      </c>
      <c r="M1" s="191" t="s">
        <v>4</v>
      </c>
      <c r="N1" s="191"/>
      <c r="O1" s="191"/>
      <c r="P1" s="191"/>
      <c r="Q1" s="192"/>
      <c r="R1" s="206" t="s">
        <v>5</v>
      </c>
      <c r="S1" s="206"/>
      <c r="T1" s="206"/>
      <c r="U1" s="206"/>
      <c r="V1" s="207"/>
      <c r="W1" s="196" t="s">
        <v>6</v>
      </c>
      <c r="X1" s="197" t="s">
        <v>7</v>
      </c>
    </row>
    <row r="2" spans="1:24" ht="27.6" customHeight="1">
      <c r="A2" s="195"/>
      <c r="B2" s="195"/>
      <c r="C2" s="217"/>
      <c r="D2" s="195"/>
      <c r="E2" s="217"/>
      <c r="F2" s="195"/>
      <c r="G2" s="217"/>
      <c r="H2" s="221"/>
      <c r="I2" s="199"/>
      <c r="J2" s="195"/>
      <c r="K2" s="196"/>
      <c r="L2" s="196"/>
      <c r="M2" s="5" t="s">
        <v>629</v>
      </c>
      <c r="N2" s="5">
        <v>2027</v>
      </c>
      <c r="O2" s="5">
        <v>2028</v>
      </c>
      <c r="P2" s="5">
        <v>2029</v>
      </c>
      <c r="Q2" s="5">
        <v>2030</v>
      </c>
      <c r="R2" s="50" t="s">
        <v>629</v>
      </c>
      <c r="S2" s="50">
        <v>2027</v>
      </c>
      <c r="T2" s="50">
        <v>2028</v>
      </c>
      <c r="U2" s="50">
        <v>2029</v>
      </c>
      <c r="V2" s="50">
        <v>2030</v>
      </c>
      <c r="W2" s="196"/>
      <c r="X2" s="197"/>
    </row>
    <row r="3" spans="1:24" ht="135">
      <c r="A3" s="44">
        <v>1</v>
      </c>
      <c r="B3" s="45" t="s">
        <v>279</v>
      </c>
      <c r="C3" s="46" t="s">
        <v>280</v>
      </c>
      <c r="D3" s="47" t="s">
        <v>281</v>
      </c>
      <c r="E3" s="46" t="s">
        <v>282</v>
      </c>
      <c r="F3" s="44">
        <v>7</v>
      </c>
      <c r="G3" s="47" t="s">
        <v>283</v>
      </c>
      <c r="H3" s="117" t="s">
        <v>536</v>
      </c>
      <c r="I3" s="17"/>
      <c r="J3" s="44" t="s">
        <v>9</v>
      </c>
      <c r="K3" s="47" t="s">
        <v>128</v>
      </c>
      <c r="L3" s="47" t="s">
        <v>284</v>
      </c>
      <c r="M3" s="25"/>
      <c r="N3" s="18"/>
      <c r="O3" s="25"/>
      <c r="P3" s="18"/>
      <c r="Q3" s="25"/>
      <c r="R3" s="52">
        <f t="shared" ref="R3:V3" si="0">M3</f>
        <v>0</v>
      </c>
      <c r="S3" s="52">
        <f t="shared" si="0"/>
        <v>0</v>
      </c>
      <c r="T3" s="52">
        <f t="shared" si="0"/>
        <v>0</v>
      </c>
      <c r="U3" s="52">
        <f t="shared" si="0"/>
        <v>0</v>
      </c>
      <c r="V3" s="52">
        <f t="shared" si="0"/>
        <v>0</v>
      </c>
      <c r="W3" s="52" t="s">
        <v>10</v>
      </c>
      <c r="X3" s="26"/>
    </row>
    <row r="4" spans="1:24" ht="135">
      <c r="A4" s="44">
        <v>2</v>
      </c>
      <c r="B4" s="45" t="s">
        <v>279</v>
      </c>
      <c r="C4" s="46" t="s">
        <v>280</v>
      </c>
      <c r="D4" s="47" t="s">
        <v>285</v>
      </c>
      <c r="E4" s="46" t="s">
        <v>286</v>
      </c>
      <c r="F4" s="44">
        <v>10</v>
      </c>
      <c r="G4" s="47" t="s">
        <v>287</v>
      </c>
      <c r="H4" s="17" t="s">
        <v>538</v>
      </c>
      <c r="I4" s="17"/>
      <c r="J4" s="44" t="s">
        <v>9</v>
      </c>
      <c r="K4" s="47" t="s">
        <v>128</v>
      </c>
      <c r="L4" s="47" t="s">
        <v>537</v>
      </c>
      <c r="M4" s="25"/>
      <c r="N4" s="18"/>
      <c r="O4" s="25"/>
      <c r="P4" s="18"/>
      <c r="Q4" s="25"/>
      <c r="R4" s="52">
        <f t="shared" ref="R4:V4" si="1">M4</f>
        <v>0</v>
      </c>
      <c r="S4" s="52">
        <f t="shared" si="1"/>
        <v>0</v>
      </c>
      <c r="T4" s="52">
        <f t="shared" si="1"/>
        <v>0</v>
      </c>
      <c r="U4" s="52">
        <f t="shared" si="1"/>
        <v>0</v>
      </c>
      <c r="V4" s="52">
        <f t="shared" si="1"/>
        <v>0</v>
      </c>
      <c r="W4" s="52" t="s">
        <v>10</v>
      </c>
      <c r="X4" s="26"/>
    </row>
  </sheetData>
  <sheetProtection algorithmName="SHA-512" hashValue="BBzPQf2bpLSXvkJxMbU7sbAMH4Pw9yxXXdB6OIjHOLplmHFaudvd+mpgcfJfJhud2QaID0AEEMJ98VVyqmq5KA==" saltValue="xjj7jCbw2IorsyMu0Ykowg==" spinCount="100000" sheet="1" formatCells="0" formatColumns="0" formatRows="0"/>
  <mergeCells count="16">
    <mergeCell ref="W1:W2"/>
    <mergeCell ref="X1:X2"/>
    <mergeCell ref="H1:H2"/>
    <mergeCell ref="I1:I2"/>
    <mergeCell ref="J1:J2"/>
    <mergeCell ref="K1:K2"/>
    <mergeCell ref="L1:L2"/>
    <mergeCell ref="M1:Q1"/>
    <mergeCell ref="R1:V1"/>
    <mergeCell ref="A1:A2"/>
    <mergeCell ref="G1:G2"/>
    <mergeCell ref="B1:B2"/>
    <mergeCell ref="C1:C2"/>
    <mergeCell ref="D1:D2"/>
    <mergeCell ref="E1:E2"/>
    <mergeCell ref="F1:F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A1C3-8B76-4FE0-AEAF-53FF026EAAD3}">
  <dimension ref="A1:X10"/>
  <sheetViews>
    <sheetView topLeftCell="I1" zoomScale="91" zoomScaleNormal="91" workbookViewId="0">
      <selection activeCell="R1" sqref="R1:V1"/>
    </sheetView>
  </sheetViews>
  <sheetFormatPr baseColWidth="10" defaultRowHeight="15"/>
  <cols>
    <col min="1" max="1" width="11.42578125" style="14"/>
    <col min="3" max="3" width="40" style="22" customWidth="1"/>
    <col min="5" max="5" width="40" style="23" customWidth="1"/>
    <col min="6" max="6" width="11.42578125" style="1"/>
    <col min="7" max="7" width="40" style="22" customWidth="1"/>
    <col min="8" max="8" width="40" customWidth="1"/>
    <col min="9" max="9" width="45.7109375" customWidth="1"/>
    <col min="11" max="11" width="40" style="24" customWidth="1"/>
    <col min="12" max="12" width="40" customWidth="1"/>
    <col min="13" max="22" width="11.42578125" style="1"/>
    <col min="24" max="24" width="29" customWidth="1"/>
  </cols>
  <sheetData>
    <row r="1" spans="1:24" ht="18.75" customHeight="1">
      <c r="A1" s="195" t="s">
        <v>437</v>
      </c>
      <c r="B1" s="195" t="s">
        <v>30</v>
      </c>
      <c r="C1" s="217" t="s">
        <v>31</v>
      </c>
      <c r="D1" s="195" t="s">
        <v>32</v>
      </c>
      <c r="E1" s="238" t="s">
        <v>33</v>
      </c>
      <c r="F1" s="195" t="s">
        <v>106</v>
      </c>
      <c r="G1" s="217" t="s">
        <v>0</v>
      </c>
      <c r="H1" s="221" t="s">
        <v>464</v>
      </c>
      <c r="I1" s="199" t="s">
        <v>1</v>
      </c>
      <c r="J1" s="195" t="s">
        <v>2</v>
      </c>
      <c r="K1" s="241" t="s">
        <v>34</v>
      </c>
      <c r="L1" s="241" t="s">
        <v>3</v>
      </c>
      <c r="M1" s="191" t="s">
        <v>4</v>
      </c>
      <c r="N1" s="191"/>
      <c r="O1" s="191"/>
      <c r="P1" s="191"/>
      <c r="Q1" s="192"/>
      <c r="R1" s="206" t="s">
        <v>5</v>
      </c>
      <c r="S1" s="206"/>
      <c r="T1" s="206"/>
      <c r="U1" s="206"/>
      <c r="V1" s="207"/>
      <c r="W1" s="196" t="s">
        <v>6</v>
      </c>
      <c r="X1" s="197" t="s">
        <v>7</v>
      </c>
    </row>
    <row r="2" spans="1:24" ht="24">
      <c r="A2" s="195"/>
      <c r="B2" s="195"/>
      <c r="C2" s="217"/>
      <c r="D2" s="195"/>
      <c r="E2" s="238"/>
      <c r="F2" s="195"/>
      <c r="G2" s="217"/>
      <c r="H2" s="221"/>
      <c r="I2" s="199"/>
      <c r="J2" s="195"/>
      <c r="K2" s="241"/>
      <c r="L2" s="241"/>
      <c r="M2" s="5" t="s">
        <v>629</v>
      </c>
      <c r="N2" s="5">
        <v>2027</v>
      </c>
      <c r="O2" s="5">
        <v>2028</v>
      </c>
      <c r="P2" s="5">
        <v>2029</v>
      </c>
      <c r="Q2" s="5">
        <v>2030</v>
      </c>
      <c r="R2" s="50" t="s">
        <v>629</v>
      </c>
      <c r="S2" s="50">
        <v>2027</v>
      </c>
      <c r="T2" s="50">
        <v>2028</v>
      </c>
      <c r="U2" s="50">
        <v>2029</v>
      </c>
      <c r="V2" s="50">
        <v>2030</v>
      </c>
      <c r="W2" s="196"/>
      <c r="X2" s="197"/>
    </row>
    <row r="3" spans="1:24" ht="135">
      <c r="A3" s="49">
        <v>1</v>
      </c>
      <c r="B3" s="47" t="s">
        <v>288</v>
      </c>
      <c r="C3" s="48" t="s">
        <v>307</v>
      </c>
      <c r="D3" s="47" t="s">
        <v>289</v>
      </c>
      <c r="E3" s="51" t="s">
        <v>308</v>
      </c>
      <c r="F3" s="49">
        <v>8</v>
      </c>
      <c r="G3" s="48" t="s">
        <v>290</v>
      </c>
      <c r="H3" s="117" t="s">
        <v>539</v>
      </c>
      <c r="I3" s="117"/>
      <c r="J3" s="44" t="s">
        <v>9</v>
      </c>
      <c r="K3" s="89" t="s">
        <v>128</v>
      </c>
      <c r="L3" s="47" t="s">
        <v>291</v>
      </c>
      <c r="M3" s="25"/>
      <c r="N3" s="25"/>
      <c r="O3" s="25"/>
      <c r="P3" s="25"/>
      <c r="Q3" s="25"/>
      <c r="R3" s="52">
        <f t="shared" ref="R3:R9" si="0">M3</f>
        <v>0</v>
      </c>
      <c r="S3" s="52">
        <f t="shared" ref="S3:S9" si="1">N3</f>
        <v>0</v>
      </c>
      <c r="T3" s="52">
        <f t="shared" ref="T3:T9" si="2">O3</f>
        <v>0</v>
      </c>
      <c r="U3" s="52">
        <f t="shared" ref="U3:V9" si="3">P3</f>
        <v>0</v>
      </c>
      <c r="V3" s="52">
        <f t="shared" si="3"/>
        <v>0</v>
      </c>
      <c r="W3" s="49" t="s">
        <v>10</v>
      </c>
      <c r="X3" s="26"/>
    </row>
    <row r="4" spans="1:24" ht="135">
      <c r="A4" s="49">
        <v>2</v>
      </c>
      <c r="B4" s="47" t="s">
        <v>288</v>
      </c>
      <c r="C4" s="48" t="s">
        <v>307</v>
      </c>
      <c r="D4" s="47" t="s">
        <v>289</v>
      </c>
      <c r="E4" s="51" t="s">
        <v>308</v>
      </c>
      <c r="F4" s="49">
        <v>10</v>
      </c>
      <c r="G4" s="48" t="s">
        <v>292</v>
      </c>
      <c r="H4" s="117" t="s">
        <v>540</v>
      </c>
      <c r="I4" s="117"/>
      <c r="J4" s="44" t="s">
        <v>9</v>
      </c>
      <c r="K4" s="89" t="s">
        <v>128</v>
      </c>
      <c r="L4" s="47" t="s">
        <v>293</v>
      </c>
      <c r="M4" s="25"/>
      <c r="N4" s="25"/>
      <c r="O4" s="25"/>
      <c r="P4" s="25"/>
      <c r="Q4" s="25"/>
      <c r="R4" s="52">
        <f t="shared" si="0"/>
        <v>0</v>
      </c>
      <c r="S4" s="52">
        <f t="shared" si="1"/>
        <v>0</v>
      </c>
      <c r="T4" s="52">
        <f t="shared" si="2"/>
        <v>0</v>
      </c>
      <c r="U4" s="52">
        <f t="shared" si="3"/>
        <v>0</v>
      </c>
      <c r="V4" s="52">
        <f t="shared" si="3"/>
        <v>0</v>
      </c>
      <c r="W4" s="49" t="s">
        <v>10</v>
      </c>
      <c r="X4" s="26"/>
    </row>
    <row r="5" spans="1:24" ht="135">
      <c r="A5" s="49">
        <v>3</v>
      </c>
      <c r="B5" s="47" t="s">
        <v>288</v>
      </c>
      <c r="C5" s="48" t="s">
        <v>307</v>
      </c>
      <c r="D5" s="47" t="s">
        <v>294</v>
      </c>
      <c r="E5" s="51" t="s">
        <v>309</v>
      </c>
      <c r="F5" s="49">
        <v>11</v>
      </c>
      <c r="G5" s="48" t="s">
        <v>295</v>
      </c>
      <c r="H5" s="118" t="s">
        <v>541</v>
      </c>
      <c r="I5" s="117"/>
      <c r="J5" s="44" t="s">
        <v>9</v>
      </c>
      <c r="K5" s="89" t="s">
        <v>128</v>
      </c>
      <c r="L5" s="46" t="s">
        <v>296</v>
      </c>
      <c r="M5" s="25"/>
      <c r="N5" s="25"/>
      <c r="O5" s="25"/>
      <c r="P5" s="25"/>
      <c r="Q5" s="25"/>
      <c r="R5" s="52">
        <f t="shared" si="0"/>
        <v>0</v>
      </c>
      <c r="S5" s="52">
        <f t="shared" si="1"/>
        <v>0</v>
      </c>
      <c r="T5" s="52">
        <f t="shared" si="2"/>
        <v>0</v>
      </c>
      <c r="U5" s="52">
        <f t="shared" si="3"/>
        <v>0</v>
      </c>
      <c r="V5" s="52">
        <f t="shared" si="3"/>
        <v>0</v>
      </c>
      <c r="W5" s="49" t="s">
        <v>10</v>
      </c>
      <c r="X5" s="26"/>
    </row>
    <row r="6" spans="1:24" ht="135">
      <c r="A6" s="49">
        <v>4</v>
      </c>
      <c r="B6" s="47" t="s">
        <v>288</v>
      </c>
      <c r="C6" s="48" t="s">
        <v>307</v>
      </c>
      <c r="D6" s="47" t="s">
        <v>294</v>
      </c>
      <c r="E6" s="51" t="s">
        <v>309</v>
      </c>
      <c r="F6" s="49">
        <v>12</v>
      </c>
      <c r="G6" s="48" t="s">
        <v>297</v>
      </c>
      <c r="H6" s="117" t="s">
        <v>542</v>
      </c>
      <c r="I6" s="117"/>
      <c r="J6" s="44" t="s">
        <v>9</v>
      </c>
      <c r="K6" s="89" t="s">
        <v>128</v>
      </c>
      <c r="L6" s="47" t="s">
        <v>298</v>
      </c>
      <c r="M6" s="25"/>
      <c r="N6" s="25"/>
      <c r="O6" s="25"/>
      <c r="P6" s="25"/>
      <c r="Q6" s="25"/>
      <c r="R6" s="52">
        <f t="shared" si="0"/>
        <v>0</v>
      </c>
      <c r="S6" s="52">
        <f t="shared" si="1"/>
        <v>0</v>
      </c>
      <c r="T6" s="52">
        <f t="shared" si="2"/>
        <v>0</v>
      </c>
      <c r="U6" s="52">
        <f t="shared" si="3"/>
        <v>0</v>
      </c>
      <c r="V6" s="52">
        <f t="shared" si="3"/>
        <v>0</v>
      </c>
      <c r="W6" s="49" t="s">
        <v>10</v>
      </c>
      <c r="X6" s="26"/>
    </row>
    <row r="7" spans="1:24" ht="135">
      <c r="A7" s="49">
        <v>5</v>
      </c>
      <c r="B7" s="47" t="s">
        <v>288</v>
      </c>
      <c r="C7" s="48" t="s">
        <v>307</v>
      </c>
      <c r="D7" s="47" t="s">
        <v>294</v>
      </c>
      <c r="E7" s="51" t="s">
        <v>309</v>
      </c>
      <c r="F7" s="49">
        <v>13</v>
      </c>
      <c r="G7" s="48" t="s">
        <v>299</v>
      </c>
      <c r="H7" s="117" t="s">
        <v>543</v>
      </c>
      <c r="I7" s="117"/>
      <c r="J7" s="44" t="s">
        <v>9</v>
      </c>
      <c r="K7" s="89" t="s">
        <v>128</v>
      </c>
      <c r="L7" s="47" t="s">
        <v>300</v>
      </c>
      <c r="M7" s="25"/>
      <c r="N7" s="25"/>
      <c r="O7" s="25"/>
      <c r="P7" s="25"/>
      <c r="Q7" s="25"/>
      <c r="R7" s="52">
        <f t="shared" si="0"/>
        <v>0</v>
      </c>
      <c r="S7" s="52">
        <f t="shared" si="1"/>
        <v>0</v>
      </c>
      <c r="T7" s="52">
        <f t="shared" si="2"/>
        <v>0</v>
      </c>
      <c r="U7" s="52">
        <f t="shared" si="3"/>
        <v>0</v>
      </c>
      <c r="V7" s="52">
        <f t="shared" si="3"/>
        <v>0</v>
      </c>
      <c r="W7" s="49" t="s">
        <v>10</v>
      </c>
      <c r="X7" s="26"/>
    </row>
    <row r="8" spans="1:24" ht="135">
      <c r="A8" s="49">
        <v>6</v>
      </c>
      <c r="B8" s="47" t="s">
        <v>288</v>
      </c>
      <c r="C8" s="48" t="s">
        <v>307</v>
      </c>
      <c r="D8" s="47" t="s">
        <v>301</v>
      </c>
      <c r="E8" s="51" t="s">
        <v>310</v>
      </c>
      <c r="F8" s="49">
        <v>20</v>
      </c>
      <c r="G8" s="48" t="s">
        <v>302</v>
      </c>
      <c r="H8" s="118" t="s">
        <v>544</v>
      </c>
      <c r="I8" s="117"/>
      <c r="J8" s="44" t="s">
        <v>9</v>
      </c>
      <c r="K8" s="89" t="s">
        <v>128</v>
      </c>
      <c r="L8" s="46" t="s">
        <v>303</v>
      </c>
      <c r="M8" s="25"/>
      <c r="N8" s="25"/>
      <c r="O8" s="25"/>
      <c r="P8" s="25"/>
      <c r="Q8" s="25"/>
      <c r="R8" s="52">
        <f t="shared" si="0"/>
        <v>0</v>
      </c>
      <c r="S8" s="52">
        <f t="shared" si="1"/>
        <v>0</v>
      </c>
      <c r="T8" s="52">
        <f t="shared" si="2"/>
        <v>0</v>
      </c>
      <c r="U8" s="52">
        <f t="shared" si="3"/>
        <v>0</v>
      </c>
      <c r="V8" s="52">
        <f t="shared" si="3"/>
        <v>0</v>
      </c>
      <c r="W8" s="49" t="s">
        <v>10</v>
      </c>
      <c r="X8" s="26"/>
    </row>
    <row r="9" spans="1:24" ht="135">
      <c r="A9" s="49">
        <v>7</v>
      </c>
      <c r="B9" s="47" t="s">
        <v>288</v>
      </c>
      <c r="C9" s="48" t="s">
        <v>307</v>
      </c>
      <c r="D9" s="47" t="s">
        <v>301</v>
      </c>
      <c r="E9" s="51" t="s">
        <v>310</v>
      </c>
      <c r="F9" s="49">
        <v>22</v>
      </c>
      <c r="G9" s="48" t="s">
        <v>304</v>
      </c>
      <c r="H9" s="117" t="s">
        <v>545</v>
      </c>
      <c r="I9" s="117"/>
      <c r="J9" s="44" t="s">
        <v>9</v>
      </c>
      <c r="K9" s="89" t="s">
        <v>128</v>
      </c>
      <c r="L9" s="47" t="s">
        <v>305</v>
      </c>
      <c r="M9" s="25"/>
      <c r="N9" s="25"/>
      <c r="O9" s="25"/>
      <c r="P9" s="25"/>
      <c r="Q9" s="25"/>
      <c r="R9" s="52">
        <f t="shared" si="0"/>
        <v>0</v>
      </c>
      <c r="S9" s="52">
        <f t="shared" si="1"/>
        <v>0</v>
      </c>
      <c r="T9" s="52">
        <f t="shared" si="2"/>
        <v>0</v>
      </c>
      <c r="U9" s="52">
        <f t="shared" si="3"/>
        <v>0</v>
      </c>
      <c r="V9" s="52">
        <f t="shared" si="3"/>
        <v>0</v>
      </c>
      <c r="W9" s="49" t="s">
        <v>10</v>
      </c>
      <c r="X9" s="26"/>
    </row>
    <row r="10" spans="1:24" ht="135" customHeight="1">
      <c r="A10" s="49">
        <v>8</v>
      </c>
      <c r="B10" s="47" t="s">
        <v>288</v>
      </c>
      <c r="C10" s="48" t="s">
        <v>307</v>
      </c>
      <c r="D10" s="47" t="s">
        <v>301</v>
      </c>
      <c r="E10" s="51" t="s">
        <v>310</v>
      </c>
      <c r="F10" s="49">
        <v>30</v>
      </c>
      <c r="G10" s="48" t="s">
        <v>306</v>
      </c>
      <c r="H10" s="17" t="s">
        <v>546</v>
      </c>
      <c r="I10" s="117"/>
      <c r="J10" s="45" t="s">
        <v>9</v>
      </c>
      <c r="K10" s="89" t="s">
        <v>128</v>
      </c>
      <c r="L10" s="47" t="s">
        <v>311</v>
      </c>
      <c r="M10" s="25"/>
      <c r="N10" s="25"/>
      <c r="O10" s="25"/>
      <c r="P10" s="25"/>
      <c r="Q10" s="25"/>
      <c r="R10" s="52">
        <f t="shared" ref="R10:V10" si="4">M10</f>
        <v>0</v>
      </c>
      <c r="S10" s="52">
        <f t="shared" si="4"/>
        <v>0</v>
      </c>
      <c r="T10" s="52">
        <f t="shared" si="4"/>
        <v>0</v>
      </c>
      <c r="U10" s="52">
        <f t="shared" si="4"/>
        <v>0</v>
      </c>
      <c r="V10" s="52">
        <f t="shared" si="4"/>
        <v>0</v>
      </c>
      <c r="W10" s="47" t="s">
        <v>10</v>
      </c>
      <c r="X10" s="26"/>
    </row>
  </sheetData>
  <sheetProtection algorithmName="SHA-512" hashValue="CZTVx/3DWTYus3VKqwh3RclCPmAiMZR+WrjsWmdbYXmwrICmyjoLzuTBFYiOXGviqXTyIUOpSGBR3GBI4baj0w==" saltValue="89/l/hLJR4W9ip47NZ1v+Q==" spinCount="100000" sheet="1" objects="1" scenarios="1" formatCells="0" formatColumns="0" formatRows="0"/>
  <mergeCells count="16">
    <mergeCell ref="W1:W2"/>
    <mergeCell ref="X1:X2"/>
    <mergeCell ref="H1:H2"/>
    <mergeCell ref="I1:I2"/>
    <mergeCell ref="J1:J2"/>
    <mergeCell ref="K1:K2"/>
    <mergeCell ref="L1:L2"/>
    <mergeCell ref="M1:Q1"/>
    <mergeCell ref="R1:V1"/>
    <mergeCell ref="A1:A2"/>
    <mergeCell ref="G1:G2"/>
    <mergeCell ref="B1:B2"/>
    <mergeCell ref="C1:C2"/>
    <mergeCell ref="D1:D2"/>
    <mergeCell ref="E1:E2"/>
    <mergeCell ref="F1:F2"/>
  </mergeCells>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54C0-675E-4F9A-8D8B-24FB1DCF2543}">
  <dimension ref="A1:X3"/>
  <sheetViews>
    <sheetView topLeftCell="G1" zoomScale="91" zoomScaleNormal="91" workbookViewId="0">
      <selection activeCell="R1" sqref="R1:V1"/>
    </sheetView>
  </sheetViews>
  <sheetFormatPr baseColWidth="10" defaultRowHeight="15"/>
  <cols>
    <col min="2" max="2" width="18.7109375" customWidth="1"/>
    <col min="3" max="3" width="28.85546875" customWidth="1"/>
    <col min="5" max="5" width="28.85546875" style="22" customWidth="1"/>
    <col min="7" max="8" width="28.85546875" style="22" customWidth="1"/>
    <col min="9" max="9" width="45.7109375" customWidth="1"/>
    <col min="11" max="11" width="28.85546875" customWidth="1"/>
    <col min="12" max="12" width="28.85546875" style="22" customWidth="1"/>
    <col min="13" max="23" width="11.42578125" style="1"/>
    <col min="24" max="24" width="29" customWidth="1"/>
  </cols>
  <sheetData>
    <row r="1" spans="1:24" ht="18.75" customHeight="1">
      <c r="A1" s="195" t="s">
        <v>437</v>
      </c>
      <c r="B1" s="195" t="s">
        <v>30</v>
      </c>
      <c r="C1" s="217" t="s">
        <v>31</v>
      </c>
      <c r="D1" s="195" t="s">
        <v>32</v>
      </c>
      <c r="E1" s="217" t="s">
        <v>33</v>
      </c>
      <c r="F1" s="195" t="s">
        <v>106</v>
      </c>
      <c r="G1" s="217" t="s">
        <v>0</v>
      </c>
      <c r="H1" s="221" t="s">
        <v>464</v>
      </c>
      <c r="I1" s="199" t="s">
        <v>1</v>
      </c>
      <c r="J1" s="195" t="s">
        <v>2</v>
      </c>
      <c r="K1" s="241" t="s">
        <v>34</v>
      </c>
      <c r="L1" s="222" t="s">
        <v>3</v>
      </c>
      <c r="M1" s="191" t="s">
        <v>4</v>
      </c>
      <c r="N1" s="191"/>
      <c r="O1" s="191"/>
      <c r="P1" s="191"/>
      <c r="Q1" s="192"/>
      <c r="R1" s="206" t="s">
        <v>5</v>
      </c>
      <c r="S1" s="206"/>
      <c r="T1" s="206"/>
      <c r="U1" s="206"/>
      <c r="V1" s="207"/>
      <c r="W1" s="196" t="s">
        <v>6</v>
      </c>
      <c r="X1" s="197" t="s">
        <v>7</v>
      </c>
    </row>
    <row r="2" spans="1:24" ht="24">
      <c r="A2" s="195"/>
      <c r="B2" s="195"/>
      <c r="C2" s="217"/>
      <c r="D2" s="195"/>
      <c r="E2" s="217"/>
      <c r="F2" s="195"/>
      <c r="G2" s="217"/>
      <c r="H2" s="221"/>
      <c r="I2" s="199"/>
      <c r="J2" s="195"/>
      <c r="K2" s="241"/>
      <c r="L2" s="222"/>
      <c r="M2" s="5" t="s">
        <v>629</v>
      </c>
      <c r="N2" s="5">
        <v>2027</v>
      </c>
      <c r="O2" s="5">
        <v>2028</v>
      </c>
      <c r="P2" s="5">
        <v>2029</v>
      </c>
      <c r="Q2" s="5">
        <v>2030</v>
      </c>
      <c r="R2" s="50" t="s">
        <v>629</v>
      </c>
      <c r="S2" s="50">
        <v>2027</v>
      </c>
      <c r="T2" s="50">
        <v>2028</v>
      </c>
      <c r="U2" s="50">
        <v>2029</v>
      </c>
      <c r="V2" s="50">
        <v>2030</v>
      </c>
      <c r="W2" s="196"/>
      <c r="X2" s="197"/>
    </row>
    <row r="3" spans="1:24" ht="150">
      <c r="A3" s="44">
        <v>1</v>
      </c>
      <c r="B3" s="45" t="s">
        <v>312</v>
      </c>
      <c r="C3" s="46" t="s">
        <v>313</v>
      </c>
      <c r="D3" s="47" t="s">
        <v>314</v>
      </c>
      <c r="E3" s="48" t="s">
        <v>317</v>
      </c>
      <c r="F3" s="44">
        <v>5</v>
      </c>
      <c r="G3" s="48" t="s">
        <v>315</v>
      </c>
      <c r="H3" s="118" t="s">
        <v>547</v>
      </c>
      <c r="I3" s="20"/>
      <c r="J3" s="44" t="s">
        <v>9</v>
      </c>
      <c r="K3" s="47" t="s">
        <v>128</v>
      </c>
      <c r="L3" s="48" t="s">
        <v>316</v>
      </c>
      <c r="M3" s="25"/>
      <c r="N3" s="25"/>
      <c r="O3" s="25"/>
      <c r="P3" s="25"/>
      <c r="Q3" s="25"/>
      <c r="R3" s="52">
        <f t="shared" ref="R3:V3" si="0">M3</f>
        <v>0</v>
      </c>
      <c r="S3" s="52">
        <f t="shared" si="0"/>
        <v>0</v>
      </c>
      <c r="T3" s="52">
        <f t="shared" si="0"/>
        <v>0</v>
      </c>
      <c r="U3" s="52">
        <f t="shared" si="0"/>
        <v>0</v>
      </c>
      <c r="V3" s="52">
        <f t="shared" si="0"/>
        <v>0</v>
      </c>
      <c r="W3" s="44" t="s">
        <v>10</v>
      </c>
      <c r="X3" s="26"/>
    </row>
  </sheetData>
  <sheetProtection algorithmName="SHA-512" hashValue="D+6slupOrmk6dd6NNAIME1vYPjj7lxTbkmJdll6wVW0a7N1AoRgjtNIdD/z+DlB0fObneRuKOswBuahC4YzQsw==" saltValue="D/rXDub4NcBNtZa6KsKU6Q==" spinCount="100000" sheet="1" objects="1" scenarios="1" formatCells="0" formatColumns="0" formatRows="0"/>
  <mergeCells count="16">
    <mergeCell ref="W1:W2"/>
    <mergeCell ref="X1:X2"/>
    <mergeCell ref="H1:H2"/>
    <mergeCell ref="I1:I2"/>
    <mergeCell ref="J1:J2"/>
    <mergeCell ref="K1:K2"/>
    <mergeCell ref="L1:L2"/>
    <mergeCell ref="R1:V1"/>
    <mergeCell ref="M1:Q1"/>
    <mergeCell ref="A1:A2"/>
    <mergeCell ref="G1:G2"/>
    <mergeCell ref="B1:B2"/>
    <mergeCell ref="C1:C2"/>
    <mergeCell ref="D1:D2"/>
    <mergeCell ref="E1:E2"/>
    <mergeCell ref="F1:F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0DBD6-A2AE-43A7-9EE9-D90684A53A62}">
  <dimension ref="A1:X12"/>
  <sheetViews>
    <sheetView topLeftCell="F1" zoomScale="91" zoomScaleNormal="91" workbookViewId="0">
      <selection activeCell="L12" sqref="L12"/>
    </sheetView>
  </sheetViews>
  <sheetFormatPr baseColWidth="10" defaultRowHeight="15"/>
  <cols>
    <col min="1" max="1" width="11.42578125" style="14"/>
    <col min="3" max="3" width="28.5703125" style="22" customWidth="1"/>
    <col min="5" max="5" width="28.5703125" style="22" customWidth="1"/>
    <col min="7" max="7" width="28.5703125" style="22" customWidth="1"/>
    <col min="8" max="8" width="28.5703125" customWidth="1"/>
    <col min="9" max="9" width="45.7109375" customWidth="1"/>
    <col min="11" max="11" width="28.5703125" style="23" customWidth="1"/>
    <col min="12" max="12" width="28.5703125" style="1" customWidth="1"/>
    <col min="13" max="23" width="11.42578125" style="1"/>
    <col min="24" max="24" width="29" customWidth="1"/>
  </cols>
  <sheetData>
    <row r="1" spans="1:24" s="1" customFormat="1" ht="18.75" customHeight="1">
      <c r="A1" s="195" t="s">
        <v>437</v>
      </c>
      <c r="B1" s="195" t="s">
        <v>30</v>
      </c>
      <c r="C1" s="195" t="s">
        <v>31</v>
      </c>
      <c r="D1" s="195" t="s">
        <v>32</v>
      </c>
      <c r="E1" s="195" t="s">
        <v>33</v>
      </c>
      <c r="F1" s="195" t="s">
        <v>106</v>
      </c>
      <c r="G1" s="195" t="s">
        <v>0</v>
      </c>
      <c r="H1" s="208" t="s">
        <v>464</v>
      </c>
      <c r="I1" s="199" t="s">
        <v>1</v>
      </c>
      <c r="J1" s="195" t="s">
        <v>2</v>
      </c>
      <c r="K1" s="196" t="s">
        <v>34</v>
      </c>
      <c r="L1" s="196" t="s">
        <v>3</v>
      </c>
      <c r="M1" s="191" t="s">
        <v>4</v>
      </c>
      <c r="N1" s="191"/>
      <c r="O1" s="191"/>
      <c r="P1" s="191"/>
      <c r="Q1" s="192"/>
      <c r="R1" s="206" t="s">
        <v>5</v>
      </c>
      <c r="S1" s="206"/>
      <c r="T1" s="206"/>
      <c r="U1" s="206"/>
      <c r="V1" s="207"/>
      <c r="W1" s="196" t="s">
        <v>6</v>
      </c>
      <c r="X1" s="197" t="s">
        <v>7</v>
      </c>
    </row>
    <row r="2" spans="1:24" s="1" customFormat="1" ht="24">
      <c r="A2" s="195"/>
      <c r="B2" s="195"/>
      <c r="C2" s="195"/>
      <c r="D2" s="195"/>
      <c r="E2" s="195"/>
      <c r="F2" s="195"/>
      <c r="G2" s="195"/>
      <c r="H2" s="208"/>
      <c r="I2" s="199"/>
      <c r="J2" s="195"/>
      <c r="K2" s="196"/>
      <c r="L2" s="196"/>
      <c r="M2" s="5" t="s">
        <v>629</v>
      </c>
      <c r="N2" s="5">
        <v>2027</v>
      </c>
      <c r="O2" s="5">
        <v>2028</v>
      </c>
      <c r="P2" s="5">
        <v>2029</v>
      </c>
      <c r="Q2" s="5">
        <v>2030</v>
      </c>
      <c r="R2" s="50" t="s">
        <v>629</v>
      </c>
      <c r="S2" s="50">
        <v>2027</v>
      </c>
      <c r="T2" s="50">
        <v>2028</v>
      </c>
      <c r="U2" s="50">
        <v>2029</v>
      </c>
      <c r="V2" s="50">
        <v>2030</v>
      </c>
      <c r="W2" s="196"/>
      <c r="X2" s="197"/>
    </row>
    <row r="3" spans="1:24" ht="65.25" customHeight="1">
      <c r="A3" s="216">
        <v>1</v>
      </c>
      <c r="B3" s="216" t="s">
        <v>318</v>
      </c>
      <c r="C3" s="218" t="s">
        <v>319</v>
      </c>
      <c r="D3" s="219" t="s">
        <v>320</v>
      </c>
      <c r="E3" s="218" t="s">
        <v>343</v>
      </c>
      <c r="F3" s="149">
        <v>1</v>
      </c>
      <c r="G3" s="218" t="s">
        <v>585</v>
      </c>
      <c r="H3" s="220" t="s">
        <v>584</v>
      </c>
      <c r="I3" s="220"/>
      <c r="J3" s="223" t="s">
        <v>12</v>
      </c>
      <c r="K3" s="239" t="s">
        <v>321</v>
      </c>
      <c r="L3" s="49" t="s">
        <v>322</v>
      </c>
      <c r="M3" s="25"/>
      <c r="N3" s="25"/>
      <c r="O3" s="25"/>
      <c r="P3" s="25"/>
      <c r="Q3" s="25"/>
      <c r="R3" s="215" t="str">
        <f t="shared" ref="R3:V3" si="0">IF(M4,M3/M4*100,"0")</f>
        <v>0</v>
      </c>
      <c r="S3" s="215" t="str">
        <f t="shared" si="0"/>
        <v>0</v>
      </c>
      <c r="T3" s="215" t="str">
        <f t="shared" si="0"/>
        <v>0</v>
      </c>
      <c r="U3" s="215" t="str">
        <f t="shared" si="0"/>
        <v>0</v>
      </c>
      <c r="V3" s="215" t="str">
        <f t="shared" si="0"/>
        <v>0</v>
      </c>
      <c r="W3" s="215" t="s">
        <v>10</v>
      </c>
      <c r="X3" s="224"/>
    </row>
    <row r="4" spans="1:24" ht="65.25" customHeight="1">
      <c r="A4" s="216"/>
      <c r="B4" s="216"/>
      <c r="C4" s="218"/>
      <c r="D4" s="219"/>
      <c r="E4" s="218"/>
      <c r="F4" s="150"/>
      <c r="G4" s="218"/>
      <c r="H4" s="220"/>
      <c r="I4" s="220"/>
      <c r="J4" s="223"/>
      <c r="K4" s="239"/>
      <c r="L4" s="49" t="s">
        <v>323</v>
      </c>
      <c r="M4" s="25"/>
      <c r="N4" s="25"/>
      <c r="O4" s="25"/>
      <c r="P4" s="25"/>
      <c r="Q4" s="25"/>
      <c r="R4" s="215"/>
      <c r="S4" s="215"/>
      <c r="T4" s="215"/>
      <c r="U4" s="215"/>
      <c r="V4" s="215"/>
      <c r="W4" s="215"/>
      <c r="X4" s="224"/>
    </row>
    <row r="5" spans="1:24" ht="135">
      <c r="A5" s="44">
        <v>2</v>
      </c>
      <c r="B5" s="45" t="s">
        <v>318</v>
      </c>
      <c r="C5" s="48" t="s">
        <v>319</v>
      </c>
      <c r="D5" s="47" t="s">
        <v>324</v>
      </c>
      <c r="E5" s="48" t="s">
        <v>344</v>
      </c>
      <c r="F5" s="44">
        <v>3</v>
      </c>
      <c r="G5" s="48" t="s">
        <v>325</v>
      </c>
      <c r="H5" s="117" t="s">
        <v>548</v>
      </c>
      <c r="I5" s="17"/>
      <c r="J5" s="44" t="s">
        <v>9</v>
      </c>
      <c r="K5" s="51" t="s">
        <v>128</v>
      </c>
      <c r="L5" s="49" t="s">
        <v>326</v>
      </c>
      <c r="M5" s="25"/>
      <c r="N5" s="25"/>
      <c r="O5" s="25"/>
      <c r="P5" s="25"/>
      <c r="Q5" s="25"/>
      <c r="R5" s="52">
        <f t="shared" ref="R5:V5" si="1">M5</f>
        <v>0</v>
      </c>
      <c r="S5" s="52">
        <f t="shared" si="1"/>
        <v>0</v>
      </c>
      <c r="T5" s="52">
        <f t="shared" si="1"/>
        <v>0</v>
      </c>
      <c r="U5" s="52">
        <f t="shared" si="1"/>
        <v>0</v>
      </c>
      <c r="V5" s="52">
        <f t="shared" si="1"/>
        <v>0</v>
      </c>
      <c r="W5" s="44" t="s">
        <v>10</v>
      </c>
      <c r="X5" s="26"/>
    </row>
    <row r="6" spans="1:24" ht="70.5" customHeight="1">
      <c r="A6" s="149">
        <v>3</v>
      </c>
      <c r="B6" s="149" t="s">
        <v>318</v>
      </c>
      <c r="C6" s="153" t="s">
        <v>319</v>
      </c>
      <c r="D6" s="159" t="s">
        <v>327</v>
      </c>
      <c r="E6" s="153" t="s">
        <v>345</v>
      </c>
      <c r="F6" s="149">
        <v>6</v>
      </c>
      <c r="G6" s="153" t="s">
        <v>328</v>
      </c>
      <c r="H6" s="155" t="s">
        <v>549</v>
      </c>
      <c r="I6" s="155"/>
      <c r="J6" s="170" t="s">
        <v>12</v>
      </c>
      <c r="K6" s="235" t="s">
        <v>329</v>
      </c>
      <c r="L6" s="49" t="s">
        <v>330</v>
      </c>
      <c r="M6" s="25"/>
      <c r="N6" s="25"/>
      <c r="O6" s="25"/>
      <c r="P6" s="25"/>
      <c r="Q6" s="25"/>
      <c r="R6" s="212" t="str">
        <f t="shared" ref="R6:V6" si="2">IF(M7,M6/M7*100,"0")</f>
        <v>0</v>
      </c>
      <c r="S6" s="212" t="str">
        <f t="shared" si="2"/>
        <v>0</v>
      </c>
      <c r="T6" s="212" t="str">
        <f t="shared" si="2"/>
        <v>0</v>
      </c>
      <c r="U6" s="212" t="str">
        <f t="shared" si="2"/>
        <v>0</v>
      </c>
      <c r="V6" s="212" t="str">
        <f t="shared" si="2"/>
        <v>0</v>
      </c>
      <c r="W6" s="149" t="s">
        <v>10</v>
      </c>
      <c r="X6" s="204"/>
    </row>
    <row r="7" spans="1:24" ht="70.5" customHeight="1">
      <c r="A7" s="150"/>
      <c r="B7" s="150"/>
      <c r="C7" s="157"/>
      <c r="D7" s="163"/>
      <c r="E7" s="157"/>
      <c r="F7" s="150"/>
      <c r="G7" s="157"/>
      <c r="H7" s="158"/>
      <c r="I7" s="158"/>
      <c r="J7" s="171"/>
      <c r="K7" s="236"/>
      <c r="L7" s="49" t="s">
        <v>331</v>
      </c>
      <c r="M7" s="25"/>
      <c r="N7" s="25"/>
      <c r="O7" s="25"/>
      <c r="P7" s="25"/>
      <c r="Q7" s="25"/>
      <c r="R7" s="213"/>
      <c r="S7" s="213"/>
      <c r="T7" s="213"/>
      <c r="U7" s="213"/>
      <c r="V7" s="213"/>
      <c r="W7" s="150"/>
      <c r="X7" s="205"/>
    </row>
    <row r="8" spans="1:24" ht="135">
      <c r="A8" s="44">
        <v>4</v>
      </c>
      <c r="B8" s="45" t="s">
        <v>318</v>
      </c>
      <c r="C8" s="48" t="s">
        <v>319</v>
      </c>
      <c r="D8" s="47" t="s">
        <v>327</v>
      </c>
      <c r="E8" s="48" t="s">
        <v>345</v>
      </c>
      <c r="F8" s="44">
        <v>7</v>
      </c>
      <c r="G8" s="48" t="s">
        <v>332</v>
      </c>
      <c r="H8" s="117" t="s">
        <v>550</v>
      </c>
      <c r="I8" s="17"/>
      <c r="J8" s="44" t="s">
        <v>9</v>
      </c>
      <c r="K8" s="51" t="s">
        <v>128</v>
      </c>
      <c r="L8" s="49" t="s">
        <v>333</v>
      </c>
      <c r="M8" s="25"/>
      <c r="N8" s="25"/>
      <c r="O8" s="25"/>
      <c r="P8" s="25"/>
      <c r="Q8" s="25"/>
      <c r="R8" s="52">
        <f t="shared" ref="R8:V11" si="3">M8</f>
        <v>0</v>
      </c>
      <c r="S8" s="52">
        <f t="shared" si="3"/>
        <v>0</v>
      </c>
      <c r="T8" s="52">
        <f t="shared" si="3"/>
        <v>0</v>
      </c>
      <c r="U8" s="52">
        <f t="shared" si="3"/>
        <v>0</v>
      </c>
      <c r="V8" s="52">
        <f t="shared" si="3"/>
        <v>0</v>
      </c>
      <c r="W8" s="44" t="s">
        <v>10</v>
      </c>
      <c r="X8" s="26"/>
    </row>
    <row r="9" spans="1:24" ht="135">
      <c r="A9" s="44">
        <v>5</v>
      </c>
      <c r="B9" s="45" t="s">
        <v>318</v>
      </c>
      <c r="C9" s="48" t="s">
        <v>319</v>
      </c>
      <c r="D9" s="47" t="s">
        <v>327</v>
      </c>
      <c r="E9" s="48" t="s">
        <v>345</v>
      </c>
      <c r="F9" s="44">
        <v>13</v>
      </c>
      <c r="G9" s="48" t="s">
        <v>334</v>
      </c>
      <c r="H9" s="117" t="s">
        <v>551</v>
      </c>
      <c r="I9" s="17"/>
      <c r="J9" s="44" t="s">
        <v>9</v>
      </c>
      <c r="K9" s="51" t="s">
        <v>128</v>
      </c>
      <c r="L9" s="49" t="s">
        <v>335</v>
      </c>
      <c r="M9" s="25"/>
      <c r="N9" s="25"/>
      <c r="O9" s="25"/>
      <c r="P9" s="25"/>
      <c r="Q9" s="25"/>
      <c r="R9" s="52">
        <f t="shared" si="3"/>
        <v>0</v>
      </c>
      <c r="S9" s="52">
        <f t="shared" si="3"/>
        <v>0</v>
      </c>
      <c r="T9" s="52">
        <f t="shared" si="3"/>
        <v>0</v>
      </c>
      <c r="U9" s="52">
        <f t="shared" si="3"/>
        <v>0</v>
      </c>
      <c r="V9" s="52">
        <f t="shared" si="3"/>
        <v>0</v>
      </c>
      <c r="W9" s="44" t="s">
        <v>10</v>
      </c>
      <c r="X9" s="26"/>
    </row>
    <row r="10" spans="1:24" ht="135">
      <c r="A10" s="44">
        <v>6</v>
      </c>
      <c r="B10" s="45" t="s">
        <v>318</v>
      </c>
      <c r="C10" s="48" t="s">
        <v>319</v>
      </c>
      <c r="D10" s="47" t="s">
        <v>336</v>
      </c>
      <c r="E10" s="48" t="s">
        <v>346</v>
      </c>
      <c r="F10" s="44">
        <v>16</v>
      </c>
      <c r="G10" s="48" t="s">
        <v>337</v>
      </c>
      <c r="H10" s="118" t="s">
        <v>552</v>
      </c>
      <c r="I10" s="20"/>
      <c r="J10" s="44" t="s">
        <v>9</v>
      </c>
      <c r="K10" s="51" t="s">
        <v>128</v>
      </c>
      <c r="L10" s="49" t="s">
        <v>338</v>
      </c>
      <c r="M10" s="25"/>
      <c r="N10" s="25"/>
      <c r="O10" s="25"/>
      <c r="P10" s="25"/>
      <c r="Q10" s="25"/>
      <c r="R10" s="52">
        <f t="shared" si="3"/>
        <v>0</v>
      </c>
      <c r="S10" s="52">
        <f t="shared" si="3"/>
        <v>0</v>
      </c>
      <c r="T10" s="52">
        <f t="shared" si="3"/>
        <v>0</v>
      </c>
      <c r="U10" s="52">
        <f t="shared" si="3"/>
        <v>0</v>
      </c>
      <c r="V10" s="52">
        <f t="shared" si="3"/>
        <v>0</v>
      </c>
      <c r="W10" s="44" t="s">
        <v>10</v>
      </c>
      <c r="X10" s="26"/>
    </row>
    <row r="11" spans="1:24" ht="135">
      <c r="A11" s="44">
        <v>7</v>
      </c>
      <c r="B11" s="45" t="s">
        <v>318</v>
      </c>
      <c r="C11" s="48" t="s">
        <v>319</v>
      </c>
      <c r="D11" s="47" t="s">
        <v>336</v>
      </c>
      <c r="E11" s="48" t="s">
        <v>346</v>
      </c>
      <c r="F11" s="44">
        <v>24</v>
      </c>
      <c r="G11" s="48" t="s">
        <v>339</v>
      </c>
      <c r="H11" s="117" t="s">
        <v>553</v>
      </c>
      <c r="I11" s="17"/>
      <c r="J11" s="44" t="s">
        <v>341</v>
      </c>
      <c r="K11" s="51" t="s">
        <v>128</v>
      </c>
      <c r="L11" s="49" t="s">
        <v>340</v>
      </c>
      <c r="M11" s="25"/>
      <c r="N11" s="25"/>
      <c r="O11" s="25"/>
      <c r="P11" s="25"/>
      <c r="Q11" s="25"/>
      <c r="R11" s="52">
        <f t="shared" si="3"/>
        <v>0</v>
      </c>
      <c r="S11" s="52">
        <f t="shared" si="3"/>
        <v>0</v>
      </c>
      <c r="T11" s="52">
        <f t="shared" si="3"/>
        <v>0</v>
      </c>
      <c r="U11" s="52">
        <f t="shared" si="3"/>
        <v>0</v>
      </c>
      <c r="V11" s="52">
        <f t="shared" si="3"/>
        <v>0</v>
      </c>
      <c r="W11" s="44" t="s">
        <v>10</v>
      </c>
      <c r="X11" s="26"/>
    </row>
    <row r="12" spans="1:24" ht="82.5" customHeight="1">
      <c r="A12" s="44">
        <v>8</v>
      </c>
      <c r="B12" s="45" t="s">
        <v>318</v>
      </c>
      <c r="C12" s="51" t="s">
        <v>319</v>
      </c>
      <c r="D12" s="47" t="s">
        <v>336</v>
      </c>
      <c r="E12" s="51" t="s">
        <v>346</v>
      </c>
      <c r="F12" s="45">
        <v>25</v>
      </c>
      <c r="G12" s="51" t="s">
        <v>342</v>
      </c>
      <c r="H12" s="17" t="s">
        <v>627</v>
      </c>
      <c r="I12" s="17"/>
      <c r="J12" s="45" t="s">
        <v>9</v>
      </c>
      <c r="K12" s="51" t="s">
        <v>128</v>
      </c>
      <c r="L12" s="49" t="s">
        <v>628</v>
      </c>
      <c r="M12" s="25"/>
      <c r="N12" s="25"/>
      <c r="O12" s="25"/>
      <c r="P12" s="25"/>
      <c r="Q12" s="25"/>
      <c r="R12" s="52">
        <f t="shared" ref="R12" si="4">M12</f>
        <v>0</v>
      </c>
      <c r="S12" s="52">
        <f t="shared" ref="S12" si="5">N12</f>
        <v>0</v>
      </c>
      <c r="T12" s="52">
        <f t="shared" ref="T12" si="6">O12</f>
        <v>0</v>
      </c>
      <c r="U12" s="52">
        <f t="shared" ref="U12:V12" si="7">P12</f>
        <v>0</v>
      </c>
      <c r="V12" s="52">
        <f t="shared" si="7"/>
        <v>0</v>
      </c>
      <c r="W12" s="45" t="s">
        <v>10</v>
      </c>
      <c r="X12" s="26"/>
    </row>
  </sheetData>
  <sheetProtection algorithmName="SHA-512" hashValue="whD1TR6TPVqumDd+BIUK4iixiLgRDm/6UcfsuQ+7miCRb02NG0JUSaM+1hzfunIBpDCBhE1DPpdLjWnkh43o7Q==" saltValue="FlnIQd0x//eIMlITFJ/POA==" spinCount="100000" sheet="1" formatCells="0" formatColumns="0" formatRows="0"/>
  <mergeCells count="52">
    <mergeCell ref="W1:W2"/>
    <mergeCell ref="X1:X2"/>
    <mergeCell ref="B3:B4"/>
    <mergeCell ref="C3:C4"/>
    <mergeCell ref="D3:D4"/>
    <mergeCell ref="E3:E4"/>
    <mergeCell ref="G3:G4"/>
    <mergeCell ref="H3:H4"/>
    <mergeCell ref="I3:I4"/>
    <mergeCell ref="H1:H2"/>
    <mergeCell ref="I1:I2"/>
    <mergeCell ref="J1:J2"/>
    <mergeCell ref="K1:K2"/>
    <mergeCell ref="L1:L2"/>
    <mergeCell ref="G1:G2"/>
    <mergeCell ref="H6:H7"/>
    <mergeCell ref="I6:I7"/>
    <mergeCell ref="J6:J7"/>
    <mergeCell ref="K6:K7"/>
    <mergeCell ref="F6:F7"/>
    <mergeCell ref="F1:F2"/>
    <mergeCell ref="U6:U7"/>
    <mergeCell ref="X6:X7"/>
    <mergeCell ref="W6:W7"/>
    <mergeCell ref="R6:R7"/>
    <mergeCell ref="U3:U4"/>
    <mergeCell ref="W3:W4"/>
    <mergeCell ref="X3:X4"/>
    <mergeCell ref="R3:R4"/>
    <mergeCell ref="S3:S4"/>
    <mergeCell ref="T3:T4"/>
    <mergeCell ref="F3:F4"/>
    <mergeCell ref="G6:G7"/>
    <mergeCell ref="J3:J4"/>
    <mergeCell ref="M1:Q1"/>
    <mergeCell ref="K3:K4"/>
    <mergeCell ref="R1:V1"/>
    <mergeCell ref="V3:V4"/>
    <mergeCell ref="V6:V7"/>
    <mergeCell ref="A1:A2"/>
    <mergeCell ref="A3:A4"/>
    <mergeCell ref="A6:A7"/>
    <mergeCell ref="S6:S7"/>
    <mergeCell ref="T6:T7"/>
    <mergeCell ref="B6:B7"/>
    <mergeCell ref="C6:C7"/>
    <mergeCell ref="D6:D7"/>
    <mergeCell ref="E6:E7"/>
    <mergeCell ref="B1:B2"/>
    <mergeCell ref="C1:C2"/>
    <mergeCell ref="D1:D2"/>
    <mergeCell ref="E1:E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FD6F5-0671-499C-B87F-177B523B29DF}">
  <dimension ref="A1:X10"/>
  <sheetViews>
    <sheetView tabSelected="1" topLeftCell="G1" zoomScale="85" zoomScaleNormal="85" workbookViewId="0">
      <selection activeCell="G3" sqref="G3"/>
    </sheetView>
  </sheetViews>
  <sheetFormatPr baseColWidth="10" defaultRowHeight="15"/>
  <cols>
    <col min="1" max="1" width="11.42578125" style="14"/>
    <col min="3" max="3" width="28.42578125" style="23" customWidth="1"/>
    <col min="5" max="5" width="28.42578125" style="23" customWidth="1"/>
    <col min="7" max="8" width="28.42578125" style="23" customWidth="1"/>
    <col min="9" max="9" width="45.7109375" customWidth="1"/>
    <col min="11" max="11" width="28.42578125" style="23" customWidth="1"/>
    <col min="12" max="12" width="28.42578125" customWidth="1"/>
    <col min="13" max="23" width="11.42578125" style="1"/>
    <col min="24" max="24" width="29" customWidth="1"/>
  </cols>
  <sheetData>
    <row r="1" spans="1:24" ht="18.75" customHeight="1">
      <c r="A1" s="195" t="s">
        <v>437</v>
      </c>
      <c r="B1" s="195" t="s">
        <v>30</v>
      </c>
      <c r="C1" s="238" t="s">
        <v>31</v>
      </c>
      <c r="D1" s="195" t="s">
        <v>32</v>
      </c>
      <c r="E1" s="238" t="s">
        <v>33</v>
      </c>
      <c r="F1" s="195" t="s">
        <v>106</v>
      </c>
      <c r="G1" s="238" t="s">
        <v>0</v>
      </c>
      <c r="H1" s="240" t="s">
        <v>464</v>
      </c>
      <c r="I1" s="199" t="s">
        <v>1</v>
      </c>
      <c r="J1" s="195" t="s">
        <v>2</v>
      </c>
      <c r="K1" s="237" t="s">
        <v>34</v>
      </c>
      <c r="L1" s="222" t="s">
        <v>3</v>
      </c>
      <c r="M1" s="191" t="s">
        <v>4</v>
      </c>
      <c r="N1" s="191"/>
      <c r="O1" s="191"/>
      <c r="P1" s="191"/>
      <c r="Q1" s="192"/>
      <c r="R1" s="206" t="s">
        <v>5</v>
      </c>
      <c r="S1" s="206"/>
      <c r="T1" s="206"/>
      <c r="U1" s="206"/>
      <c r="V1" s="207"/>
      <c r="W1" s="196" t="s">
        <v>6</v>
      </c>
      <c r="X1" s="197" t="s">
        <v>7</v>
      </c>
    </row>
    <row r="2" spans="1:24" ht="24">
      <c r="A2" s="195"/>
      <c r="B2" s="195"/>
      <c r="C2" s="238"/>
      <c r="D2" s="195"/>
      <c r="E2" s="238"/>
      <c r="F2" s="195"/>
      <c r="G2" s="238"/>
      <c r="H2" s="240"/>
      <c r="I2" s="199"/>
      <c r="J2" s="195"/>
      <c r="K2" s="237"/>
      <c r="L2" s="222"/>
      <c r="M2" s="5" t="s">
        <v>629</v>
      </c>
      <c r="N2" s="5">
        <v>2027</v>
      </c>
      <c r="O2" s="5">
        <v>2028</v>
      </c>
      <c r="P2" s="5">
        <v>2029</v>
      </c>
      <c r="Q2" s="5">
        <v>2030</v>
      </c>
      <c r="R2" s="50" t="s">
        <v>629</v>
      </c>
      <c r="S2" s="50">
        <v>2027</v>
      </c>
      <c r="T2" s="50">
        <v>2028</v>
      </c>
      <c r="U2" s="50">
        <v>2029</v>
      </c>
      <c r="V2" s="50">
        <v>2030</v>
      </c>
      <c r="W2" s="196"/>
      <c r="X2" s="197"/>
    </row>
    <row r="3" spans="1:24" ht="142.5" customHeight="1">
      <c r="A3" s="45">
        <v>1</v>
      </c>
      <c r="B3" s="45" t="s">
        <v>347</v>
      </c>
      <c r="C3" s="51" t="s">
        <v>348</v>
      </c>
      <c r="D3" s="47" t="s">
        <v>349</v>
      </c>
      <c r="E3" s="51" t="s">
        <v>350</v>
      </c>
      <c r="F3" s="45">
        <v>8</v>
      </c>
      <c r="G3" s="51" t="s">
        <v>351</v>
      </c>
      <c r="H3" s="19" t="s">
        <v>630</v>
      </c>
      <c r="I3" s="17"/>
      <c r="J3" s="44" t="s">
        <v>9</v>
      </c>
      <c r="K3" s="51" t="s">
        <v>128</v>
      </c>
      <c r="L3" s="47" t="s">
        <v>631</v>
      </c>
      <c r="M3" s="25">
        <v>5</v>
      </c>
      <c r="N3" s="25">
        <v>6</v>
      </c>
      <c r="O3" s="25">
        <v>7</v>
      </c>
      <c r="P3" s="25">
        <v>0</v>
      </c>
      <c r="Q3" s="25">
        <v>9</v>
      </c>
      <c r="R3" s="52">
        <f t="shared" ref="R3" si="0">M3</f>
        <v>5</v>
      </c>
      <c r="S3" s="52">
        <f t="shared" ref="S3" si="1">N3</f>
        <v>6</v>
      </c>
      <c r="T3" s="52">
        <f t="shared" ref="T3" si="2">O3</f>
        <v>7</v>
      </c>
      <c r="U3" s="52">
        <f t="shared" ref="U3" si="3">P3</f>
        <v>0</v>
      </c>
      <c r="V3" s="52">
        <f t="shared" ref="V3" si="4">Q3</f>
        <v>9</v>
      </c>
      <c r="W3" s="129" t="s">
        <v>10</v>
      </c>
      <c r="X3" s="26"/>
    </row>
    <row r="4" spans="1:24" ht="150">
      <c r="A4" s="44">
        <v>2</v>
      </c>
      <c r="B4" s="45" t="s">
        <v>347</v>
      </c>
      <c r="C4" s="51" t="s">
        <v>348</v>
      </c>
      <c r="D4" s="47" t="s">
        <v>349</v>
      </c>
      <c r="E4" s="51" t="s">
        <v>350</v>
      </c>
      <c r="F4" s="44">
        <v>13</v>
      </c>
      <c r="G4" s="51" t="s">
        <v>352</v>
      </c>
      <c r="H4" s="119" t="s">
        <v>554</v>
      </c>
      <c r="I4" s="17"/>
      <c r="J4" s="44" t="s">
        <v>9</v>
      </c>
      <c r="K4" s="51" t="s">
        <v>128</v>
      </c>
      <c r="L4" s="47" t="s">
        <v>353</v>
      </c>
      <c r="M4" s="25"/>
      <c r="N4" s="25"/>
      <c r="O4" s="25"/>
      <c r="P4" s="25"/>
      <c r="Q4" s="25"/>
      <c r="R4" s="52">
        <f t="shared" ref="R4:V6" si="5">M4</f>
        <v>0</v>
      </c>
      <c r="S4" s="52">
        <f t="shared" si="5"/>
        <v>0</v>
      </c>
      <c r="T4" s="52">
        <f t="shared" si="5"/>
        <v>0</v>
      </c>
      <c r="U4" s="52">
        <f t="shared" si="5"/>
        <v>0</v>
      </c>
      <c r="V4" s="52">
        <f t="shared" si="5"/>
        <v>0</v>
      </c>
      <c r="W4" s="44" t="s">
        <v>182</v>
      </c>
      <c r="X4" s="26"/>
    </row>
    <row r="5" spans="1:24" ht="95.25" customHeight="1">
      <c r="A5" s="44">
        <v>3</v>
      </c>
      <c r="B5" s="45" t="s">
        <v>347</v>
      </c>
      <c r="C5" s="51" t="s">
        <v>348</v>
      </c>
      <c r="D5" s="47" t="s">
        <v>354</v>
      </c>
      <c r="E5" s="51" t="s">
        <v>355</v>
      </c>
      <c r="F5" s="45">
        <v>14</v>
      </c>
      <c r="G5" s="51" t="s">
        <v>356</v>
      </c>
      <c r="H5" s="19" t="s">
        <v>569</v>
      </c>
      <c r="I5" s="20"/>
      <c r="J5" s="45" t="s">
        <v>9</v>
      </c>
      <c r="K5" s="51" t="s">
        <v>128</v>
      </c>
      <c r="L5" s="47" t="s">
        <v>371</v>
      </c>
      <c r="M5" s="25"/>
      <c r="N5" s="25"/>
      <c r="O5" s="25"/>
      <c r="P5" s="25"/>
      <c r="Q5" s="25"/>
      <c r="R5" s="52">
        <f t="shared" si="5"/>
        <v>0</v>
      </c>
      <c r="S5" s="52">
        <f t="shared" si="5"/>
        <v>0</v>
      </c>
      <c r="T5" s="52">
        <f t="shared" si="5"/>
        <v>0</v>
      </c>
      <c r="U5" s="52">
        <f t="shared" si="5"/>
        <v>0</v>
      </c>
      <c r="V5" s="52">
        <f t="shared" si="5"/>
        <v>0</v>
      </c>
      <c r="W5" s="44" t="s">
        <v>182</v>
      </c>
      <c r="X5" s="26"/>
    </row>
    <row r="6" spans="1:24" ht="150">
      <c r="A6" s="44">
        <v>4</v>
      </c>
      <c r="B6" s="45" t="s">
        <v>347</v>
      </c>
      <c r="C6" s="51" t="s">
        <v>348</v>
      </c>
      <c r="D6" s="47" t="s">
        <v>354</v>
      </c>
      <c r="E6" s="51" t="s">
        <v>355</v>
      </c>
      <c r="F6" s="44">
        <v>15</v>
      </c>
      <c r="G6" s="51" t="s">
        <v>357</v>
      </c>
      <c r="H6" s="119" t="s">
        <v>555</v>
      </c>
      <c r="I6" s="17"/>
      <c r="J6" s="44" t="s">
        <v>9</v>
      </c>
      <c r="K6" s="51" t="s">
        <v>128</v>
      </c>
      <c r="L6" s="47" t="s">
        <v>358</v>
      </c>
      <c r="M6" s="25"/>
      <c r="N6" s="25"/>
      <c r="O6" s="25"/>
      <c r="P6" s="25"/>
      <c r="Q6" s="25"/>
      <c r="R6" s="52">
        <f t="shared" si="5"/>
        <v>0</v>
      </c>
      <c r="S6" s="52">
        <f t="shared" si="5"/>
        <v>0</v>
      </c>
      <c r="T6" s="52">
        <f t="shared" si="5"/>
        <v>0</v>
      </c>
      <c r="U6" s="52">
        <f t="shared" si="5"/>
        <v>0</v>
      </c>
      <c r="V6" s="52">
        <f t="shared" si="5"/>
        <v>0</v>
      </c>
      <c r="W6" s="44" t="s">
        <v>182</v>
      </c>
      <c r="X6" s="26"/>
    </row>
    <row r="7" spans="1:24" ht="117.75" customHeight="1">
      <c r="A7" s="216">
        <v>5</v>
      </c>
      <c r="B7" s="216" t="s">
        <v>347</v>
      </c>
      <c r="C7" s="239" t="s">
        <v>348</v>
      </c>
      <c r="D7" s="219" t="s">
        <v>359</v>
      </c>
      <c r="E7" s="239" t="s">
        <v>360</v>
      </c>
      <c r="F7" s="216">
        <v>18</v>
      </c>
      <c r="G7" s="239" t="s">
        <v>361</v>
      </c>
      <c r="H7" s="242" t="s">
        <v>556</v>
      </c>
      <c r="I7" s="220"/>
      <c r="J7" s="223" t="s">
        <v>12</v>
      </c>
      <c r="K7" s="239" t="s">
        <v>362</v>
      </c>
      <c r="L7" s="47" t="s">
        <v>363</v>
      </c>
      <c r="M7" s="25"/>
      <c r="N7" s="25"/>
      <c r="O7" s="25"/>
      <c r="P7" s="25"/>
      <c r="Q7" s="25"/>
      <c r="R7" s="215" t="str">
        <f t="shared" ref="R7:V7" si="6">IF(M8,M7/M8*100,"0")</f>
        <v>0</v>
      </c>
      <c r="S7" s="215" t="str">
        <f t="shared" si="6"/>
        <v>0</v>
      </c>
      <c r="T7" s="215" t="str">
        <f t="shared" si="6"/>
        <v>0</v>
      </c>
      <c r="U7" s="215" t="str">
        <f t="shared" si="6"/>
        <v>0</v>
      </c>
      <c r="V7" s="215" t="str">
        <f t="shared" si="6"/>
        <v>0</v>
      </c>
      <c r="W7" s="216" t="s">
        <v>182</v>
      </c>
      <c r="X7" s="224"/>
    </row>
    <row r="8" spans="1:24" ht="65.25" customHeight="1">
      <c r="A8" s="216"/>
      <c r="B8" s="216"/>
      <c r="C8" s="239"/>
      <c r="D8" s="219"/>
      <c r="E8" s="239"/>
      <c r="F8" s="216"/>
      <c r="G8" s="239"/>
      <c r="H8" s="242"/>
      <c r="I8" s="220"/>
      <c r="J8" s="223"/>
      <c r="K8" s="239"/>
      <c r="L8" s="47" t="s">
        <v>364</v>
      </c>
      <c r="M8" s="25"/>
      <c r="N8" s="25"/>
      <c r="O8" s="25"/>
      <c r="P8" s="25"/>
      <c r="Q8" s="25"/>
      <c r="R8" s="215"/>
      <c r="S8" s="215"/>
      <c r="T8" s="215"/>
      <c r="U8" s="215"/>
      <c r="V8" s="215"/>
      <c r="W8" s="216"/>
      <c r="X8" s="224"/>
    </row>
    <row r="9" spans="1:24" ht="150">
      <c r="A9" s="44">
        <v>6</v>
      </c>
      <c r="B9" s="45" t="s">
        <v>347</v>
      </c>
      <c r="C9" s="51" t="s">
        <v>348</v>
      </c>
      <c r="D9" s="47" t="s">
        <v>365</v>
      </c>
      <c r="E9" s="51" t="s">
        <v>366</v>
      </c>
      <c r="F9" s="44">
        <v>3</v>
      </c>
      <c r="G9" s="51" t="s">
        <v>367</v>
      </c>
      <c r="H9" s="120" t="s">
        <v>557</v>
      </c>
      <c r="I9" s="20"/>
      <c r="J9" s="44" t="s">
        <v>9</v>
      </c>
      <c r="K9" s="51" t="s">
        <v>128</v>
      </c>
      <c r="L9" s="46" t="s">
        <v>368</v>
      </c>
      <c r="M9" s="25"/>
      <c r="N9" s="25"/>
      <c r="O9" s="25"/>
      <c r="P9" s="25"/>
      <c r="Q9" s="25"/>
      <c r="R9" s="52">
        <f t="shared" ref="R9:V10" si="7">M9</f>
        <v>0</v>
      </c>
      <c r="S9" s="52">
        <f t="shared" si="7"/>
        <v>0</v>
      </c>
      <c r="T9" s="52">
        <f t="shared" si="7"/>
        <v>0</v>
      </c>
      <c r="U9" s="52">
        <f t="shared" si="7"/>
        <v>0</v>
      </c>
      <c r="V9" s="52">
        <f t="shared" si="7"/>
        <v>0</v>
      </c>
      <c r="W9" s="44" t="s">
        <v>182</v>
      </c>
      <c r="X9" s="26"/>
    </row>
    <row r="10" spans="1:24" ht="150">
      <c r="A10" s="44">
        <v>7</v>
      </c>
      <c r="B10" s="45" t="s">
        <v>347</v>
      </c>
      <c r="C10" s="51" t="s">
        <v>348</v>
      </c>
      <c r="D10" s="47" t="s">
        <v>365</v>
      </c>
      <c r="E10" s="51" t="s">
        <v>366</v>
      </c>
      <c r="F10" s="44">
        <v>5</v>
      </c>
      <c r="G10" s="51" t="s">
        <v>369</v>
      </c>
      <c r="H10" s="119" t="s">
        <v>558</v>
      </c>
      <c r="I10" s="17"/>
      <c r="J10" s="44" t="s">
        <v>9</v>
      </c>
      <c r="K10" s="51" t="s">
        <v>128</v>
      </c>
      <c r="L10" s="47" t="s">
        <v>370</v>
      </c>
      <c r="M10" s="25"/>
      <c r="N10" s="25"/>
      <c r="O10" s="25"/>
      <c r="P10" s="25"/>
      <c r="Q10" s="25"/>
      <c r="R10" s="52">
        <f t="shared" si="7"/>
        <v>0</v>
      </c>
      <c r="S10" s="52">
        <f t="shared" si="7"/>
        <v>0</v>
      </c>
      <c r="T10" s="52">
        <f t="shared" si="7"/>
        <v>0</v>
      </c>
      <c r="U10" s="52">
        <f t="shared" si="7"/>
        <v>0</v>
      </c>
      <c r="V10" s="52">
        <f t="shared" si="7"/>
        <v>0</v>
      </c>
      <c r="W10" s="44" t="s">
        <v>182</v>
      </c>
      <c r="X10" s="26"/>
    </row>
  </sheetData>
  <sheetProtection algorithmName="SHA-512" hashValue="dBqoq/Mz48HYIhJZKd9MfsPKRJtzzFr4qETawanCoYfkVI1+btOdC0NLuBgwnr9gqS6OjAmJxfAt8bsTSQftJQ==" saltValue="eskxjDV5J4yog01K3hF9TQ==" spinCount="100000" sheet="1" objects="1" scenarios="1" formatCells="0" formatColumns="0" formatRows="0"/>
  <mergeCells count="34">
    <mergeCell ref="D1:D2"/>
    <mergeCell ref="E1:E2"/>
    <mergeCell ref="F1:F2"/>
    <mergeCell ref="W1:W2"/>
    <mergeCell ref="M1:Q1"/>
    <mergeCell ref="R1:V1"/>
    <mergeCell ref="X1:X2"/>
    <mergeCell ref="H1:H2"/>
    <mergeCell ref="I1:I2"/>
    <mergeCell ref="J1:J2"/>
    <mergeCell ref="K1:K2"/>
    <mergeCell ref="L1:L2"/>
    <mergeCell ref="W7:W8"/>
    <mergeCell ref="X7:X8"/>
    <mergeCell ref="U7:U8"/>
    <mergeCell ref="T7:T8"/>
    <mergeCell ref="S7:S8"/>
    <mergeCell ref="V7:V8"/>
    <mergeCell ref="A1:A2"/>
    <mergeCell ref="A7:A8"/>
    <mergeCell ref="R7:R8"/>
    <mergeCell ref="G7:G8"/>
    <mergeCell ref="F7:F8"/>
    <mergeCell ref="E7:E8"/>
    <mergeCell ref="D7:D8"/>
    <mergeCell ref="C7:C8"/>
    <mergeCell ref="B7:B8"/>
    <mergeCell ref="K7:K8"/>
    <mergeCell ref="J7:J8"/>
    <mergeCell ref="I7:I8"/>
    <mergeCell ref="H7:H8"/>
    <mergeCell ref="C1:C2"/>
    <mergeCell ref="G1:G2"/>
    <mergeCell ref="B1:B2"/>
  </mergeCells>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97D8-BE53-4739-816A-0A0D02B4D488}">
  <dimension ref="A1:X13"/>
  <sheetViews>
    <sheetView topLeftCell="E1" zoomScale="85" zoomScaleNormal="85" workbookViewId="0">
      <selection activeCell="M2" sqref="M2"/>
    </sheetView>
  </sheetViews>
  <sheetFormatPr baseColWidth="10" defaultRowHeight="15"/>
  <cols>
    <col min="1" max="1" width="11.5703125" style="14"/>
    <col min="2" max="2" width="16.7109375" bestFit="1" customWidth="1"/>
    <col min="3" max="3" width="28.42578125" customWidth="1"/>
    <col min="5" max="5" width="28.42578125" style="22" customWidth="1"/>
    <col min="6" max="6" width="11.42578125" style="1"/>
    <col min="7" max="8" width="28.42578125" customWidth="1"/>
    <col min="9" max="9" width="45.7109375" customWidth="1"/>
    <col min="11" max="11" width="28.42578125" customWidth="1"/>
    <col min="12" max="12" width="28.42578125" style="23" customWidth="1"/>
    <col min="13" max="22" width="11.42578125" style="1"/>
    <col min="24" max="24" width="29" customWidth="1"/>
  </cols>
  <sheetData>
    <row r="1" spans="1:24" s="1" customFormat="1" ht="18.75" customHeight="1">
      <c r="A1" s="195" t="s">
        <v>437</v>
      </c>
      <c r="B1" s="195" t="s">
        <v>30</v>
      </c>
      <c r="C1" s="195" t="s">
        <v>31</v>
      </c>
      <c r="D1" s="195" t="s">
        <v>32</v>
      </c>
      <c r="E1" s="195" t="s">
        <v>33</v>
      </c>
      <c r="F1" s="195" t="s">
        <v>106</v>
      </c>
      <c r="G1" s="195" t="s">
        <v>0</v>
      </c>
      <c r="H1" s="208" t="s">
        <v>464</v>
      </c>
      <c r="I1" s="199" t="s">
        <v>1</v>
      </c>
      <c r="J1" s="195" t="s">
        <v>2</v>
      </c>
      <c r="K1" s="196" t="s">
        <v>34</v>
      </c>
      <c r="L1" s="237" t="s">
        <v>3</v>
      </c>
      <c r="M1" s="191" t="s">
        <v>4</v>
      </c>
      <c r="N1" s="191"/>
      <c r="O1" s="191"/>
      <c r="P1" s="191"/>
      <c r="Q1" s="192"/>
      <c r="R1" s="206" t="s">
        <v>5</v>
      </c>
      <c r="S1" s="206"/>
      <c r="T1" s="206"/>
      <c r="U1" s="206"/>
      <c r="V1" s="207"/>
      <c r="W1" s="196" t="s">
        <v>6</v>
      </c>
      <c r="X1" s="197" t="s">
        <v>7</v>
      </c>
    </row>
    <row r="2" spans="1:24" s="1" customFormat="1" ht="24">
      <c r="A2" s="195"/>
      <c r="B2" s="195"/>
      <c r="C2" s="195"/>
      <c r="D2" s="195"/>
      <c r="E2" s="195"/>
      <c r="F2" s="195"/>
      <c r="G2" s="195"/>
      <c r="H2" s="208"/>
      <c r="I2" s="199"/>
      <c r="J2" s="195"/>
      <c r="K2" s="196"/>
      <c r="L2" s="237"/>
      <c r="M2" s="5" t="s">
        <v>629</v>
      </c>
      <c r="N2" s="5">
        <v>2027</v>
      </c>
      <c r="O2" s="5">
        <v>2028</v>
      </c>
      <c r="P2" s="5">
        <v>2029</v>
      </c>
      <c r="Q2" s="5">
        <v>2030</v>
      </c>
      <c r="R2" s="50" t="s">
        <v>629</v>
      </c>
      <c r="S2" s="50">
        <v>2027</v>
      </c>
      <c r="T2" s="50">
        <v>2028</v>
      </c>
      <c r="U2" s="50">
        <v>2029</v>
      </c>
      <c r="V2" s="50">
        <v>2030</v>
      </c>
      <c r="W2" s="196"/>
      <c r="X2" s="197"/>
    </row>
    <row r="3" spans="1:24" ht="225">
      <c r="A3" s="44">
        <v>1</v>
      </c>
      <c r="B3" s="45" t="s">
        <v>372</v>
      </c>
      <c r="C3" s="46" t="s">
        <v>373</v>
      </c>
      <c r="D3" s="47" t="s">
        <v>374</v>
      </c>
      <c r="E3" s="48" t="s">
        <v>441</v>
      </c>
      <c r="F3" s="44">
        <v>2</v>
      </c>
      <c r="G3" s="47" t="s">
        <v>375</v>
      </c>
      <c r="H3" s="121" t="s">
        <v>559</v>
      </c>
      <c r="I3" s="17"/>
      <c r="J3" s="44" t="s">
        <v>9</v>
      </c>
      <c r="K3" s="47" t="s">
        <v>128</v>
      </c>
      <c r="L3" s="51" t="s">
        <v>376</v>
      </c>
      <c r="M3" s="25"/>
      <c r="N3" s="25"/>
      <c r="O3" s="25"/>
      <c r="P3" s="25"/>
      <c r="Q3" s="25"/>
      <c r="R3" s="52">
        <f t="shared" ref="R3:V8" si="0">M3</f>
        <v>0</v>
      </c>
      <c r="S3" s="52">
        <f t="shared" si="0"/>
        <v>0</v>
      </c>
      <c r="T3" s="52">
        <f t="shared" si="0"/>
        <v>0</v>
      </c>
      <c r="U3" s="52">
        <f t="shared" si="0"/>
        <v>0</v>
      </c>
      <c r="V3" s="52">
        <f t="shared" si="0"/>
        <v>0</v>
      </c>
      <c r="W3" s="44" t="s">
        <v>10</v>
      </c>
      <c r="X3" s="26"/>
    </row>
    <row r="4" spans="1:24" ht="225">
      <c r="A4" s="44">
        <v>2</v>
      </c>
      <c r="B4" s="45" t="s">
        <v>372</v>
      </c>
      <c r="C4" s="46" t="s">
        <v>373</v>
      </c>
      <c r="D4" s="47" t="s">
        <v>374</v>
      </c>
      <c r="E4" s="48" t="s">
        <v>441</v>
      </c>
      <c r="F4" s="44">
        <v>6</v>
      </c>
      <c r="G4" s="47" t="s">
        <v>377</v>
      </c>
      <c r="H4" s="121" t="s">
        <v>560</v>
      </c>
      <c r="I4" s="17"/>
      <c r="J4" s="44" t="s">
        <v>9</v>
      </c>
      <c r="K4" s="47" t="s">
        <v>128</v>
      </c>
      <c r="L4" s="51" t="s">
        <v>378</v>
      </c>
      <c r="M4" s="25"/>
      <c r="N4" s="25"/>
      <c r="O4" s="25"/>
      <c r="P4" s="25"/>
      <c r="Q4" s="25"/>
      <c r="R4" s="52">
        <f t="shared" si="0"/>
        <v>0</v>
      </c>
      <c r="S4" s="52">
        <f t="shared" si="0"/>
        <v>0</v>
      </c>
      <c r="T4" s="52">
        <f t="shared" si="0"/>
        <v>0</v>
      </c>
      <c r="U4" s="52">
        <f t="shared" si="0"/>
        <v>0</v>
      </c>
      <c r="V4" s="52">
        <f t="shared" si="0"/>
        <v>0</v>
      </c>
      <c r="W4" s="44" t="s">
        <v>10</v>
      </c>
      <c r="X4" s="26"/>
    </row>
    <row r="5" spans="1:24" ht="225">
      <c r="A5" s="44">
        <v>3</v>
      </c>
      <c r="B5" s="45" t="s">
        <v>372</v>
      </c>
      <c r="C5" s="46" t="s">
        <v>373</v>
      </c>
      <c r="D5" s="47" t="s">
        <v>379</v>
      </c>
      <c r="E5" s="48" t="s">
        <v>440</v>
      </c>
      <c r="F5" s="44">
        <v>12</v>
      </c>
      <c r="G5" s="47" t="s">
        <v>380</v>
      </c>
      <c r="H5" s="121" t="s">
        <v>561</v>
      </c>
      <c r="I5" s="17"/>
      <c r="J5" s="44" t="s">
        <v>9</v>
      </c>
      <c r="K5" s="47" t="s">
        <v>128</v>
      </c>
      <c r="L5" s="51" t="s">
        <v>381</v>
      </c>
      <c r="M5" s="25"/>
      <c r="N5" s="25"/>
      <c r="O5" s="25"/>
      <c r="P5" s="25"/>
      <c r="Q5" s="25"/>
      <c r="R5" s="52">
        <f t="shared" si="0"/>
        <v>0</v>
      </c>
      <c r="S5" s="52">
        <f t="shared" si="0"/>
        <v>0</v>
      </c>
      <c r="T5" s="52">
        <f t="shared" si="0"/>
        <v>0</v>
      </c>
      <c r="U5" s="52">
        <f t="shared" si="0"/>
        <v>0</v>
      </c>
      <c r="V5" s="52">
        <f t="shared" si="0"/>
        <v>0</v>
      </c>
      <c r="W5" s="44" t="s">
        <v>10</v>
      </c>
      <c r="X5" s="26"/>
    </row>
    <row r="6" spans="1:24" ht="225">
      <c r="A6" s="44">
        <v>4</v>
      </c>
      <c r="B6" s="45" t="s">
        <v>372</v>
      </c>
      <c r="C6" s="46" t="s">
        <v>373</v>
      </c>
      <c r="D6" s="47" t="s">
        <v>379</v>
      </c>
      <c r="E6" s="48" t="s">
        <v>440</v>
      </c>
      <c r="F6" s="44">
        <v>14</v>
      </c>
      <c r="G6" s="47" t="s">
        <v>382</v>
      </c>
      <c r="H6" s="122" t="s">
        <v>562</v>
      </c>
      <c r="I6" s="20"/>
      <c r="J6" s="44" t="s">
        <v>9</v>
      </c>
      <c r="K6" s="47" t="s">
        <v>128</v>
      </c>
      <c r="L6" s="51" t="s">
        <v>383</v>
      </c>
      <c r="M6" s="25"/>
      <c r="N6" s="25"/>
      <c r="O6" s="25"/>
      <c r="P6" s="25"/>
      <c r="Q6" s="25"/>
      <c r="R6" s="52">
        <f t="shared" si="0"/>
        <v>0</v>
      </c>
      <c r="S6" s="52">
        <f t="shared" si="0"/>
        <v>0</v>
      </c>
      <c r="T6" s="52">
        <f t="shared" si="0"/>
        <v>0</v>
      </c>
      <c r="U6" s="52">
        <f t="shared" si="0"/>
        <v>0</v>
      </c>
      <c r="V6" s="52">
        <f t="shared" si="0"/>
        <v>0</v>
      </c>
      <c r="W6" s="44" t="s">
        <v>10</v>
      </c>
      <c r="X6" s="26"/>
    </row>
    <row r="7" spans="1:24" ht="225">
      <c r="A7" s="44">
        <v>5</v>
      </c>
      <c r="B7" s="45" t="s">
        <v>372</v>
      </c>
      <c r="C7" s="46" t="s">
        <v>373</v>
      </c>
      <c r="D7" s="47" t="s">
        <v>379</v>
      </c>
      <c r="E7" s="48" t="s">
        <v>440</v>
      </c>
      <c r="F7" s="44">
        <v>15</v>
      </c>
      <c r="G7" s="47" t="s">
        <v>384</v>
      </c>
      <c r="H7" s="121" t="s">
        <v>563</v>
      </c>
      <c r="I7" s="17"/>
      <c r="J7" s="44" t="s">
        <v>9</v>
      </c>
      <c r="K7" s="47" t="s">
        <v>128</v>
      </c>
      <c r="L7" s="51" t="s">
        <v>385</v>
      </c>
      <c r="M7" s="25"/>
      <c r="N7" s="25"/>
      <c r="O7" s="25"/>
      <c r="P7" s="25"/>
      <c r="Q7" s="25"/>
      <c r="R7" s="52">
        <f t="shared" si="0"/>
        <v>0</v>
      </c>
      <c r="S7" s="52">
        <f t="shared" si="0"/>
        <v>0</v>
      </c>
      <c r="T7" s="52">
        <f t="shared" si="0"/>
        <v>0</v>
      </c>
      <c r="U7" s="52">
        <f t="shared" si="0"/>
        <v>0</v>
      </c>
      <c r="V7" s="52">
        <f t="shared" si="0"/>
        <v>0</v>
      </c>
      <c r="W7" s="44" t="s">
        <v>10</v>
      </c>
      <c r="X7" s="26"/>
    </row>
    <row r="8" spans="1:24" ht="225">
      <c r="A8" s="44">
        <v>6</v>
      </c>
      <c r="B8" s="45" t="s">
        <v>372</v>
      </c>
      <c r="C8" s="46" t="s">
        <v>373</v>
      </c>
      <c r="D8" s="47" t="s">
        <v>379</v>
      </c>
      <c r="E8" s="48" t="s">
        <v>440</v>
      </c>
      <c r="F8" s="44">
        <v>16</v>
      </c>
      <c r="G8" s="47" t="s">
        <v>386</v>
      </c>
      <c r="H8" s="121" t="s">
        <v>564</v>
      </c>
      <c r="I8" s="17"/>
      <c r="J8" s="44" t="s">
        <v>9</v>
      </c>
      <c r="K8" s="47" t="s">
        <v>128</v>
      </c>
      <c r="L8" s="51" t="s">
        <v>387</v>
      </c>
      <c r="M8" s="25"/>
      <c r="N8" s="25"/>
      <c r="O8" s="25"/>
      <c r="P8" s="25"/>
      <c r="Q8" s="25"/>
      <c r="R8" s="52">
        <f t="shared" si="0"/>
        <v>0</v>
      </c>
      <c r="S8" s="52">
        <f t="shared" si="0"/>
        <v>0</v>
      </c>
      <c r="T8" s="52">
        <f t="shared" si="0"/>
        <v>0</v>
      </c>
      <c r="U8" s="52">
        <f t="shared" si="0"/>
        <v>0</v>
      </c>
      <c r="V8" s="52">
        <f t="shared" si="0"/>
        <v>0</v>
      </c>
      <c r="W8" s="44" t="s">
        <v>10</v>
      </c>
      <c r="X8" s="26"/>
    </row>
    <row r="9" spans="1:24" ht="83.25" customHeight="1">
      <c r="A9" s="216">
        <v>7</v>
      </c>
      <c r="B9" s="216" t="s">
        <v>372</v>
      </c>
      <c r="C9" s="243" t="s">
        <v>373</v>
      </c>
      <c r="D9" s="219" t="s">
        <v>388</v>
      </c>
      <c r="E9" s="218" t="s">
        <v>389</v>
      </c>
      <c r="F9" s="216">
        <v>20</v>
      </c>
      <c r="G9" s="219" t="s">
        <v>390</v>
      </c>
      <c r="H9" s="155" t="s">
        <v>565</v>
      </c>
      <c r="I9" s="220"/>
      <c r="J9" s="223" t="s">
        <v>12</v>
      </c>
      <c r="K9" s="219" t="s">
        <v>391</v>
      </c>
      <c r="L9" s="51" t="s">
        <v>392</v>
      </c>
      <c r="M9" s="25"/>
      <c r="N9" s="25"/>
      <c r="O9" s="25"/>
      <c r="P9" s="25"/>
      <c r="Q9" s="25"/>
      <c r="R9" s="215" t="str">
        <f t="shared" ref="R9:V9" si="1">IF(M10,((M9/M10)-1)*100,"0")</f>
        <v>0</v>
      </c>
      <c r="S9" s="215" t="str">
        <f t="shared" si="1"/>
        <v>0</v>
      </c>
      <c r="T9" s="215" t="str">
        <f t="shared" si="1"/>
        <v>0</v>
      </c>
      <c r="U9" s="215" t="str">
        <f t="shared" si="1"/>
        <v>0</v>
      </c>
      <c r="V9" s="215" t="str">
        <f t="shared" si="1"/>
        <v>0</v>
      </c>
      <c r="W9" s="216" t="s">
        <v>10</v>
      </c>
      <c r="X9" s="224"/>
    </row>
    <row r="10" spans="1:24" ht="83.25" customHeight="1">
      <c r="A10" s="216"/>
      <c r="B10" s="216"/>
      <c r="C10" s="243"/>
      <c r="D10" s="219"/>
      <c r="E10" s="218"/>
      <c r="F10" s="216"/>
      <c r="G10" s="219"/>
      <c r="H10" s="158"/>
      <c r="I10" s="220"/>
      <c r="J10" s="223"/>
      <c r="K10" s="219"/>
      <c r="L10" s="51" t="s">
        <v>393</v>
      </c>
      <c r="M10" s="25"/>
      <c r="N10" s="25"/>
      <c r="O10" s="25"/>
      <c r="P10" s="25"/>
      <c r="Q10" s="25"/>
      <c r="R10" s="215"/>
      <c r="S10" s="215"/>
      <c r="T10" s="215"/>
      <c r="U10" s="215"/>
      <c r="V10" s="215"/>
      <c r="W10" s="216"/>
      <c r="X10" s="224"/>
    </row>
    <row r="11" spans="1:24" ht="225">
      <c r="A11" s="44">
        <v>8</v>
      </c>
      <c r="B11" s="45" t="s">
        <v>372</v>
      </c>
      <c r="C11" s="46" t="s">
        <v>373</v>
      </c>
      <c r="D11" s="47" t="s">
        <v>388</v>
      </c>
      <c r="E11" s="48" t="s">
        <v>439</v>
      </c>
      <c r="F11" s="44">
        <v>25</v>
      </c>
      <c r="G11" s="47" t="s">
        <v>394</v>
      </c>
      <c r="H11" s="123" t="s">
        <v>566</v>
      </c>
      <c r="I11" s="17"/>
      <c r="J11" s="44" t="s">
        <v>9</v>
      </c>
      <c r="K11" s="47" t="s">
        <v>128</v>
      </c>
      <c r="L11" s="51" t="s">
        <v>395</v>
      </c>
      <c r="M11" s="25"/>
      <c r="N11" s="25"/>
      <c r="O11" s="25"/>
      <c r="P11" s="25"/>
      <c r="Q11" s="25"/>
      <c r="R11" s="52">
        <f t="shared" ref="R11:V13" si="2">M11</f>
        <v>0</v>
      </c>
      <c r="S11" s="52">
        <f t="shared" si="2"/>
        <v>0</v>
      </c>
      <c r="T11" s="52">
        <f t="shared" si="2"/>
        <v>0</v>
      </c>
      <c r="U11" s="52">
        <f t="shared" si="2"/>
        <v>0</v>
      </c>
      <c r="V11" s="52">
        <f t="shared" si="2"/>
        <v>0</v>
      </c>
      <c r="W11" s="44" t="s">
        <v>10</v>
      </c>
      <c r="X11" s="26"/>
    </row>
    <row r="12" spans="1:24" ht="225">
      <c r="A12" s="44">
        <v>9</v>
      </c>
      <c r="B12" s="45" t="s">
        <v>372</v>
      </c>
      <c r="C12" s="46" t="s">
        <v>373</v>
      </c>
      <c r="D12" s="47" t="s">
        <v>396</v>
      </c>
      <c r="E12" s="48" t="s">
        <v>397</v>
      </c>
      <c r="F12" s="44">
        <v>37</v>
      </c>
      <c r="G12" s="47" t="s">
        <v>398</v>
      </c>
      <c r="H12" s="121" t="s">
        <v>567</v>
      </c>
      <c r="I12" s="17"/>
      <c r="J12" s="44" t="s">
        <v>9</v>
      </c>
      <c r="K12" s="47" t="s">
        <v>128</v>
      </c>
      <c r="L12" s="51" t="s">
        <v>399</v>
      </c>
      <c r="M12" s="25"/>
      <c r="N12" s="25"/>
      <c r="O12" s="25"/>
      <c r="P12" s="25"/>
      <c r="Q12" s="25"/>
      <c r="R12" s="52">
        <f t="shared" si="2"/>
        <v>0</v>
      </c>
      <c r="S12" s="52">
        <f t="shared" si="2"/>
        <v>0</v>
      </c>
      <c r="T12" s="52">
        <f t="shared" si="2"/>
        <v>0</v>
      </c>
      <c r="U12" s="52">
        <f t="shared" si="2"/>
        <v>0</v>
      </c>
      <c r="V12" s="52">
        <f t="shared" si="2"/>
        <v>0</v>
      </c>
      <c r="W12" s="44" t="s">
        <v>10</v>
      </c>
      <c r="X12" s="26"/>
    </row>
    <row r="13" spans="1:24" ht="97.5" customHeight="1">
      <c r="A13" s="44">
        <v>10</v>
      </c>
      <c r="B13" s="45" t="s">
        <v>372</v>
      </c>
      <c r="C13" s="46" t="s">
        <v>373</v>
      </c>
      <c r="D13" s="47" t="s">
        <v>400</v>
      </c>
      <c r="E13" s="48" t="s">
        <v>401</v>
      </c>
      <c r="F13" s="44">
        <v>42</v>
      </c>
      <c r="G13" s="47" t="s">
        <v>402</v>
      </c>
      <c r="H13" s="17" t="s">
        <v>568</v>
      </c>
      <c r="I13" s="17"/>
      <c r="J13" s="45" t="s">
        <v>9</v>
      </c>
      <c r="K13" s="47" t="s">
        <v>128</v>
      </c>
      <c r="L13" s="51" t="s">
        <v>438</v>
      </c>
      <c r="M13" s="25"/>
      <c r="N13" s="25"/>
      <c r="O13" s="25"/>
      <c r="P13" s="25"/>
      <c r="Q13" s="25"/>
      <c r="R13" s="52">
        <f t="shared" si="2"/>
        <v>0</v>
      </c>
      <c r="S13" s="52">
        <f t="shared" si="2"/>
        <v>0</v>
      </c>
      <c r="T13" s="52">
        <f t="shared" si="2"/>
        <v>0</v>
      </c>
      <c r="U13" s="52">
        <f t="shared" si="2"/>
        <v>0</v>
      </c>
      <c r="V13" s="52">
        <f t="shared" si="2"/>
        <v>0</v>
      </c>
      <c r="W13" s="45" t="s">
        <v>10</v>
      </c>
      <c r="X13" s="26"/>
    </row>
  </sheetData>
  <sheetProtection algorithmName="SHA-512" hashValue="graHDEw5qrcUXUtd24DXguhcjiD8+8Bru6TWUl9B1n135PqVeKBW38qzA+IGPAdQwiO5GZH8eBHAOVnleUD4hQ==" saltValue="jzoMPrRTBdF7+0DhNNmOiA==" spinCount="100000" sheet="1" formatCells="0" formatColumns="0" formatRows="0"/>
  <autoFilter ref="A1:X13" xr:uid="{6CBE97D8-BE53-4739-816A-0A0D02B4D488}">
    <filterColumn colId="12" showButton="0"/>
    <filterColumn colId="13" showButton="0"/>
    <filterColumn colId="14" showButton="0"/>
    <filterColumn colId="15" showButton="0"/>
    <filterColumn colId="17" showButton="0"/>
    <filterColumn colId="18" showButton="0"/>
    <filterColumn colId="19" showButton="0"/>
    <filterColumn colId="20" showButton="0"/>
  </autoFilter>
  <mergeCells count="34">
    <mergeCell ref="H9:H10"/>
    <mergeCell ref="I9:I10"/>
    <mergeCell ref="J9:J10"/>
    <mergeCell ref="K9:K10"/>
    <mergeCell ref="X9:X10"/>
    <mergeCell ref="R9:R10"/>
    <mergeCell ref="S9:S10"/>
    <mergeCell ref="T9:T10"/>
    <mergeCell ref="U9:U10"/>
    <mergeCell ref="W9:W10"/>
    <mergeCell ref="V9:V10"/>
    <mergeCell ref="W1:W2"/>
    <mergeCell ref="X1:X2"/>
    <mergeCell ref="H1:H2"/>
    <mergeCell ref="I1:I2"/>
    <mergeCell ref="J1:J2"/>
    <mergeCell ref="K1:K2"/>
    <mergeCell ref="L1:L2"/>
    <mergeCell ref="M1:Q1"/>
    <mergeCell ref="R1:V1"/>
    <mergeCell ref="A1:A2"/>
    <mergeCell ref="A9:A10"/>
    <mergeCell ref="G1:G2"/>
    <mergeCell ref="B9:B10"/>
    <mergeCell ref="C9:C10"/>
    <mergeCell ref="D9:D10"/>
    <mergeCell ref="E9:E10"/>
    <mergeCell ref="F9:F10"/>
    <mergeCell ref="G9:G10"/>
    <mergeCell ref="B1:B2"/>
    <mergeCell ref="C1:C2"/>
    <mergeCell ref="D1:D2"/>
    <mergeCell ref="E1:E2"/>
    <mergeCell ref="F1:F2"/>
  </mergeCells>
  <phoneticPr fontId="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00A4B-F336-4F5B-AB8C-C59C4035941A}">
  <dimension ref="A1:X3"/>
  <sheetViews>
    <sheetView topLeftCell="G1" zoomScale="91" zoomScaleNormal="91" workbookViewId="0">
      <selection activeCell="R1" sqref="R1:V1"/>
    </sheetView>
  </sheetViews>
  <sheetFormatPr baseColWidth="10" defaultRowHeight="15"/>
  <cols>
    <col min="3" max="3" width="31.28515625" customWidth="1"/>
    <col min="5" max="5" width="31.28515625" customWidth="1"/>
    <col min="7" max="8" width="31.28515625" customWidth="1"/>
    <col min="9" max="9" width="45.7109375" customWidth="1"/>
    <col min="11" max="12" width="31.28515625" customWidth="1"/>
    <col min="24" max="24" width="29" customWidth="1"/>
  </cols>
  <sheetData>
    <row r="1" spans="1:24" ht="18.75" customHeight="1">
      <c r="A1" s="195" t="s">
        <v>437</v>
      </c>
      <c r="B1" s="195" t="s">
        <v>30</v>
      </c>
      <c r="C1" s="238" t="s">
        <v>31</v>
      </c>
      <c r="D1" s="195" t="s">
        <v>32</v>
      </c>
      <c r="E1" s="238" t="s">
        <v>33</v>
      </c>
      <c r="F1" s="195" t="s">
        <v>106</v>
      </c>
      <c r="G1" s="238" t="s">
        <v>0</v>
      </c>
      <c r="H1" s="238" t="s">
        <v>464</v>
      </c>
      <c r="I1" s="245" t="s">
        <v>1</v>
      </c>
      <c r="J1" s="195" t="s">
        <v>2</v>
      </c>
      <c r="K1" s="237" t="s">
        <v>34</v>
      </c>
      <c r="L1" s="222" t="s">
        <v>3</v>
      </c>
      <c r="M1" s="191" t="s">
        <v>4</v>
      </c>
      <c r="N1" s="191"/>
      <c r="O1" s="191"/>
      <c r="P1" s="191"/>
      <c r="Q1" s="192"/>
      <c r="R1" s="206" t="s">
        <v>5</v>
      </c>
      <c r="S1" s="206"/>
      <c r="T1" s="206"/>
      <c r="U1" s="206"/>
      <c r="V1" s="207"/>
      <c r="W1" s="196" t="s">
        <v>6</v>
      </c>
      <c r="X1" s="244" t="s">
        <v>7</v>
      </c>
    </row>
    <row r="2" spans="1:24" ht="24">
      <c r="A2" s="195"/>
      <c r="B2" s="195"/>
      <c r="C2" s="238"/>
      <c r="D2" s="195"/>
      <c r="E2" s="238"/>
      <c r="F2" s="195"/>
      <c r="G2" s="238"/>
      <c r="H2" s="238"/>
      <c r="I2" s="245"/>
      <c r="J2" s="195"/>
      <c r="K2" s="237"/>
      <c r="L2" s="222"/>
      <c r="M2" s="5" t="s">
        <v>629</v>
      </c>
      <c r="N2" s="5">
        <v>2027</v>
      </c>
      <c r="O2" s="5">
        <v>2028</v>
      </c>
      <c r="P2" s="5">
        <v>2029</v>
      </c>
      <c r="Q2" s="5">
        <v>2030</v>
      </c>
      <c r="R2" s="50" t="s">
        <v>629</v>
      </c>
      <c r="S2" s="50">
        <v>2027</v>
      </c>
      <c r="T2" s="50">
        <v>2028</v>
      </c>
      <c r="U2" s="50">
        <v>2029</v>
      </c>
      <c r="V2" s="50">
        <v>2030</v>
      </c>
      <c r="W2" s="196"/>
      <c r="X2" s="244"/>
    </row>
    <row r="3" spans="1:24" ht="165">
      <c r="A3" s="44">
        <v>1</v>
      </c>
      <c r="B3" s="45" t="s">
        <v>403</v>
      </c>
      <c r="C3" s="46" t="s">
        <v>404</v>
      </c>
      <c r="D3" s="47" t="s">
        <v>405</v>
      </c>
      <c r="E3" s="46" t="s">
        <v>406</v>
      </c>
      <c r="F3" s="44">
        <v>2</v>
      </c>
      <c r="G3" s="47" t="s">
        <v>407</v>
      </c>
      <c r="H3" s="122" t="s">
        <v>570</v>
      </c>
      <c r="I3" s="20"/>
      <c r="J3" s="44" t="s">
        <v>9</v>
      </c>
      <c r="K3" s="47" t="s">
        <v>128</v>
      </c>
      <c r="L3" s="89" t="s">
        <v>608</v>
      </c>
      <c r="M3" s="26"/>
      <c r="N3" s="26"/>
      <c r="O3" s="26"/>
      <c r="P3" s="26"/>
      <c r="Q3" s="26"/>
      <c r="R3" s="52">
        <f t="shared" ref="R3:V3" si="0">M3</f>
        <v>0</v>
      </c>
      <c r="S3" s="52">
        <f t="shared" si="0"/>
        <v>0</v>
      </c>
      <c r="T3" s="52">
        <f t="shared" si="0"/>
        <v>0</v>
      </c>
      <c r="U3" s="52">
        <f t="shared" si="0"/>
        <v>0</v>
      </c>
      <c r="V3" s="52">
        <f t="shared" si="0"/>
        <v>0</v>
      </c>
      <c r="W3" s="44" t="s">
        <v>182</v>
      </c>
      <c r="X3" s="26"/>
    </row>
  </sheetData>
  <sheetProtection algorithmName="SHA-512" hashValue="ARN1TEMZjyYSr1t7S4GjGAx8N6LFJelTTMCuTVIQ7kjkDqvLKGxVkw3Yt9Q2OExVMc/0Zbo1Am+FwsdnKheEWg==" saltValue="Kxmr+mlcGt08Le4C2ES7OA==" spinCount="100000" sheet="1" formatCells="0" formatColumns="0" formatRows="0"/>
  <mergeCells count="16">
    <mergeCell ref="A1:A2"/>
    <mergeCell ref="G1:G2"/>
    <mergeCell ref="B1:B2"/>
    <mergeCell ref="C1:C2"/>
    <mergeCell ref="D1:D2"/>
    <mergeCell ref="E1:E2"/>
    <mergeCell ref="F1:F2"/>
    <mergeCell ref="W1:W2"/>
    <mergeCell ref="X1:X2"/>
    <mergeCell ref="H1:H2"/>
    <mergeCell ref="I1:I2"/>
    <mergeCell ref="J1:J2"/>
    <mergeCell ref="K1:K2"/>
    <mergeCell ref="L1:L2"/>
    <mergeCell ref="M1:Q1"/>
    <mergeCell ref="R1:V1"/>
  </mergeCells>
  <conditionalFormatting sqref="F3">
    <cfRule type="duplicateValues"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365BB-0358-41D9-A7DA-35C472948845}">
  <dimension ref="A1:X14"/>
  <sheetViews>
    <sheetView topLeftCell="I1" zoomScale="85" zoomScaleNormal="85" workbookViewId="0">
      <selection activeCell="R1" sqref="R1:V1"/>
    </sheetView>
  </sheetViews>
  <sheetFormatPr baseColWidth="10" defaultRowHeight="15"/>
  <cols>
    <col min="1" max="1" width="11.42578125" style="14"/>
    <col min="3" max="3" width="28.42578125" customWidth="1"/>
    <col min="5" max="5" width="28.42578125" customWidth="1"/>
    <col min="7" max="8" width="28.42578125" customWidth="1"/>
    <col min="9" max="9" width="45.7109375" customWidth="1"/>
    <col min="11" max="12" width="28.42578125" customWidth="1"/>
    <col min="13" max="22" width="11.42578125" style="1"/>
    <col min="24" max="24" width="29" customWidth="1"/>
  </cols>
  <sheetData>
    <row r="1" spans="1:24" ht="18.75" customHeight="1">
      <c r="A1" s="195" t="s">
        <v>437</v>
      </c>
      <c r="B1" s="195" t="s">
        <v>30</v>
      </c>
      <c r="C1" s="238" t="s">
        <v>31</v>
      </c>
      <c r="D1" s="195" t="s">
        <v>32</v>
      </c>
      <c r="E1" s="238" t="s">
        <v>33</v>
      </c>
      <c r="F1" s="195" t="s">
        <v>106</v>
      </c>
      <c r="G1" s="238" t="s">
        <v>0</v>
      </c>
      <c r="H1" s="240" t="s">
        <v>464</v>
      </c>
      <c r="I1" s="199" t="s">
        <v>1</v>
      </c>
      <c r="J1" s="195" t="s">
        <v>2</v>
      </c>
      <c r="K1" s="237" t="s">
        <v>34</v>
      </c>
      <c r="L1" s="222" t="s">
        <v>3</v>
      </c>
      <c r="M1" s="191" t="s">
        <v>4</v>
      </c>
      <c r="N1" s="191"/>
      <c r="O1" s="191"/>
      <c r="P1" s="191"/>
      <c r="Q1" s="192"/>
      <c r="R1" s="206" t="s">
        <v>5</v>
      </c>
      <c r="S1" s="206"/>
      <c r="T1" s="206"/>
      <c r="U1" s="206"/>
      <c r="V1" s="207"/>
      <c r="W1" s="196" t="s">
        <v>6</v>
      </c>
      <c r="X1" s="197" t="s">
        <v>7</v>
      </c>
    </row>
    <row r="2" spans="1:24" ht="24">
      <c r="A2" s="195"/>
      <c r="B2" s="195"/>
      <c r="C2" s="238"/>
      <c r="D2" s="195"/>
      <c r="E2" s="238"/>
      <c r="F2" s="195"/>
      <c r="G2" s="238"/>
      <c r="H2" s="240"/>
      <c r="I2" s="199"/>
      <c r="J2" s="195"/>
      <c r="K2" s="237"/>
      <c r="L2" s="222"/>
      <c r="M2" s="5" t="s">
        <v>629</v>
      </c>
      <c r="N2" s="5">
        <v>2027</v>
      </c>
      <c r="O2" s="5">
        <v>2028</v>
      </c>
      <c r="P2" s="5">
        <v>2029</v>
      </c>
      <c r="Q2" s="5">
        <v>2030</v>
      </c>
      <c r="R2" s="50" t="s">
        <v>629</v>
      </c>
      <c r="S2" s="50">
        <v>2027</v>
      </c>
      <c r="T2" s="50">
        <v>2028</v>
      </c>
      <c r="U2" s="50">
        <v>2029</v>
      </c>
      <c r="V2" s="50">
        <v>2030</v>
      </c>
      <c r="W2" s="196"/>
      <c r="X2" s="197"/>
    </row>
    <row r="3" spans="1:24" ht="135">
      <c r="A3" s="44">
        <v>1</v>
      </c>
      <c r="B3" s="45" t="s">
        <v>408</v>
      </c>
      <c r="C3" s="46" t="s">
        <v>409</v>
      </c>
      <c r="D3" s="47" t="s">
        <v>410</v>
      </c>
      <c r="E3" s="46" t="s">
        <v>411</v>
      </c>
      <c r="F3" s="44">
        <v>7</v>
      </c>
      <c r="G3" s="47" t="s">
        <v>412</v>
      </c>
      <c r="H3" s="119" t="s">
        <v>573</v>
      </c>
      <c r="I3" s="16"/>
      <c r="J3" s="44" t="s">
        <v>9</v>
      </c>
      <c r="K3" s="47" t="s">
        <v>128</v>
      </c>
      <c r="L3" s="47" t="s">
        <v>413</v>
      </c>
      <c r="M3" s="25"/>
      <c r="N3" s="25"/>
      <c r="O3" s="25"/>
      <c r="P3" s="25"/>
      <c r="Q3" s="25"/>
      <c r="R3" s="52">
        <f t="shared" ref="R3:V3" si="0">M3</f>
        <v>0</v>
      </c>
      <c r="S3" s="52">
        <f t="shared" si="0"/>
        <v>0</v>
      </c>
      <c r="T3" s="52">
        <f t="shared" si="0"/>
        <v>0</v>
      </c>
      <c r="U3" s="52">
        <f t="shared" si="0"/>
        <v>0</v>
      </c>
      <c r="V3" s="52">
        <f t="shared" si="0"/>
        <v>0</v>
      </c>
      <c r="W3" s="44" t="s">
        <v>10</v>
      </c>
      <c r="X3" s="26"/>
    </row>
    <row r="4" spans="1:24" ht="135">
      <c r="A4" s="44">
        <v>2</v>
      </c>
      <c r="B4" s="45" t="s">
        <v>408</v>
      </c>
      <c r="C4" s="46" t="s">
        <v>409</v>
      </c>
      <c r="D4" s="47" t="s">
        <v>410</v>
      </c>
      <c r="E4" s="46" t="s">
        <v>411</v>
      </c>
      <c r="F4" s="44">
        <v>8</v>
      </c>
      <c r="G4" s="47" t="s">
        <v>414</v>
      </c>
      <c r="H4" s="119" t="s">
        <v>574</v>
      </c>
      <c r="I4" s="16"/>
      <c r="J4" s="44" t="s">
        <v>9</v>
      </c>
      <c r="K4" s="47" t="s">
        <v>128</v>
      </c>
      <c r="L4" s="47" t="s">
        <v>442</v>
      </c>
      <c r="M4" s="25"/>
      <c r="N4" s="25"/>
      <c r="O4" s="25"/>
      <c r="P4" s="25"/>
      <c r="Q4" s="25"/>
      <c r="R4" s="52">
        <f t="shared" ref="R4:R14" si="1">M4</f>
        <v>0</v>
      </c>
      <c r="S4" s="52">
        <f t="shared" ref="S4:S14" si="2">N4</f>
        <v>0</v>
      </c>
      <c r="T4" s="52">
        <f t="shared" ref="T4:T14" si="3">O4</f>
        <v>0</v>
      </c>
      <c r="U4" s="52">
        <f t="shared" ref="U4:V14" si="4">P4</f>
        <v>0</v>
      </c>
      <c r="V4" s="52">
        <f t="shared" si="4"/>
        <v>0</v>
      </c>
      <c r="W4" s="44" t="s">
        <v>10</v>
      </c>
      <c r="X4" s="26"/>
    </row>
    <row r="5" spans="1:24" ht="135">
      <c r="A5" s="44">
        <v>3</v>
      </c>
      <c r="B5" s="45" t="s">
        <v>408</v>
      </c>
      <c r="C5" s="46" t="s">
        <v>409</v>
      </c>
      <c r="D5" s="47" t="s">
        <v>410</v>
      </c>
      <c r="E5" s="46" t="s">
        <v>411</v>
      </c>
      <c r="F5" s="44">
        <v>10</v>
      </c>
      <c r="G5" s="47" t="s">
        <v>415</v>
      </c>
      <c r="H5" s="119" t="s">
        <v>575</v>
      </c>
      <c r="I5" s="16"/>
      <c r="J5" s="44" t="s">
        <v>9</v>
      </c>
      <c r="K5" s="47" t="s">
        <v>128</v>
      </c>
      <c r="L5" s="47" t="s">
        <v>416</v>
      </c>
      <c r="M5" s="25"/>
      <c r="N5" s="25"/>
      <c r="O5" s="25"/>
      <c r="P5" s="25"/>
      <c r="Q5" s="25"/>
      <c r="R5" s="52">
        <f t="shared" si="1"/>
        <v>0</v>
      </c>
      <c r="S5" s="52">
        <f t="shared" si="2"/>
        <v>0</v>
      </c>
      <c r="T5" s="52">
        <f t="shared" si="3"/>
        <v>0</v>
      </c>
      <c r="U5" s="52">
        <f t="shared" si="4"/>
        <v>0</v>
      </c>
      <c r="V5" s="52">
        <f t="shared" si="4"/>
        <v>0</v>
      </c>
      <c r="W5" s="44" t="s">
        <v>10</v>
      </c>
      <c r="X5" s="26"/>
    </row>
    <row r="6" spans="1:24" ht="135">
      <c r="A6" s="44">
        <v>4</v>
      </c>
      <c r="B6" s="45" t="s">
        <v>408</v>
      </c>
      <c r="C6" s="46" t="s">
        <v>409</v>
      </c>
      <c r="D6" s="47" t="s">
        <v>410</v>
      </c>
      <c r="E6" s="46" t="s">
        <v>411</v>
      </c>
      <c r="F6" s="44">
        <v>13</v>
      </c>
      <c r="G6" s="47" t="s">
        <v>417</v>
      </c>
      <c r="H6" s="119" t="s">
        <v>576</v>
      </c>
      <c r="I6" s="16"/>
      <c r="J6" s="44" t="s">
        <v>9</v>
      </c>
      <c r="K6" s="47" t="s">
        <v>128</v>
      </c>
      <c r="L6" s="47" t="s">
        <v>418</v>
      </c>
      <c r="M6" s="25"/>
      <c r="N6" s="25"/>
      <c r="O6" s="25"/>
      <c r="P6" s="25"/>
      <c r="Q6" s="25"/>
      <c r="R6" s="52">
        <f t="shared" si="1"/>
        <v>0</v>
      </c>
      <c r="S6" s="52">
        <f t="shared" si="2"/>
        <v>0</v>
      </c>
      <c r="T6" s="52">
        <f t="shared" si="3"/>
        <v>0</v>
      </c>
      <c r="U6" s="52">
        <f t="shared" si="4"/>
        <v>0</v>
      </c>
      <c r="V6" s="52">
        <f t="shared" si="4"/>
        <v>0</v>
      </c>
      <c r="W6" s="44" t="s">
        <v>10</v>
      </c>
      <c r="X6" s="26"/>
    </row>
    <row r="7" spans="1:24" ht="135">
      <c r="A7" s="44">
        <v>5</v>
      </c>
      <c r="B7" s="45" t="s">
        <v>408</v>
      </c>
      <c r="C7" s="46" t="s">
        <v>409</v>
      </c>
      <c r="D7" s="47" t="s">
        <v>410</v>
      </c>
      <c r="E7" s="46" t="s">
        <v>411</v>
      </c>
      <c r="F7" s="44">
        <v>15</v>
      </c>
      <c r="G7" s="47" t="s">
        <v>419</v>
      </c>
      <c r="H7" s="20" t="s">
        <v>571</v>
      </c>
      <c r="I7" s="16"/>
      <c r="J7" s="44" t="s">
        <v>9</v>
      </c>
      <c r="K7" s="47" t="s">
        <v>128</v>
      </c>
      <c r="L7" s="105" t="s">
        <v>444</v>
      </c>
      <c r="M7" s="25"/>
      <c r="N7" s="25"/>
      <c r="O7" s="25"/>
      <c r="P7" s="25"/>
      <c r="Q7" s="25"/>
      <c r="R7" s="52">
        <f t="shared" si="1"/>
        <v>0</v>
      </c>
      <c r="S7" s="52">
        <f t="shared" si="2"/>
        <v>0</v>
      </c>
      <c r="T7" s="52">
        <f t="shared" si="3"/>
        <v>0</v>
      </c>
      <c r="U7" s="52">
        <f t="shared" si="4"/>
        <v>0</v>
      </c>
      <c r="V7" s="52">
        <f t="shared" si="4"/>
        <v>0</v>
      </c>
      <c r="W7" s="44" t="s">
        <v>10</v>
      </c>
      <c r="X7" s="26"/>
    </row>
    <row r="8" spans="1:24" ht="135">
      <c r="A8" s="44">
        <v>6</v>
      </c>
      <c r="B8" s="45" t="s">
        <v>408</v>
      </c>
      <c r="C8" s="46" t="s">
        <v>409</v>
      </c>
      <c r="D8" s="47" t="s">
        <v>410</v>
      </c>
      <c r="E8" s="46" t="s">
        <v>411</v>
      </c>
      <c r="F8" s="44">
        <v>16</v>
      </c>
      <c r="G8" s="47" t="s">
        <v>420</v>
      </c>
      <c r="H8" s="119" t="s">
        <v>577</v>
      </c>
      <c r="I8" s="16"/>
      <c r="J8" s="44" t="s">
        <v>9</v>
      </c>
      <c r="K8" s="47" t="s">
        <v>128</v>
      </c>
      <c r="L8" s="47" t="s">
        <v>421</v>
      </c>
      <c r="M8" s="25"/>
      <c r="N8" s="25"/>
      <c r="O8" s="25"/>
      <c r="P8" s="25"/>
      <c r="Q8" s="25"/>
      <c r="R8" s="52">
        <f t="shared" si="1"/>
        <v>0</v>
      </c>
      <c r="S8" s="52">
        <f t="shared" si="2"/>
        <v>0</v>
      </c>
      <c r="T8" s="52">
        <f t="shared" si="3"/>
        <v>0</v>
      </c>
      <c r="U8" s="52">
        <f t="shared" si="4"/>
        <v>0</v>
      </c>
      <c r="V8" s="52">
        <f t="shared" si="4"/>
        <v>0</v>
      </c>
      <c r="W8" s="44" t="s">
        <v>10</v>
      </c>
      <c r="X8" s="26"/>
    </row>
    <row r="9" spans="1:24" ht="135">
      <c r="A9" s="44">
        <v>7</v>
      </c>
      <c r="B9" s="45" t="s">
        <v>408</v>
      </c>
      <c r="C9" s="46" t="s">
        <v>409</v>
      </c>
      <c r="D9" s="47" t="s">
        <v>422</v>
      </c>
      <c r="E9" s="46" t="s">
        <v>423</v>
      </c>
      <c r="F9" s="44">
        <v>1</v>
      </c>
      <c r="G9" s="47" t="s">
        <v>424</v>
      </c>
      <c r="H9" s="120" t="s">
        <v>578</v>
      </c>
      <c r="I9" s="16"/>
      <c r="J9" s="44" t="s">
        <v>9</v>
      </c>
      <c r="K9" s="47" t="s">
        <v>128</v>
      </c>
      <c r="L9" s="46" t="s">
        <v>425</v>
      </c>
      <c r="M9" s="25"/>
      <c r="N9" s="25"/>
      <c r="O9" s="25"/>
      <c r="P9" s="25"/>
      <c r="Q9" s="25"/>
      <c r="R9" s="52">
        <f t="shared" si="1"/>
        <v>0</v>
      </c>
      <c r="S9" s="52">
        <f t="shared" si="2"/>
        <v>0</v>
      </c>
      <c r="T9" s="52">
        <f t="shared" si="3"/>
        <v>0</v>
      </c>
      <c r="U9" s="52">
        <f t="shared" si="4"/>
        <v>0</v>
      </c>
      <c r="V9" s="52">
        <f t="shared" si="4"/>
        <v>0</v>
      </c>
      <c r="W9" s="44" t="s">
        <v>10</v>
      </c>
      <c r="X9" s="26"/>
    </row>
    <row r="10" spans="1:24" ht="135">
      <c r="A10" s="44">
        <v>8</v>
      </c>
      <c r="B10" s="45" t="s">
        <v>408</v>
      </c>
      <c r="C10" s="46" t="s">
        <v>409</v>
      </c>
      <c r="D10" s="47" t="s">
        <v>422</v>
      </c>
      <c r="E10" s="46" t="s">
        <v>423</v>
      </c>
      <c r="F10" s="44">
        <v>3</v>
      </c>
      <c r="G10" s="47" t="s">
        <v>426</v>
      </c>
      <c r="H10" s="120" t="s">
        <v>579</v>
      </c>
      <c r="I10" s="16"/>
      <c r="J10" s="44" t="s">
        <v>9</v>
      </c>
      <c r="K10" s="47" t="s">
        <v>128</v>
      </c>
      <c r="L10" s="46" t="s">
        <v>427</v>
      </c>
      <c r="M10" s="25"/>
      <c r="N10" s="25"/>
      <c r="O10" s="25"/>
      <c r="P10" s="25"/>
      <c r="Q10" s="25"/>
      <c r="R10" s="52">
        <f t="shared" si="1"/>
        <v>0</v>
      </c>
      <c r="S10" s="52">
        <f t="shared" si="2"/>
        <v>0</v>
      </c>
      <c r="T10" s="52">
        <f t="shared" si="3"/>
        <v>0</v>
      </c>
      <c r="U10" s="52">
        <f t="shared" si="4"/>
        <v>0</v>
      </c>
      <c r="V10" s="52">
        <f t="shared" si="4"/>
        <v>0</v>
      </c>
      <c r="W10" s="44" t="s">
        <v>10</v>
      </c>
      <c r="X10" s="26"/>
    </row>
    <row r="11" spans="1:24" ht="135">
      <c r="A11" s="44">
        <v>9</v>
      </c>
      <c r="B11" s="45" t="s">
        <v>408</v>
      </c>
      <c r="C11" s="46" t="s">
        <v>409</v>
      </c>
      <c r="D11" s="47" t="s">
        <v>422</v>
      </c>
      <c r="E11" s="46" t="s">
        <v>423</v>
      </c>
      <c r="F11" s="44">
        <v>4</v>
      </c>
      <c r="G11" s="47" t="s">
        <v>428</v>
      </c>
      <c r="H11" s="120" t="s">
        <v>580</v>
      </c>
      <c r="I11" s="16"/>
      <c r="J11" s="44" t="s">
        <v>9</v>
      </c>
      <c r="K11" s="47" t="s">
        <v>128</v>
      </c>
      <c r="L11" s="46" t="s">
        <v>429</v>
      </c>
      <c r="M11" s="25"/>
      <c r="N11" s="25"/>
      <c r="O11" s="25"/>
      <c r="P11" s="25"/>
      <c r="Q11" s="25"/>
      <c r="R11" s="52">
        <f t="shared" si="1"/>
        <v>0</v>
      </c>
      <c r="S11" s="52">
        <f t="shared" si="2"/>
        <v>0</v>
      </c>
      <c r="T11" s="52">
        <f t="shared" si="3"/>
        <v>0</v>
      </c>
      <c r="U11" s="52">
        <f t="shared" si="4"/>
        <v>0</v>
      </c>
      <c r="V11" s="52">
        <f t="shared" si="4"/>
        <v>0</v>
      </c>
      <c r="W11" s="44" t="s">
        <v>10</v>
      </c>
      <c r="X11" s="26"/>
    </row>
    <row r="12" spans="1:24" ht="135">
      <c r="A12" s="44">
        <v>10</v>
      </c>
      <c r="B12" s="45" t="s">
        <v>408</v>
      </c>
      <c r="C12" s="46" t="s">
        <v>409</v>
      </c>
      <c r="D12" s="47" t="s">
        <v>430</v>
      </c>
      <c r="E12" s="46" t="s">
        <v>431</v>
      </c>
      <c r="F12" s="44">
        <v>21</v>
      </c>
      <c r="G12" s="47" t="s">
        <v>432</v>
      </c>
      <c r="H12" s="17" t="s">
        <v>572</v>
      </c>
      <c r="I12" s="16"/>
      <c r="J12" s="44" t="s">
        <v>9</v>
      </c>
      <c r="K12" s="47" t="s">
        <v>128</v>
      </c>
      <c r="L12" s="46" t="s">
        <v>443</v>
      </c>
      <c r="M12" s="25"/>
      <c r="N12" s="25"/>
      <c r="O12" s="25"/>
      <c r="P12" s="25"/>
      <c r="Q12" s="25"/>
      <c r="R12" s="52">
        <f t="shared" si="1"/>
        <v>0</v>
      </c>
      <c r="S12" s="52">
        <f t="shared" si="2"/>
        <v>0</v>
      </c>
      <c r="T12" s="52">
        <f t="shared" si="3"/>
        <v>0</v>
      </c>
      <c r="U12" s="52">
        <f t="shared" si="4"/>
        <v>0</v>
      </c>
      <c r="V12" s="52">
        <f t="shared" si="4"/>
        <v>0</v>
      </c>
      <c r="W12" s="44" t="s">
        <v>10</v>
      </c>
      <c r="X12" s="26"/>
    </row>
    <row r="13" spans="1:24" ht="135">
      <c r="A13" s="44">
        <v>11</v>
      </c>
      <c r="B13" s="45" t="s">
        <v>408</v>
      </c>
      <c r="C13" s="46" t="s">
        <v>409</v>
      </c>
      <c r="D13" s="47" t="s">
        <v>430</v>
      </c>
      <c r="E13" s="46" t="s">
        <v>431</v>
      </c>
      <c r="F13" s="44">
        <v>22</v>
      </c>
      <c r="G13" s="47" t="s">
        <v>433</v>
      </c>
      <c r="H13" s="119" t="s">
        <v>581</v>
      </c>
      <c r="I13" s="16"/>
      <c r="J13" s="44" t="s">
        <v>9</v>
      </c>
      <c r="K13" s="47" t="s">
        <v>128</v>
      </c>
      <c r="L13" s="47" t="s">
        <v>434</v>
      </c>
      <c r="M13" s="25"/>
      <c r="N13" s="25"/>
      <c r="O13" s="25"/>
      <c r="P13" s="25"/>
      <c r="Q13" s="25"/>
      <c r="R13" s="52">
        <f t="shared" si="1"/>
        <v>0</v>
      </c>
      <c r="S13" s="52">
        <f t="shared" si="2"/>
        <v>0</v>
      </c>
      <c r="T13" s="52">
        <f t="shared" si="3"/>
        <v>0</v>
      </c>
      <c r="U13" s="52">
        <f t="shared" si="4"/>
        <v>0</v>
      </c>
      <c r="V13" s="52">
        <f t="shared" si="4"/>
        <v>0</v>
      </c>
      <c r="W13" s="44" t="s">
        <v>10</v>
      </c>
      <c r="X13" s="26"/>
    </row>
    <row r="14" spans="1:24" ht="135">
      <c r="A14" s="44">
        <v>12</v>
      </c>
      <c r="B14" s="45" t="s">
        <v>408</v>
      </c>
      <c r="C14" s="46" t="s">
        <v>409</v>
      </c>
      <c r="D14" s="47" t="s">
        <v>430</v>
      </c>
      <c r="E14" s="46" t="s">
        <v>431</v>
      </c>
      <c r="F14" s="44">
        <v>23</v>
      </c>
      <c r="G14" s="47" t="s">
        <v>435</v>
      </c>
      <c r="H14" s="119" t="s">
        <v>582</v>
      </c>
      <c r="I14" s="16"/>
      <c r="J14" s="44" t="s">
        <v>9</v>
      </c>
      <c r="K14" s="47" t="s">
        <v>128</v>
      </c>
      <c r="L14" s="47" t="s">
        <v>436</v>
      </c>
      <c r="M14" s="25"/>
      <c r="N14" s="25"/>
      <c r="O14" s="25"/>
      <c r="P14" s="25"/>
      <c r="Q14" s="25"/>
      <c r="R14" s="52">
        <f t="shared" si="1"/>
        <v>0</v>
      </c>
      <c r="S14" s="52">
        <f t="shared" si="2"/>
        <v>0</v>
      </c>
      <c r="T14" s="52">
        <f t="shared" si="3"/>
        <v>0</v>
      </c>
      <c r="U14" s="52">
        <f t="shared" si="4"/>
        <v>0</v>
      </c>
      <c r="V14" s="52">
        <f t="shared" si="4"/>
        <v>0</v>
      </c>
      <c r="W14" s="44" t="s">
        <v>10</v>
      </c>
      <c r="X14" s="26"/>
    </row>
  </sheetData>
  <sheetProtection algorithmName="SHA-512" hashValue="MG0DooOSK8lwmVDSkNZQVOXfn9wyiRYUxip0dvKbtyZPzpOEg21w4GcpJ8s8hzn6QFKrnPQ4D0GFhU2EerVb8g==" saltValue="seDWXXjO34gDenkIIeu3wg==" spinCount="100000" sheet="1" objects="1" scenarios="1" formatCells="0" formatColumns="0" formatRows="0"/>
  <mergeCells count="16">
    <mergeCell ref="A1:A2"/>
    <mergeCell ref="G1:G2"/>
    <mergeCell ref="B1:B2"/>
    <mergeCell ref="C1:C2"/>
    <mergeCell ref="D1:D2"/>
    <mergeCell ref="E1:E2"/>
    <mergeCell ref="F1:F2"/>
    <mergeCell ref="W1:W2"/>
    <mergeCell ref="X1:X2"/>
    <mergeCell ref="H1:H2"/>
    <mergeCell ref="I1:I2"/>
    <mergeCell ref="J1:J2"/>
    <mergeCell ref="K1:K2"/>
    <mergeCell ref="L1:L2"/>
    <mergeCell ref="M1:Q1"/>
    <mergeCell ref="R1:V1"/>
  </mergeCells>
  <phoneticPr fontId="4" type="noConversion"/>
  <conditionalFormatting sqref="F5 F3">
    <cfRule type="duplicateValues"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C3BBF-E0C5-4B83-913E-E93D2151098A}">
  <dimension ref="A4:J105"/>
  <sheetViews>
    <sheetView workbookViewId="0">
      <selection activeCell="D22" sqref="D22"/>
    </sheetView>
  </sheetViews>
  <sheetFormatPr baseColWidth="10" defaultRowHeight="15"/>
  <cols>
    <col min="1" max="1" width="21" style="14" customWidth="1"/>
    <col min="2" max="2" width="28.28515625" bestFit="1" customWidth="1"/>
    <col min="10" max="10" width="33.7109375" customWidth="1"/>
  </cols>
  <sheetData>
    <row r="4" spans="1:10">
      <c r="A4" s="252" t="s">
        <v>445</v>
      </c>
      <c r="B4" s="252"/>
      <c r="C4" s="252"/>
      <c r="D4" s="252"/>
      <c r="E4" s="252"/>
      <c r="F4" s="252"/>
      <c r="G4" s="252"/>
      <c r="H4" s="252"/>
      <c r="I4" s="252"/>
      <c r="J4" s="252"/>
    </row>
    <row r="5" spans="1:10">
      <c r="A5" s="253" t="s">
        <v>451</v>
      </c>
      <c r="B5" s="253"/>
      <c r="C5" s="253"/>
      <c r="D5" s="253"/>
      <c r="E5" s="253"/>
      <c r="F5" s="253"/>
      <c r="G5" s="253"/>
      <c r="H5" s="253"/>
      <c r="I5" s="253"/>
      <c r="J5" s="253"/>
    </row>
    <row r="6" spans="1:10">
      <c r="A6" s="246" t="s">
        <v>452</v>
      </c>
      <c r="B6" s="247" t="s">
        <v>24</v>
      </c>
      <c r="C6" s="248" t="s">
        <v>5</v>
      </c>
      <c r="D6" s="249"/>
      <c r="E6" s="249"/>
      <c r="F6" s="249"/>
      <c r="G6" s="249"/>
      <c r="H6" s="110"/>
      <c r="I6" s="189" t="s">
        <v>6</v>
      </c>
      <c r="J6" s="250" t="s">
        <v>7</v>
      </c>
    </row>
    <row r="7" spans="1:10" ht="24">
      <c r="A7" s="246"/>
      <c r="B7" s="247"/>
      <c r="C7" s="7" t="s">
        <v>105</v>
      </c>
      <c r="D7" s="4">
        <v>2026</v>
      </c>
      <c r="E7" s="4">
        <v>2027</v>
      </c>
      <c r="F7" s="4">
        <v>2028</v>
      </c>
      <c r="G7" s="4">
        <v>2029</v>
      </c>
      <c r="H7" s="4">
        <v>2030</v>
      </c>
      <c r="I7" s="190"/>
      <c r="J7" s="251"/>
    </row>
    <row r="8" spans="1:10">
      <c r="A8" s="14">
        <v>3</v>
      </c>
      <c r="B8">
        <f>'2 EstudiantadoEstProf'!I5</f>
        <v>0</v>
      </c>
      <c r="C8" s="32" t="e">
        <f>'2 EstudiantadoEstProf'!#REF!</f>
        <v>#REF!</v>
      </c>
      <c r="D8" s="32" t="str">
        <f>'2 EstudiantadoEstProf'!R5</f>
        <v>0</v>
      </c>
      <c r="E8" s="32" t="str">
        <f>'2 EstudiantadoEstProf'!S5</f>
        <v>0</v>
      </c>
      <c r="F8" s="32" t="str">
        <f>'2 EstudiantadoEstProf'!T5</f>
        <v>0</v>
      </c>
      <c r="G8" s="32" t="str">
        <f>'2 EstudiantadoEstProf'!U5</f>
        <v>0</v>
      </c>
      <c r="H8" s="32" t="str">
        <f>'2 EstudiantadoEstProf'!V5</f>
        <v>0</v>
      </c>
      <c r="I8" t="str">
        <f>'2 EstudiantadoEstProf'!W3</f>
        <v>Anual</v>
      </c>
      <c r="J8">
        <f>'2 EstudiantadoEstProf'!X5</f>
        <v>0</v>
      </c>
    </row>
    <row r="10" spans="1:10">
      <c r="A10" s="14">
        <v>4</v>
      </c>
      <c r="B10">
        <f>'2 EstudiantadoEstProf'!I7</f>
        <v>0</v>
      </c>
      <c r="C10" s="32" t="e">
        <f>'2 EstudiantadoEstProf'!#REF!</f>
        <v>#REF!</v>
      </c>
      <c r="D10" s="32" t="str">
        <f>'2 EstudiantadoEstProf'!R7</f>
        <v>0</v>
      </c>
      <c r="E10" s="32" t="str">
        <f>'2 EstudiantadoEstProf'!S7</f>
        <v>0</v>
      </c>
      <c r="F10" s="32" t="str">
        <f>'2 EstudiantadoEstProf'!T7</f>
        <v>0</v>
      </c>
      <c r="G10" s="32" t="str">
        <f>'2 EstudiantadoEstProf'!U7</f>
        <v>0</v>
      </c>
      <c r="H10" s="32" t="str">
        <f>'2 EstudiantadoEstProf'!V7</f>
        <v>0</v>
      </c>
      <c r="I10" t="str">
        <f>'2 EstudiantadoEstProf'!W5</f>
        <v>Anual</v>
      </c>
      <c r="J10">
        <f>'2 EstudiantadoEstProf'!X7</f>
        <v>0</v>
      </c>
    </row>
    <row r="12" spans="1:10">
      <c r="A12" s="14">
        <v>5</v>
      </c>
      <c r="B12">
        <f>'2 EstudiantadoEstProf'!I9</f>
        <v>0</v>
      </c>
      <c r="C12" s="32" t="e">
        <f>'2 EstudiantadoEstProf'!#REF!</f>
        <v>#REF!</v>
      </c>
      <c r="D12" s="32" t="str">
        <f>'2 EstudiantadoEstProf'!R9</f>
        <v>0</v>
      </c>
      <c r="E12" s="32" t="str">
        <f>'2 EstudiantadoEstProf'!S9</f>
        <v>0</v>
      </c>
      <c r="F12" s="32" t="str">
        <f>'2 EstudiantadoEstProf'!T9</f>
        <v>0</v>
      </c>
      <c r="G12" s="32" t="str">
        <f>'2 EstudiantadoEstProf'!U9</f>
        <v>0</v>
      </c>
      <c r="H12" s="32" t="str">
        <f>'2 EstudiantadoEstProf'!V9</f>
        <v>0</v>
      </c>
      <c r="I12" t="str">
        <f>'2 EstudiantadoEstProf'!W9</f>
        <v>Anual</v>
      </c>
      <c r="J12">
        <f>'2 EstudiantadoEstProf'!X9</f>
        <v>0</v>
      </c>
    </row>
    <row r="13" spans="1:10" ht="15.75" thickBot="1"/>
    <row r="14" spans="1:10" ht="15.75" thickBot="1">
      <c r="A14" s="14">
        <v>8</v>
      </c>
      <c r="B14" s="15">
        <f>'2 EstudiantadoEstProf'!I13</f>
        <v>0</v>
      </c>
      <c r="C14" t="e">
        <f>'2 EstudiantadoEstProf'!#REF!</f>
        <v>#REF!</v>
      </c>
      <c r="D14" t="str">
        <f>'2 EstudiantadoEstProf'!R13</f>
        <v>0</v>
      </c>
      <c r="E14" t="str">
        <f>'2 EstudiantadoEstProf'!S13</f>
        <v>0</v>
      </c>
      <c r="F14" t="str">
        <f>'2 EstudiantadoEstProf'!T13</f>
        <v>0</v>
      </c>
      <c r="G14" t="str">
        <f>'2 EstudiantadoEstProf'!U13</f>
        <v>0</v>
      </c>
      <c r="H14" t="str">
        <f>'2 EstudiantadoEstProf'!V13</f>
        <v>0</v>
      </c>
      <c r="I14" t="str">
        <f>'2 EstudiantadoEstProf'!W13</f>
        <v>Anual</v>
      </c>
      <c r="J14">
        <f>'2 EstudiantadoEstProf'!X13</f>
        <v>0</v>
      </c>
    </row>
    <row r="16" spans="1:10">
      <c r="A16" s="14">
        <v>12</v>
      </c>
      <c r="B16">
        <f>'2 EstudiantadoEstProf'!I18</f>
        <v>0</v>
      </c>
      <c r="C16" t="e">
        <f>'2 EstudiantadoEstProf'!#REF!</f>
        <v>#REF!</v>
      </c>
      <c r="D16" t="str">
        <f>'2 EstudiantadoEstProf'!R18</f>
        <v>0</v>
      </c>
      <c r="E16" t="str">
        <f>'2 EstudiantadoEstProf'!S18</f>
        <v>0</v>
      </c>
      <c r="F16" t="str">
        <f>'2 EstudiantadoEstProf'!T18</f>
        <v>0</v>
      </c>
      <c r="G16" t="str">
        <f>'2 EstudiantadoEstProf'!U18</f>
        <v>0</v>
      </c>
      <c r="H16" t="str">
        <f>'2 EstudiantadoEstProf'!V18</f>
        <v>0</v>
      </c>
      <c r="I16" t="str">
        <f>'2 EstudiantadoEstProf'!W18</f>
        <v>Anual</v>
      </c>
      <c r="J16">
        <f>'2 EstudiantadoEstProf'!X18</f>
        <v>0</v>
      </c>
    </row>
    <row r="18" spans="1:10">
      <c r="A18" s="14">
        <v>18</v>
      </c>
      <c r="B18">
        <f>'2 EstudiantadoEstProf'!I24</f>
        <v>0</v>
      </c>
      <c r="C18" t="e">
        <f>'2 EstudiantadoEstProf'!#REF!</f>
        <v>#REF!</v>
      </c>
      <c r="D18" t="str">
        <f>'2 EstudiantadoEstProf'!R24</f>
        <v>0</v>
      </c>
      <c r="E18" t="str">
        <f>'2 EstudiantadoEstProf'!S24</f>
        <v>0</v>
      </c>
      <c r="F18" t="str">
        <f>'2 EstudiantadoEstProf'!T24</f>
        <v>0</v>
      </c>
      <c r="G18" t="str">
        <f>'2 EstudiantadoEstProf'!U24</f>
        <v>0</v>
      </c>
      <c r="H18" t="str">
        <f>'2 EstudiantadoEstProf'!V24</f>
        <v>0</v>
      </c>
      <c r="I18" t="str">
        <f>'2 EstudiantadoEstProf'!W24</f>
        <v>Anual</v>
      </c>
      <c r="J18">
        <f>'2 EstudiantadoEstProf'!X24</f>
        <v>0</v>
      </c>
    </row>
    <row r="20" spans="1:10">
      <c r="A20" s="14">
        <v>20</v>
      </c>
      <c r="B20">
        <f>'2 EstudiantadoEstProf'!I27</f>
        <v>0</v>
      </c>
      <c r="C20" t="e">
        <f>'2 EstudiantadoEstProf'!#REF!</f>
        <v>#REF!</v>
      </c>
      <c r="D20" t="str">
        <f>'2 EstudiantadoEstProf'!R27</f>
        <v>0</v>
      </c>
      <c r="E20" t="str">
        <f>'2 EstudiantadoEstProf'!S27</f>
        <v>0</v>
      </c>
      <c r="F20" t="str">
        <f>'2 EstudiantadoEstProf'!T27</f>
        <v>0</v>
      </c>
      <c r="G20" t="str">
        <f>'2 EstudiantadoEstProf'!U27</f>
        <v>0</v>
      </c>
      <c r="H20" t="str">
        <f>'2 EstudiantadoEstProf'!V27</f>
        <v>0</v>
      </c>
      <c r="I20" t="str">
        <f>'2 EstudiantadoEstProf'!W27</f>
        <v>Anual</v>
      </c>
      <c r="J20">
        <f>'2 EstudiantadoEstProf'!X27</f>
        <v>0</v>
      </c>
    </row>
    <row r="22" spans="1:10">
      <c r="A22" s="14">
        <v>21</v>
      </c>
      <c r="B22">
        <f>'2 EstudiantadoEstProf'!I29</f>
        <v>0</v>
      </c>
      <c r="C22" t="e">
        <f>'2 EstudiantadoEstProf'!#REF!</f>
        <v>#REF!</v>
      </c>
      <c r="D22" t="str">
        <f>'2 EstudiantadoEstProf'!R29</f>
        <v>0</v>
      </c>
      <c r="E22" t="str">
        <f>'2 EstudiantadoEstProf'!S29</f>
        <v>0</v>
      </c>
      <c r="F22" t="str">
        <f>'2 EstudiantadoEstProf'!T29</f>
        <v>0</v>
      </c>
      <c r="G22" t="str">
        <f>'2 EstudiantadoEstProf'!U29</f>
        <v>0</v>
      </c>
      <c r="H22" t="str">
        <f>'2 EstudiantadoEstProf'!V29</f>
        <v>0</v>
      </c>
      <c r="I22" t="str">
        <f>'2 EstudiantadoEstProf'!W29</f>
        <v>Anual</v>
      </c>
      <c r="J22">
        <f>'2 EstudiantadoEstProf'!X29</f>
        <v>0</v>
      </c>
    </row>
    <row r="26" spans="1:10">
      <c r="A26" s="14">
        <v>23</v>
      </c>
      <c r="B26">
        <f>'2 EstudiantadoEstProf'!I34</f>
        <v>0</v>
      </c>
      <c r="C26" t="e">
        <f>'2 EstudiantadoEstProf'!#REF!</f>
        <v>#REF!</v>
      </c>
      <c r="D26" t="str">
        <f>'2 EstudiantadoEstProf'!R34</f>
        <v>0</v>
      </c>
      <c r="E26" t="str">
        <f>'2 EstudiantadoEstProf'!S34</f>
        <v>0</v>
      </c>
      <c r="F26" t="str">
        <f>'2 EstudiantadoEstProf'!T34</f>
        <v>0</v>
      </c>
      <c r="G26" t="str">
        <f>'2 EstudiantadoEstProf'!U34</f>
        <v>0</v>
      </c>
      <c r="H26" t="str">
        <f>'2 EstudiantadoEstProf'!V34</f>
        <v>0</v>
      </c>
      <c r="I26" t="str">
        <f>'2 EstudiantadoEstProf'!W34</f>
        <v>Anual</v>
      </c>
      <c r="J26">
        <f>'2 EstudiantadoEstProf'!X34</f>
        <v>0</v>
      </c>
    </row>
    <row r="29" spans="1:10">
      <c r="A29" s="254" t="s">
        <v>453</v>
      </c>
      <c r="B29" s="253"/>
      <c r="C29" s="253"/>
      <c r="D29" s="253"/>
      <c r="E29" s="253"/>
      <c r="F29" s="253"/>
      <c r="G29" s="253"/>
      <c r="H29" s="253"/>
      <c r="I29" s="253"/>
      <c r="J29" s="253"/>
    </row>
    <row r="30" spans="1:10">
      <c r="A30" s="246" t="s">
        <v>452</v>
      </c>
      <c r="B30" s="247" t="s">
        <v>24</v>
      </c>
      <c r="C30" s="248" t="s">
        <v>5</v>
      </c>
      <c r="D30" s="249"/>
      <c r="E30" s="249"/>
      <c r="F30" s="249"/>
      <c r="G30" s="249"/>
      <c r="H30" s="110"/>
      <c r="I30" s="189" t="s">
        <v>6</v>
      </c>
      <c r="J30" s="250" t="s">
        <v>7</v>
      </c>
    </row>
    <row r="31" spans="1:10" ht="24">
      <c r="A31" s="246"/>
      <c r="B31" s="247"/>
      <c r="C31" s="7" t="s">
        <v>105</v>
      </c>
      <c r="D31" s="4">
        <v>2026</v>
      </c>
      <c r="E31" s="4">
        <v>2027</v>
      </c>
      <c r="F31" s="4">
        <v>2028</v>
      </c>
      <c r="G31" s="4">
        <v>2029</v>
      </c>
      <c r="H31" s="4">
        <v>2030</v>
      </c>
      <c r="I31" s="190"/>
      <c r="J31" s="251"/>
    </row>
    <row r="32" spans="1:10">
      <c r="A32" s="14">
        <v>7</v>
      </c>
      <c r="B32">
        <f>'3 Est avanzados excelencia'!I9</f>
        <v>0</v>
      </c>
      <c r="C32" t="e">
        <f>'3 Est avanzados excelencia'!#REF!</f>
        <v>#REF!</v>
      </c>
      <c r="D32" t="str">
        <f>'3 Est avanzados excelencia'!R9</f>
        <v>0</v>
      </c>
      <c r="E32" t="str">
        <f>'3 Est avanzados excelencia'!S9</f>
        <v>0</v>
      </c>
      <c r="F32" t="str">
        <f>'3 Est avanzados excelencia'!T9</f>
        <v>0</v>
      </c>
      <c r="G32" t="str">
        <f>'3 Est avanzados excelencia'!U9</f>
        <v>0</v>
      </c>
      <c r="H32" t="str">
        <f>'3 Est avanzados excelencia'!V9</f>
        <v>0</v>
      </c>
      <c r="I32" t="str">
        <f>'3 Est avanzados excelencia'!W9</f>
        <v>Anual</v>
      </c>
      <c r="J32">
        <f>'3 Est avanzados excelencia'!X9</f>
        <v>0</v>
      </c>
    </row>
    <row r="35" spans="1:10">
      <c r="A35" s="39" t="s">
        <v>454</v>
      </c>
    </row>
    <row r="36" spans="1:10">
      <c r="A36" s="246" t="s">
        <v>452</v>
      </c>
      <c r="B36" s="247" t="s">
        <v>24</v>
      </c>
      <c r="C36" s="248" t="s">
        <v>5</v>
      </c>
      <c r="D36" s="249"/>
      <c r="E36" s="249"/>
      <c r="F36" s="249"/>
      <c r="G36" s="249"/>
      <c r="H36" s="110"/>
      <c r="I36" s="189" t="s">
        <v>6</v>
      </c>
      <c r="J36" s="250" t="s">
        <v>7</v>
      </c>
    </row>
    <row r="37" spans="1:10" ht="24">
      <c r="A37" s="246"/>
      <c r="B37" s="247"/>
      <c r="C37" s="7" t="s">
        <v>105</v>
      </c>
      <c r="D37" s="4">
        <v>2026</v>
      </c>
      <c r="E37" s="4">
        <v>2027</v>
      </c>
      <c r="F37" s="4">
        <v>2028</v>
      </c>
      <c r="G37" s="4">
        <v>2029</v>
      </c>
      <c r="H37" s="4">
        <v>2030</v>
      </c>
      <c r="I37" s="190"/>
      <c r="J37" s="251"/>
    </row>
    <row r="38" spans="1:10">
      <c r="A38" s="14">
        <v>2</v>
      </c>
      <c r="B38">
        <f>'4 Investigación abierta'!I4</f>
        <v>0</v>
      </c>
      <c r="C38" t="e">
        <f>'4 Investigación abierta'!#REF!</f>
        <v>#REF!</v>
      </c>
      <c r="D38" t="str">
        <f>'4 Investigación abierta'!R4</f>
        <v>0</v>
      </c>
      <c r="E38" t="str">
        <f>'4 Investigación abierta'!S4</f>
        <v>0</v>
      </c>
      <c r="F38" t="str">
        <f>'4 Investigación abierta'!T4</f>
        <v>0</v>
      </c>
      <c r="G38" t="str">
        <f>'4 Investigación abierta'!U4</f>
        <v>0</v>
      </c>
      <c r="H38" t="str">
        <f>'4 Investigación abierta'!V4</f>
        <v>0</v>
      </c>
      <c r="I38" t="str">
        <f>'4 Investigación abierta'!W4</f>
        <v>Anual</v>
      </c>
      <c r="J38">
        <f>'4 Investigación abierta'!X4</f>
        <v>0</v>
      </c>
    </row>
    <row r="40" spans="1:10">
      <c r="A40" s="14">
        <v>3</v>
      </c>
      <c r="B40">
        <f>'4 Investigación abierta'!I6</f>
        <v>0</v>
      </c>
      <c r="C40" t="e">
        <f>'4 Investigación abierta'!#REF!</f>
        <v>#REF!</v>
      </c>
      <c r="D40" t="str">
        <f>'4 Investigación abierta'!R6</f>
        <v>0</v>
      </c>
      <c r="E40" t="str">
        <f>'4 Investigación abierta'!S6</f>
        <v>0</v>
      </c>
      <c r="F40" t="str">
        <f>'4 Investigación abierta'!T6</f>
        <v>0</v>
      </c>
      <c r="G40" t="str">
        <f>'4 Investigación abierta'!U6</f>
        <v>0</v>
      </c>
      <c r="H40" t="str">
        <f>'4 Investigación abierta'!V6</f>
        <v>0</v>
      </c>
      <c r="I40" t="str">
        <f>'4 Investigación abierta'!W6</f>
        <v>Anual</v>
      </c>
      <c r="J40">
        <f>'4 Investigación abierta'!X6</f>
        <v>0</v>
      </c>
    </row>
    <row r="42" spans="1:10">
      <c r="A42" s="14">
        <v>4</v>
      </c>
      <c r="B42">
        <f>'4 Investigación abierta'!I8</f>
        <v>0</v>
      </c>
      <c r="C42" t="e">
        <f>'4 Investigación abierta'!#REF!</f>
        <v>#REF!</v>
      </c>
      <c r="D42" t="str">
        <f>'4 Investigación abierta'!R8</f>
        <v>0</v>
      </c>
      <c r="E42" t="str">
        <f>'4 Investigación abierta'!S8</f>
        <v>0</v>
      </c>
      <c r="F42" t="str">
        <f>'4 Investigación abierta'!T8</f>
        <v>0</v>
      </c>
      <c r="G42" t="str">
        <f>'4 Investigación abierta'!U8</f>
        <v>0</v>
      </c>
      <c r="H42" t="str">
        <f>'4 Investigación abierta'!V8</f>
        <v>0</v>
      </c>
      <c r="I42" t="str">
        <f>'4 Investigación abierta'!W8</f>
        <v>Anual</v>
      </c>
      <c r="J42">
        <f>'4 Investigación abierta'!X8</f>
        <v>0</v>
      </c>
    </row>
    <row r="44" spans="1:10">
      <c r="A44" s="14">
        <v>7</v>
      </c>
      <c r="B44">
        <f>'4 Investigación abierta'!I12</f>
        <v>0</v>
      </c>
      <c r="C44" t="e">
        <f>'4 Investigación abierta'!#REF!</f>
        <v>#REF!</v>
      </c>
      <c r="D44" t="str">
        <f>'4 Investigación abierta'!R12</f>
        <v>0</v>
      </c>
      <c r="E44" t="str">
        <f>'4 Investigación abierta'!S12</f>
        <v>0</v>
      </c>
      <c r="F44" t="str">
        <f>'4 Investigación abierta'!T12</f>
        <v>0</v>
      </c>
      <c r="G44" t="str">
        <f>'4 Investigación abierta'!U12</f>
        <v>0</v>
      </c>
      <c r="H44" t="str">
        <f>'4 Investigación abierta'!V12</f>
        <v>0</v>
      </c>
      <c r="I44" t="str">
        <f>'4 Investigación abierta'!W12</f>
        <v>Anual</v>
      </c>
      <c r="J44">
        <f>'4 Investigación abierta'!X12</f>
        <v>0</v>
      </c>
    </row>
    <row r="46" spans="1:10">
      <c r="A46" s="14">
        <v>8</v>
      </c>
      <c r="B46">
        <f>'4 Investigación abierta'!I14</f>
        <v>0</v>
      </c>
      <c r="C46" t="e">
        <f>'4 Investigación abierta'!#REF!</f>
        <v>#REF!</v>
      </c>
      <c r="D46" t="str">
        <f>'4 Investigación abierta'!R14</f>
        <v>0</v>
      </c>
      <c r="E46" t="str">
        <f>'4 Investigación abierta'!S14</f>
        <v>0</v>
      </c>
      <c r="F46" t="str">
        <f>'4 Investigación abierta'!T14</f>
        <v>0</v>
      </c>
      <c r="G46" t="str">
        <f>'4 Investigación abierta'!U14</f>
        <v>0</v>
      </c>
      <c r="H46" t="str">
        <f>'4 Investigación abierta'!V14</f>
        <v>0</v>
      </c>
      <c r="I46" t="str">
        <f>'4 Investigación abierta'!W14</f>
        <v>Anual</v>
      </c>
      <c r="J46">
        <f>'4 Investigación abierta'!X14</f>
        <v>0</v>
      </c>
    </row>
    <row r="49" spans="1:10">
      <c r="A49" s="39" t="s">
        <v>455</v>
      </c>
      <c r="B49" s="39"/>
      <c r="C49" s="39"/>
      <c r="D49" s="39"/>
      <c r="E49" s="39"/>
      <c r="F49" s="39"/>
      <c r="G49" s="39"/>
      <c r="H49" s="39"/>
      <c r="I49" s="39"/>
      <c r="J49" s="39"/>
    </row>
    <row r="50" spans="1:10">
      <c r="A50" s="246" t="s">
        <v>452</v>
      </c>
      <c r="B50" s="247" t="s">
        <v>24</v>
      </c>
      <c r="C50" s="248" t="s">
        <v>5</v>
      </c>
      <c r="D50" s="249"/>
      <c r="E50" s="249"/>
      <c r="F50" s="249"/>
      <c r="G50" s="249"/>
      <c r="H50" s="110"/>
      <c r="I50" s="189" t="s">
        <v>6</v>
      </c>
      <c r="J50" s="250" t="s">
        <v>7</v>
      </c>
    </row>
    <row r="51" spans="1:10" ht="24">
      <c r="A51" s="246"/>
      <c r="B51" s="247"/>
      <c r="C51" s="7" t="s">
        <v>105</v>
      </c>
      <c r="D51" s="4">
        <v>2026</v>
      </c>
      <c r="E51" s="4">
        <v>2027</v>
      </c>
      <c r="F51" s="4">
        <v>2028</v>
      </c>
      <c r="G51" s="4">
        <v>2029</v>
      </c>
      <c r="H51" s="4">
        <v>2030</v>
      </c>
      <c r="I51" s="190"/>
      <c r="J51" s="251"/>
    </row>
    <row r="52" spans="1:10">
      <c r="A52" s="14">
        <v>2</v>
      </c>
      <c r="B52">
        <f>'8 Deporte universitario'!I4</f>
        <v>0</v>
      </c>
      <c r="C52" s="32" t="e">
        <f>'8 Deporte universitario'!#REF!</f>
        <v>#REF!</v>
      </c>
      <c r="D52" s="32" t="str">
        <f>'8 Deporte universitario'!R4</f>
        <v>0</v>
      </c>
      <c r="E52" s="32" t="str">
        <f>'8 Deporte universitario'!S4</f>
        <v>0</v>
      </c>
      <c r="F52" s="32" t="str">
        <f>'8 Deporte universitario'!T4</f>
        <v>0</v>
      </c>
      <c r="G52" s="32" t="str">
        <f>'8 Deporte universitario'!U4</f>
        <v>0</v>
      </c>
      <c r="H52" s="32" t="str">
        <f>'8 Deporte universitario'!V4</f>
        <v>0</v>
      </c>
      <c r="I52" t="str">
        <f>'8 Deporte universitario'!W4</f>
        <v>Anual</v>
      </c>
      <c r="J52">
        <f>'8 Deporte universitario'!X4</f>
        <v>0</v>
      </c>
    </row>
    <row r="53" spans="1:10">
      <c r="C53" s="32"/>
      <c r="D53" s="32"/>
      <c r="E53" s="32"/>
      <c r="F53" s="32"/>
      <c r="G53" s="32"/>
      <c r="H53" s="32"/>
    </row>
    <row r="54" spans="1:10">
      <c r="A54" s="14">
        <v>3</v>
      </c>
      <c r="B54">
        <f>'8 Deporte universitario'!I6</f>
        <v>0</v>
      </c>
      <c r="C54" s="32" t="e">
        <f>'8 Deporte universitario'!#REF!</f>
        <v>#REF!</v>
      </c>
      <c r="D54" s="32" t="str">
        <f>'8 Deporte universitario'!R6</f>
        <v>0</v>
      </c>
      <c r="E54" s="32" t="str">
        <f>'8 Deporte universitario'!S6</f>
        <v>0</v>
      </c>
      <c r="F54" s="32" t="str">
        <f>'8 Deporte universitario'!T6</f>
        <v>0</v>
      </c>
      <c r="G54" s="32" t="str">
        <f>'8 Deporte universitario'!U6</f>
        <v>0</v>
      </c>
      <c r="H54" s="32" t="str">
        <f>'8 Deporte universitario'!V6</f>
        <v>0</v>
      </c>
      <c r="I54" t="str">
        <f>'8 Deporte universitario'!W6</f>
        <v>Anual</v>
      </c>
      <c r="J54">
        <f>'8 Deporte universitario'!X6</f>
        <v>0</v>
      </c>
    </row>
    <row r="55" spans="1:10">
      <c r="C55" s="32"/>
      <c r="D55" s="32"/>
      <c r="E55" s="32"/>
      <c r="F55" s="32"/>
      <c r="G55" s="32"/>
      <c r="H55" s="32"/>
    </row>
    <row r="56" spans="1:10">
      <c r="A56" s="14">
        <v>4</v>
      </c>
      <c r="B56">
        <f>'8 Deporte universitario'!I8</f>
        <v>0</v>
      </c>
      <c r="C56" s="32" t="e">
        <f>'8 Deporte universitario'!#REF!</f>
        <v>#REF!</v>
      </c>
      <c r="D56" s="32" t="str">
        <f>'8 Deporte universitario'!R8</f>
        <v>0</v>
      </c>
      <c r="E56" s="32" t="str">
        <f>'8 Deporte universitario'!S8</f>
        <v>0</v>
      </c>
      <c r="F56" s="32" t="str">
        <f>'8 Deporte universitario'!T8</f>
        <v>0</v>
      </c>
      <c r="G56" s="32" t="str">
        <f>'8 Deporte universitario'!U8</f>
        <v>0</v>
      </c>
      <c r="H56" s="32" t="str">
        <f>'8 Deporte universitario'!V8</f>
        <v>0</v>
      </c>
      <c r="I56" t="str">
        <f>'8 Deporte universitario'!W8</f>
        <v>Anual</v>
      </c>
      <c r="J56">
        <f>'8 Deporte universitario'!X8</f>
        <v>0</v>
      </c>
    </row>
    <row r="59" spans="1:10">
      <c r="A59" s="39" t="s">
        <v>456</v>
      </c>
    </row>
    <row r="60" spans="1:10">
      <c r="A60" s="246" t="s">
        <v>452</v>
      </c>
      <c r="B60" s="247" t="s">
        <v>24</v>
      </c>
      <c r="C60" s="248" t="s">
        <v>5</v>
      </c>
      <c r="D60" s="249"/>
      <c r="E60" s="249"/>
      <c r="F60" s="249"/>
      <c r="G60" s="249"/>
      <c r="H60" s="110"/>
      <c r="I60" s="189" t="s">
        <v>6</v>
      </c>
      <c r="J60" s="250" t="s">
        <v>7</v>
      </c>
    </row>
    <row r="61" spans="1:10" ht="24">
      <c r="A61" s="246"/>
      <c r="B61" s="247"/>
      <c r="C61" s="7" t="s">
        <v>105</v>
      </c>
      <c r="D61" s="4">
        <v>2026</v>
      </c>
      <c r="E61" s="4">
        <v>2027</v>
      </c>
      <c r="F61" s="4">
        <v>2028</v>
      </c>
      <c r="G61" s="4">
        <v>2029</v>
      </c>
      <c r="H61" s="4">
        <v>2030</v>
      </c>
      <c r="I61" s="190"/>
      <c r="J61" s="251"/>
    </row>
    <row r="62" spans="1:10">
      <c r="A62" s="14">
        <v>1</v>
      </c>
      <c r="B62" cm="1">
        <f t="array" ref="B62:B63">'9 Fortalecimiento docente'!I3:I4</f>
        <v>0</v>
      </c>
      <c r="C62" t="e">
        <f>'9 Fortalecimiento docente'!#REF!</f>
        <v>#REF!</v>
      </c>
      <c r="D62" t="str">
        <f>'9 Fortalecimiento docente'!R3</f>
        <v>0</v>
      </c>
      <c r="E62" t="str">
        <f>'9 Fortalecimiento docente'!S3</f>
        <v>0</v>
      </c>
      <c r="F62" t="str">
        <f>'9 Fortalecimiento docente'!T3</f>
        <v>0</v>
      </c>
      <c r="G62" t="str">
        <f>'9 Fortalecimiento docente'!U3</f>
        <v>0</v>
      </c>
      <c r="H62" t="str">
        <f>'9 Fortalecimiento docente'!V3</f>
        <v>0</v>
      </c>
      <c r="I62" t="str">
        <f>'9 Fortalecimiento docente'!W3</f>
        <v>Anual</v>
      </c>
      <c r="J62">
        <f>'9 Fortalecimiento docente'!X3</f>
        <v>0</v>
      </c>
    </row>
    <row r="63" spans="1:10">
      <c r="B63">
        <v>0</v>
      </c>
    </row>
    <row r="64" spans="1:10">
      <c r="A64" s="14">
        <v>2</v>
      </c>
      <c r="B64" cm="1">
        <f t="array" ref="B64:B65">'9 Fortalecimiento docente'!I5:I6</f>
        <v>0</v>
      </c>
      <c r="C64" t="e">
        <f>'9 Fortalecimiento docente'!#REF!</f>
        <v>#REF!</v>
      </c>
      <c r="D64" t="str">
        <f>'9 Fortalecimiento docente'!R5</f>
        <v>0</v>
      </c>
      <c r="E64" t="str">
        <f>'9 Fortalecimiento docente'!S5</f>
        <v>0</v>
      </c>
      <c r="F64" t="str">
        <f>'9 Fortalecimiento docente'!T5</f>
        <v>0</v>
      </c>
      <c r="G64" t="str">
        <f>'9 Fortalecimiento docente'!U5</f>
        <v>0</v>
      </c>
      <c r="H64" t="str">
        <f>'9 Fortalecimiento docente'!V5</f>
        <v>0</v>
      </c>
      <c r="I64" t="str">
        <f>'9 Fortalecimiento docente'!W5</f>
        <v>Anual</v>
      </c>
      <c r="J64">
        <f>'9 Fortalecimiento docente'!X5</f>
        <v>0</v>
      </c>
    </row>
    <row r="65" spans="1:10">
      <c r="B65">
        <v>0</v>
      </c>
    </row>
    <row r="66" spans="1:10">
      <c r="A66" s="14">
        <v>3</v>
      </c>
      <c r="B66" cm="1">
        <f t="array" ref="B66:B67">'9 Fortalecimiento docente'!I7:I8</f>
        <v>0</v>
      </c>
      <c r="C66" t="e">
        <f>'9 Fortalecimiento docente'!#REF!</f>
        <v>#REF!</v>
      </c>
      <c r="D66" t="str">
        <f>'9 Fortalecimiento docente'!R7</f>
        <v>0</v>
      </c>
      <c r="E66" t="str">
        <f>'9 Fortalecimiento docente'!S7</f>
        <v>0</v>
      </c>
      <c r="F66" t="str">
        <f>'9 Fortalecimiento docente'!T7</f>
        <v>0</v>
      </c>
      <c r="G66" t="str">
        <f>'9 Fortalecimiento docente'!U7</f>
        <v>0</v>
      </c>
      <c r="H66" t="str">
        <f>'9 Fortalecimiento docente'!V7</f>
        <v>0</v>
      </c>
      <c r="I66" t="str">
        <f>'9 Fortalecimiento docente'!W7</f>
        <v>Anual</v>
      </c>
      <c r="J66">
        <f>'9 Fortalecimiento docente'!X7</f>
        <v>0</v>
      </c>
    </row>
    <row r="67" spans="1:10">
      <c r="B67">
        <v>0</v>
      </c>
    </row>
    <row r="68" spans="1:10">
      <c r="A68" s="14">
        <v>4</v>
      </c>
      <c r="B68" cm="1">
        <f t="array" ref="B68:B69">'9 Fortalecimiento docente'!I9:I10</f>
        <v>0</v>
      </c>
      <c r="C68" t="e">
        <f>'9 Fortalecimiento docente'!#REF!</f>
        <v>#REF!</v>
      </c>
      <c r="D68" t="str">
        <f>'9 Fortalecimiento docente'!R9</f>
        <v>0</v>
      </c>
      <c r="E68" t="str">
        <f>'9 Fortalecimiento docente'!S9</f>
        <v>0</v>
      </c>
      <c r="F68" t="str">
        <f>'9 Fortalecimiento docente'!T9</f>
        <v>0</v>
      </c>
      <c r="G68" t="str">
        <f>'9 Fortalecimiento docente'!U9</f>
        <v>0</v>
      </c>
      <c r="H68" t="str">
        <f>'9 Fortalecimiento docente'!V9</f>
        <v>0</v>
      </c>
      <c r="I68" t="str">
        <f>'9 Fortalecimiento docente'!W9</f>
        <v>Anual</v>
      </c>
      <c r="J68">
        <f>'9 Fortalecimiento docente'!X9</f>
        <v>0</v>
      </c>
    </row>
    <row r="69" spans="1:10">
      <c r="B69">
        <v>0</v>
      </c>
    </row>
    <row r="70" spans="1:10">
      <c r="A70" s="14">
        <v>5</v>
      </c>
      <c r="B70" cm="1">
        <f t="array" ref="B70:B71">'9 Fortalecimiento docente'!I11:I12</f>
        <v>0</v>
      </c>
      <c r="C70" t="e">
        <f>'9 Fortalecimiento docente'!#REF!</f>
        <v>#REF!</v>
      </c>
      <c r="D70" t="str">
        <f>'9 Fortalecimiento docente'!R11</f>
        <v>0</v>
      </c>
      <c r="E70" t="str">
        <f>'9 Fortalecimiento docente'!S11</f>
        <v>0</v>
      </c>
      <c r="F70" t="str">
        <f>'9 Fortalecimiento docente'!T11</f>
        <v>0</v>
      </c>
      <c r="G70" t="str">
        <f>'9 Fortalecimiento docente'!U11</f>
        <v>0</v>
      </c>
      <c r="H70" t="str">
        <f>'9 Fortalecimiento docente'!V11</f>
        <v>0</v>
      </c>
      <c r="I70" t="str">
        <f>'9 Fortalecimiento docente'!W11</f>
        <v>Anual</v>
      </c>
      <c r="J70">
        <f>'9 Fortalecimiento docente'!X11</f>
        <v>0</v>
      </c>
    </row>
    <row r="71" spans="1:10">
      <c r="B71">
        <v>0</v>
      </c>
    </row>
    <row r="72" spans="1:10">
      <c r="A72" s="14">
        <v>8</v>
      </c>
      <c r="B72">
        <f>'9 Fortalecimiento docente'!I15</f>
        <v>0</v>
      </c>
      <c r="C72" t="e">
        <f>'9 Fortalecimiento docente'!#REF!</f>
        <v>#REF!</v>
      </c>
      <c r="D72" t="str">
        <f>'9 Fortalecimiento docente'!R15</f>
        <v>0</v>
      </c>
      <c r="E72" t="str">
        <f>'9 Fortalecimiento docente'!S15</f>
        <v>0</v>
      </c>
      <c r="F72" t="str">
        <f>'9 Fortalecimiento docente'!T15</f>
        <v>0</v>
      </c>
      <c r="G72" t="str">
        <f>'9 Fortalecimiento docente'!U15</f>
        <v>0</v>
      </c>
      <c r="H72" t="str">
        <f>'9 Fortalecimiento docente'!V15</f>
        <v>0</v>
      </c>
      <c r="I72" t="str">
        <f>'9 Fortalecimiento docente'!W15</f>
        <v>Acumulada</v>
      </c>
      <c r="J72">
        <f>'9 Fortalecimiento docente'!X15</f>
        <v>0</v>
      </c>
    </row>
    <row r="75" spans="1:10">
      <c r="A75" s="39" t="s">
        <v>457</v>
      </c>
    </row>
    <row r="76" spans="1:10">
      <c r="A76" s="246" t="s">
        <v>452</v>
      </c>
      <c r="B76" s="247" t="s">
        <v>24</v>
      </c>
      <c r="C76" s="248" t="s">
        <v>5</v>
      </c>
      <c r="D76" s="249"/>
      <c r="E76" s="249"/>
      <c r="F76" s="249"/>
      <c r="G76" s="249"/>
      <c r="H76" s="110"/>
      <c r="I76" s="189" t="s">
        <v>6</v>
      </c>
      <c r="J76" s="250" t="s">
        <v>7</v>
      </c>
    </row>
    <row r="77" spans="1:10" ht="24">
      <c r="A77" s="246"/>
      <c r="B77" s="247"/>
      <c r="C77" s="7" t="s">
        <v>105</v>
      </c>
      <c r="D77" s="4">
        <v>2026</v>
      </c>
      <c r="E77" s="4">
        <v>2027</v>
      </c>
      <c r="F77" s="4">
        <v>2028</v>
      </c>
      <c r="G77" s="4">
        <v>2029</v>
      </c>
      <c r="H77" s="4">
        <v>2030</v>
      </c>
      <c r="I77" s="190"/>
      <c r="J77" s="251"/>
    </row>
    <row r="78" spans="1:10">
      <c r="A78" s="14">
        <v>1</v>
      </c>
      <c r="B78">
        <f>'10 Dignificación las y los trab'!I3</f>
        <v>0</v>
      </c>
      <c r="C78" t="e">
        <f>'10 Dignificación las y los trab'!#REF!</f>
        <v>#REF!</v>
      </c>
      <c r="D78" t="str">
        <f>'10 Dignificación las y los trab'!R3</f>
        <v>0</v>
      </c>
      <c r="E78" t="str">
        <f>'10 Dignificación las y los trab'!S3</f>
        <v>0</v>
      </c>
      <c r="F78" t="str">
        <f>'10 Dignificación las y los trab'!T3</f>
        <v>0</v>
      </c>
      <c r="G78" t="str">
        <f>'10 Dignificación las y los trab'!U3</f>
        <v>0</v>
      </c>
      <c r="H78" t="str">
        <f>'10 Dignificación las y los trab'!V3</f>
        <v>0</v>
      </c>
      <c r="I78" t="str">
        <f>'10 Dignificación las y los trab'!W3</f>
        <v>Anual</v>
      </c>
      <c r="J78">
        <f>'10 Dignificación las y los trab'!X3</f>
        <v>0</v>
      </c>
    </row>
    <row r="80" spans="1:10">
      <c r="A80" s="14">
        <v>2</v>
      </c>
      <c r="B80">
        <f>'10 Dignificación las y los trab'!I5</f>
        <v>0</v>
      </c>
      <c r="C80" t="e">
        <f>'10 Dignificación las y los trab'!#REF!</f>
        <v>#REF!</v>
      </c>
      <c r="D80" t="str">
        <f>'10 Dignificación las y los trab'!R5</f>
        <v>0</v>
      </c>
      <c r="E80" t="str">
        <f>'10 Dignificación las y los trab'!S5</f>
        <v>0</v>
      </c>
      <c r="F80" t="str">
        <f>'10 Dignificación las y los trab'!T5</f>
        <v>0</v>
      </c>
      <c r="G80" t="str">
        <f>'10 Dignificación las y los trab'!U5</f>
        <v>0</v>
      </c>
      <c r="H80" t="str">
        <f>'10 Dignificación las y los trab'!V5</f>
        <v>0</v>
      </c>
      <c r="I80" t="str">
        <f>'10 Dignificación las y los trab'!W5</f>
        <v>Anual</v>
      </c>
      <c r="J80">
        <f>'10 Dignificación las y los trab'!X5</f>
        <v>0</v>
      </c>
    </row>
    <row r="82" spans="1:10">
      <c r="A82" s="14">
        <v>3</v>
      </c>
      <c r="B82">
        <f>'10 Dignificación las y los trab'!I7</f>
        <v>0</v>
      </c>
      <c r="C82" t="e">
        <f>'10 Dignificación las y los trab'!#REF!</f>
        <v>#REF!</v>
      </c>
      <c r="D82" t="str">
        <f>'10 Dignificación las y los trab'!R7</f>
        <v>0</v>
      </c>
      <c r="E82" t="str">
        <f>'10 Dignificación las y los trab'!S7</f>
        <v>0</v>
      </c>
      <c r="F82" t="str">
        <f>'10 Dignificación las y los trab'!T7</f>
        <v>0</v>
      </c>
      <c r="G82" t="str">
        <f>'10 Dignificación las y los trab'!U7</f>
        <v>0</v>
      </c>
      <c r="H82" t="str">
        <f>'10 Dignificación las y los trab'!V7</f>
        <v>0</v>
      </c>
      <c r="I82" t="str">
        <f>'10 Dignificación las y los trab'!W7</f>
        <v>Anual</v>
      </c>
      <c r="J82">
        <f>'10 Dignificación las y los trab'!X7</f>
        <v>0</v>
      </c>
    </row>
    <row r="85" spans="1:10">
      <c r="A85" s="39" t="s">
        <v>458</v>
      </c>
    </row>
    <row r="86" spans="1:10">
      <c r="A86" s="246" t="s">
        <v>452</v>
      </c>
      <c r="B86" s="247" t="s">
        <v>24</v>
      </c>
      <c r="C86" s="248" t="s">
        <v>5</v>
      </c>
      <c r="D86" s="249"/>
      <c r="E86" s="249"/>
      <c r="F86" s="249"/>
      <c r="G86" s="249"/>
      <c r="H86" s="110"/>
      <c r="I86" s="189" t="s">
        <v>6</v>
      </c>
      <c r="J86" s="250" t="s">
        <v>7</v>
      </c>
    </row>
    <row r="87" spans="1:10" ht="24">
      <c r="A87" s="246"/>
      <c r="B87" s="247"/>
      <c r="C87" s="7" t="s">
        <v>105</v>
      </c>
      <c r="D87" s="4">
        <v>2026</v>
      </c>
      <c r="E87" s="4">
        <v>2027</v>
      </c>
      <c r="F87" s="4">
        <v>2028</v>
      </c>
      <c r="G87" s="4">
        <v>2029</v>
      </c>
      <c r="H87" s="4">
        <v>2030</v>
      </c>
      <c r="I87" s="190"/>
      <c r="J87" s="251"/>
    </row>
    <row r="88" spans="1:10">
      <c r="A88" s="14">
        <v>1</v>
      </c>
      <c r="B88" cm="1">
        <f t="array" ref="B88:B89">'18 Reconocimiento de la diversi'!I3:I4</f>
        <v>0</v>
      </c>
      <c r="C88" t="e" cm="1">
        <f t="array" ref="C88">'18 Reconocimiento de la diversi'!#REF!</f>
        <v>#REF!</v>
      </c>
      <c r="D88" t="str" cm="1">
        <f t="array" ref="D88:D89">'18 Reconocimiento de la diversi'!R3:R4</f>
        <v>0</v>
      </c>
      <c r="E88" t="str" cm="1">
        <f t="array" ref="E88:E89">'18 Reconocimiento de la diversi'!S3:S4</f>
        <v>0</v>
      </c>
      <c r="F88" t="str" cm="1">
        <f t="array" ref="F88:F89">'18 Reconocimiento de la diversi'!T3:T4</f>
        <v>0</v>
      </c>
      <c r="G88" t="str" cm="1">
        <f t="array" ref="G88:G89">'18 Reconocimiento de la diversi'!U3:U4</f>
        <v>0</v>
      </c>
      <c r="H88" t="str" cm="1">
        <f t="array" ref="H88:H89">'18 Reconocimiento de la diversi'!V3:V4</f>
        <v>0</v>
      </c>
      <c r="I88" t="str" cm="1">
        <f t="array" ref="I88:I89">'18 Reconocimiento de la diversi'!W3:W4</f>
        <v>Anual</v>
      </c>
      <c r="J88" cm="1">
        <f t="array" ref="J88:J89">'18 Reconocimiento de la diversi'!X3:X4</f>
        <v>0</v>
      </c>
    </row>
    <row r="89" spans="1:10">
      <c r="B89">
        <v>0</v>
      </c>
      <c r="D89">
        <v>0</v>
      </c>
      <c r="E89">
        <v>0</v>
      </c>
      <c r="F89">
        <v>0</v>
      </c>
      <c r="G89">
        <v>0</v>
      </c>
      <c r="H89">
        <v>0</v>
      </c>
      <c r="I89">
        <v>0</v>
      </c>
      <c r="J89">
        <v>0</v>
      </c>
    </row>
    <row r="90" spans="1:10">
      <c r="A90" s="14">
        <v>3</v>
      </c>
      <c r="B90" cm="1">
        <f t="array" ref="B90:B91">'18 Reconocimiento de la diversi'!I6:I7</f>
        <v>0</v>
      </c>
      <c r="C90" t="e" cm="1">
        <f t="array" ref="C90">'18 Reconocimiento de la diversi'!#REF!</f>
        <v>#REF!</v>
      </c>
      <c r="D90" t="str" cm="1">
        <f t="array" ref="D90:D91">'18 Reconocimiento de la diversi'!R6:R7</f>
        <v>0</v>
      </c>
      <c r="E90" t="str" cm="1">
        <f t="array" ref="E90:E91">'18 Reconocimiento de la diversi'!S6:S7</f>
        <v>0</v>
      </c>
      <c r="F90" t="str" cm="1">
        <f t="array" ref="F90:F91">'18 Reconocimiento de la diversi'!T6:T7</f>
        <v>0</v>
      </c>
      <c r="G90" t="str" cm="1">
        <f t="array" ref="G90:G91">'18 Reconocimiento de la diversi'!U6:U7</f>
        <v>0</v>
      </c>
      <c r="H90" t="str" cm="1">
        <f t="array" ref="H90:H91">'18 Reconocimiento de la diversi'!V6:V7</f>
        <v>0</v>
      </c>
      <c r="I90" t="str" cm="1">
        <f t="array" ref="I90:I91">'18 Reconocimiento de la diversi'!W6:W7</f>
        <v>Anual</v>
      </c>
      <c r="J90" cm="1">
        <f t="array" ref="J90:J91">'18 Reconocimiento de la diversi'!X6:X7</f>
        <v>0</v>
      </c>
    </row>
    <row r="91" spans="1:10">
      <c r="B91">
        <v>0</v>
      </c>
      <c r="D91">
        <v>0</v>
      </c>
      <c r="E91">
        <v>0</v>
      </c>
      <c r="F91">
        <v>0</v>
      </c>
      <c r="G91">
        <v>0</v>
      </c>
      <c r="H91">
        <v>0</v>
      </c>
      <c r="I91">
        <v>0</v>
      </c>
      <c r="J91">
        <v>0</v>
      </c>
    </row>
    <row r="93" spans="1:10">
      <c r="A93" s="39" t="s">
        <v>459</v>
      </c>
    </row>
    <row r="94" spans="1:10">
      <c r="A94" s="246" t="s">
        <v>452</v>
      </c>
      <c r="B94" s="247" t="s">
        <v>24</v>
      </c>
      <c r="C94" s="248" t="s">
        <v>5</v>
      </c>
      <c r="D94" s="249"/>
      <c r="E94" s="249"/>
      <c r="F94" s="249"/>
      <c r="G94" s="249"/>
      <c r="H94" s="110"/>
      <c r="I94" s="189" t="s">
        <v>6</v>
      </c>
      <c r="J94" s="250" t="s">
        <v>7</v>
      </c>
    </row>
    <row r="95" spans="1:10" ht="24">
      <c r="A95" s="246"/>
      <c r="B95" s="247"/>
      <c r="C95" s="7" t="s">
        <v>105</v>
      </c>
      <c r="D95" s="4">
        <v>2026</v>
      </c>
      <c r="E95" s="4">
        <v>2027</v>
      </c>
      <c r="F95" s="4">
        <v>2028</v>
      </c>
      <c r="G95" s="4">
        <v>2029</v>
      </c>
      <c r="H95" s="4">
        <v>2030</v>
      </c>
      <c r="I95" s="190"/>
      <c r="J95" s="251"/>
    </row>
    <row r="96" spans="1:10">
      <c r="A96" s="14">
        <v>1</v>
      </c>
      <c r="B96" cm="1">
        <f t="array" ref="B96">'19 Constr cultura de paz '!I3:I3</f>
        <v>0</v>
      </c>
      <c r="C96" t="e" cm="1">
        <f t="array" ref="C96">'19 Constr cultura de paz '!#REF!</f>
        <v>#REF!</v>
      </c>
      <c r="D96" cm="1">
        <f t="array" ref="D96">'19 Constr cultura de paz '!R3:R3</f>
        <v>5</v>
      </c>
      <c r="E96" cm="1">
        <f t="array" ref="E96">'19 Constr cultura de paz '!S3:S3</f>
        <v>6</v>
      </c>
      <c r="F96" cm="1">
        <f t="array" ref="F96">'19 Constr cultura de paz '!T3:T3</f>
        <v>7</v>
      </c>
      <c r="G96" cm="1">
        <f t="array" ref="G96">'19 Constr cultura de paz '!U3:U3</f>
        <v>0</v>
      </c>
      <c r="H96" cm="1">
        <f t="array" ref="H96">'19 Constr cultura de paz '!V3:V3</f>
        <v>9</v>
      </c>
      <c r="I96" t="str" cm="1">
        <f t="array" ref="I96">'19 Constr cultura de paz '!W3:W3</f>
        <v>Anual</v>
      </c>
      <c r="J96" cm="1">
        <f t="array" ref="J96">'19 Constr cultura de paz '!X3:X3</f>
        <v>0</v>
      </c>
    </row>
    <row r="98" spans="1:10">
      <c r="A98" s="14">
        <v>5</v>
      </c>
      <c r="B98" cm="1">
        <f t="array" ref="B98:B99">'19 Constr cultura de paz '!I7:I8</f>
        <v>0</v>
      </c>
      <c r="C98" t="e" cm="1">
        <f t="array" ref="C98">'19 Constr cultura de paz '!#REF!</f>
        <v>#REF!</v>
      </c>
      <c r="D98" t="str" cm="1">
        <f t="array" ref="D98:D99">'19 Constr cultura de paz '!R7:R8</f>
        <v>0</v>
      </c>
      <c r="E98" t="str" cm="1">
        <f t="array" ref="E98:E99">'19 Constr cultura de paz '!S7:S8</f>
        <v>0</v>
      </c>
      <c r="F98" t="str" cm="1">
        <f t="array" ref="F98:F99">'19 Constr cultura de paz '!T7:T8</f>
        <v>0</v>
      </c>
      <c r="G98" t="str" cm="1">
        <f t="array" ref="G98:G99">'19 Constr cultura de paz '!U7:U8</f>
        <v>0</v>
      </c>
      <c r="H98" t="str" cm="1">
        <f t="array" ref="H98:H99">'19 Constr cultura de paz '!V7:V8</f>
        <v>0</v>
      </c>
      <c r="I98" t="str" cm="1">
        <f t="array" ref="I98:I99">'19 Constr cultura de paz '!W7:W8</f>
        <v xml:space="preserve">Anual </v>
      </c>
      <c r="J98" cm="1">
        <f t="array" ref="J98:J99">'19 Constr cultura de paz '!X7:X8</f>
        <v>0</v>
      </c>
    </row>
    <row r="99" spans="1:10">
      <c r="B99">
        <v>0</v>
      </c>
      <c r="D99">
        <v>0</v>
      </c>
      <c r="E99">
        <v>0</v>
      </c>
      <c r="F99">
        <v>0</v>
      </c>
      <c r="G99">
        <v>0</v>
      </c>
      <c r="H99">
        <v>0</v>
      </c>
      <c r="I99">
        <v>0</v>
      </c>
      <c r="J99">
        <v>0</v>
      </c>
    </row>
    <row r="101" spans="1:10">
      <c r="A101" s="39" t="s">
        <v>460</v>
      </c>
    </row>
    <row r="102" spans="1:10">
      <c r="A102" s="246" t="s">
        <v>452</v>
      </c>
      <c r="B102" s="247" t="s">
        <v>24</v>
      </c>
      <c r="C102" s="248" t="s">
        <v>5</v>
      </c>
      <c r="D102" s="249"/>
      <c r="E102" s="249"/>
      <c r="F102" s="249"/>
      <c r="G102" s="249"/>
      <c r="H102" s="110"/>
      <c r="I102" s="189" t="s">
        <v>6</v>
      </c>
      <c r="J102" s="250" t="s">
        <v>7</v>
      </c>
    </row>
    <row r="103" spans="1:10" ht="24">
      <c r="A103" s="246"/>
      <c r="B103" s="247"/>
      <c r="C103" s="7" t="s">
        <v>105</v>
      </c>
      <c r="D103" s="4">
        <v>2026</v>
      </c>
      <c r="E103" s="4">
        <v>2027</v>
      </c>
      <c r="F103" s="4">
        <v>2028</v>
      </c>
      <c r="G103" s="4">
        <v>2029</v>
      </c>
      <c r="H103" s="4"/>
      <c r="I103" s="190"/>
      <c r="J103" s="251"/>
    </row>
    <row r="104" spans="1:10">
      <c r="A104" s="14">
        <v>7</v>
      </c>
      <c r="B104" cm="1">
        <f t="array" ref="B104:B105">'20 Retribución social '!I9:I10</f>
        <v>0</v>
      </c>
      <c r="C104" t="e" cm="1">
        <f t="array" ref="C104">'20 Retribución social '!#REF!</f>
        <v>#REF!</v>
      </c>
      <c r="D104" t="str" cm="1">
        <f t="array" ref="D104:D105">'20 Retribución social '!R9:R10</f>
        <v>0</v>
      </c>
      <c r="E104" t="str" cm="1">
        <f t="array" ref="E104:E105">'20 Retribución social '!S9:S10</f>
        <v>0</v>
      </c>
      <c r="F104" t="str" cm="1">
        <f t="array" ref="F104:F105">'20 Retribución social '!T9:T10</f>
        <v>0</v>
      </c>
      <c r="G104" t="str" cm="1">
        <f t="array" ref="G104:G105">'20 Retribución social '!U9:U10</f>
        <v>0</v>
      </c>
      <c r="H104" t="str" cm="1">
        <f t="array" ref="H104:H105">'20 Retribución social '!V9:V10</f>
        <v>0</v>
      </c>
      <c r="I104" t="str" cm="1">
        <f t="array" ref="I104:I105">'20 Retribución social '!W9:W10</f>
        <v>Anual</v>
      </c>
      <c r="J104" cm="1">
        <f t="array" ref="J104:J105">'20 Retribución social '!X9:X10</f>
        <v>0</v>
      </c>
    </row>
    <row r="105" spans="1:10">
      <c r="B105">
        <v>0</v>
      </c>
      <c r="D105">
        <v>0</v>
      </c>
      <c r="E105">
        <v>0</v>
      </c>
      <c r="F105">
        <v>0</v>
      </c>
      <c r="G105">
        <v>0</v>
      </c>
      <c r="H105">
        <v>0</v>
      </c>
      <c r="I105">
        <v>0</v>
      </c>
      <c r="J105">
        <v>0</v>
      </c>
    </row>
  </sheetData>
  <mergeCells count="48">
    <mergeCell ref="A102:A103"/>
    <mergeCell ref="B102:B103"/>
    <mergeCell ref="C102:G102"/>
    <mergeCell ref="I102:I103"/>
    <mergeCell ref="J102:J103"/>
    <mergeCell ref="A94:A95"/>
    <mergeCell ref="B94:B95"/>
    <mergeCell ref="C94:G94"/>
    <mergeCell ref="I94:I95"/>
    <mergeCell ref="J94:J95"/>
    <mergeCell ref="A86:A87"/>
    <mergeCell ref="B86:B87"/>
    <mergeCell ref="C86:G86"/>
    <mergeCell ref="I86:I87"/>
    <mergeCell ref="J86:J87"/>
    <mergeCell ref="A76:A77"/>
    <mergeCell ref="B76:B77"/>
    <mergeCell ref="C76:G76"/>
    <mergeCell ref="I76:I77"/>
    <mergeCell ref="J76:J77"/>
    <mergeCell ref="A60:A61"/>
    <mergeCell ref="B60:B61"/>
    <mergeCell ref="C60:G60"/>
    <mergeCell ref="I60:I61"/>
    <mergeCell ref="J60:J61"/>
    <mergeCell ref="A4:J4"/>
    <mergeCell ref="A5:J5"/>
    <mergeCell ref="A29:J29"/>
    <mergeCell ref="A30:A31"/>
    <mergeCell ref="B30:B31"/>
    <mergeCell ref="C30:G30"/>
    <mergeCell ref="I30:I31"/>
    <mergeCell ref="J30:J31"/>
    <mergeCell ref="C6:G6"/>
    <mergeCell ref="I6:I7"/>
    <mergeCell ref="J6:J7"/>
    <mergeCell ref="B6:B7"/>
    <mergeCell ref="A6:A7"/>
    <mergeCell ref="A36:A37"/>
    <mergeCell ref="B36:B37"/>
    <mergeCell ref="C36:G36"/>
    <mergeCell ref="I36:I37"/>
    <mergeCell ref="J36:J37"/>
    <mergeCell ref="A50:A51"/>
    <mergeCell ref="B50:B51"/>
    <mergeCell ref="C50:G50"/>
    <mergeCell ref="I50:I51"/>
    <mergeCell ref="J50:J5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02857-80A5-4550-82E0-094FB8CDA4DF}">
  <sheetPr>
    <tabColor theme="9" tint="0.39997558519241921"/>
  </sheetPr>
  <dimension ref="A1:P224"/>
  <sheetViews>
    <sheetView showGridLines="0" topLeftCell="A198" zoomScale="85" zoomScaleNormal="85" workbookViewId="0">
      <selection activeCell="I178" sqref="I178"/>
    </sheetView>
  </sheetViews>
  <sheetFormatPr baseColWidth="10" defaultColWidth="11.42578125" defaultRowHeight="15.75"/>
  <cols>
    <col min="1" max="1" width="11.42578125" style="33"/>
    <col min="2" max="2" width="29.7109375" style="33" customWidth="1"/>
    <col min="3" max="8" width="10.42578125" style="35" customWidth="1"/>
    <col min="9" max="9" width="12.7109375" style="35" customWidth="1"/>
    <col min="10" max="10" width="20.28515625" style="35" customWidth="1"/>
    <col min="11" max="11" width="11.85546875" style="33" bestFit="1" customWidth="1"/>
    <col min="12" max="12" width="11.42578125" style="33"/>
    <col min="13" max="13" width="12.5703125" style="33" bestFit="1" customWidth="1"/>
    <col min="14" max="16384" width="11.42578125" style="33"/>
  </cols>
  <sheetData>
    <row r="1" spans="1:11" ht="21.75">
      <c r="F1" s="137" t="s">
        <v>29</v>
      </c>
      <c r="G1" s="137"/>
      <c r="H1" s="137"/>
      <c r="I1" s="137"/>
      <c r="J1" s="34">
        <v>46265</v>
      </c>
    </row>
    <row r="2" spans="1:11">
      <c r="K2" s="36"/>
    </row>
    <row r="4" spans="1:11" ht="19.5">
      <c r="A4" s="138" t="s">
        <v>445</v>
      </c>
      <c r="B4" s="139"/>
      <c r="C4" s="139"/>
      <c r="D4" s="139"/>
      <c r="E4" s="139"/>
      <c r="F4" s="139"/>
      <c r="G4" s="139"/>
      <c r="H4" s="139"/>
      <c r="I4" s="139"/>
      <c r="J4" s="139"/>
    </row>
    <row r="5" spans="1:11" ht="16.5">
      <c r="A5" s="133" t="s">
        <v>609</v>
      </c>
      <c r="B5" s="133"/>
      <c r="C5" s="133"/>
      <c r="D5" s="133"/>
      <c r="E5" s="133"/>
      <c r="F5" s="133"/>
      <c r="G5" s="133"/>
      <c r="H5" s="133"/>
      <c r="I5" s="133"/>
      <c r="J5" s="133"/>
    </row>
    <row r="6" spans="1:11">
      <c r="A6" s="134" t="s">
        <v>23</v>
      </c>
      <c r="B6" s="131" t="s">
        <v>24</v>
      </c>
      <c r="C6" s="131" t="s">
        <v>629</v>
      </c>
      <c r="D6" s="131">
        <v>2027</v>
      </c>
      <c r="E6" s="131">
        <v>2028</v>
      </c>
      <c r="F6" s="131">
        <v>2029</v>
      </c>
      <c r="G6" s="54" t="str">
        <f>TEXT($J$1,"mmmm")</f>
        <v>agosto</v>
      </c>
      <c r="H6" s="131" t="s">
        <v>25</v>
      </c>
      <c r="I6" s="131" t="s">
        <v>7</v>
      </c>
      <c r="J6" s="33"/>
    </row>
    <row r="7" spans="1:11" ht="16.5" thickBot="1">
      <c r="A7" s="135"/>
      <c r="B7" s="132"/>
      <c r="C7" s="132"/>
      <c r="D7" s="132"/>
      <c r="E7" s="132"/>
      <c r="F7" s="132"/>
      <c r="G7" s="55">
        <v>2030</v>
      </c>
      <c r="H7" s="132"/>
      <c r="I7" s="132"/>
      <c r="J7" s="33"/>
    </row>
    <row r="8" spans="1:11" ht="16.5" thickBot="1">
      <c r="A8" s="56">
        <v>1</v>
      </c>
      <c r="B8" s="57" t="str">
        <f>IF('2 EstudiantadoEstProf'!I3&lt;&gt;0,'2 EstudiantadoEstProf'!I3," -")</f>
        <v>meta fac</v>
      </c>
      <c r="C8" s="58" t="str">
        <f>IF('2 EstudiantadoEstProf'!R3&lt;&gt;0,'2 EstudiantadoEstProf'!R3,"-")</f>
        <v>-</v>
      </c>
      <c r="D8" s="58" t="str">
        <f>IF('2 EstudiantadoEstProf'!S3&lt;&gt;0,'2 EstudiantadoEstProf'!S3,"-")</f>
        <v>-</v>
      </c>
      <c r="E8" s="58" t="str">
        <f>IF('2 EstudiantadoEstProf'!T3&lt;&gt;0,'2 EstudiantadoEstProf'!T3,"-")</f>
        <v>-</v>
      </c>
      <c r="F8" s="58" t="str">
        <f>IF('2 EstudiantadoEstProf'!U3&lt;&gt;0,'2 EstudiantadoEstProf'!U3,"-")</f>
        <v>-</v>
      </c>
      <c r="G8" s="58" t="str">
        <f>IF('2 EstudiantadoEstProf'!V3&lt;&gt;0,'2 EstudiantadoEstProf'!V3,"-")</f>
        <v>-</v>
      </c>
      <c r="H8" s="58" t="str">
        <f>'2 EstudiantadoEstProf'!W3</f>
        <v>Anual</v>
      </c>
      <c r="I8" s="58" t="str">
        <f>IF('2 EstudiantadoEstProf'!X3&lt;&gt;0,'2 EstudiantadoEstProf'!X3,"-")</f>
        <v>-</v>
      </c>
      <c r="J8" s="33"/>
    </row>
    <row r="9" spans="1:11" ht="16.5" thickBot="1">
      <c r="A9" s="56">
        <v>2</v>
      </c>
      <c r="B9" s="57" t="str">
        <f>IF('2 EstudiantadoEstProf'!I4&lt;&gt;0,'2 EstudiantadoEstProf'!I4," -")</f>
        <v xml:space="preserve"> -</v>
      </c>
      <c r="C9" s="58" t="str">
        <f>IF('2 EstudiantadoEstProf'!R4&lt;&gt;0,'2 EstudiantadoEstProf'!R4,"-")</f>
        <v>-</v>
      </c>
      <c r="D9" s="58" t="str">
        <f>IF('2 EstudiantadoEstProf'!S4&lt;&gt;0,'2 EstudiantadoEstProf'!S4,"-")</f>
        <v>-</v>
      </c>
      <c r="E9" s="58" t="str">
        <f>IF('2 EstudiantadoEstProf'!T4&lt;&gt;0,'2 EstudiantadoEstProf'!T4,"-")</f>
        <v>-</v>
      </c>
      <c r="F9" s="58" t="str">
        <f>IF('2 EstudiantadoEstProf'!U4&lt;&gt;0,'2 EstudiantadoEstProf'!U4,"-")</f>
        <v>-</v>
      </c>
      <c r="G9" s="58" t="str">
        <f>IF('2 EstudiantadoEstProf'!V4&lt;&gt;0,'2 EstudiantadoEstProf'!V4,"-")</f>
        <v>-</v>
      </c>
      <c r="H9" s="58" t="str">
        <f>'2 EstudiantadoEstProf'!W4</f>
        <v>Anual</v>
      </c>
      <c r="I9" s="58" t="str">
        <f>IF('2 EstudiantadoEstProf'!X4&lt;&gt;0,'2 EstudiantadoEstProf'!X4,"-")</f>
        <v>-</v>
      </c>
      <c r="J9" s="33"/>
    </row>
    <row r="10" spans="1:11" ht="16.5" thickBot="1">
      <c r="A10" s="56">
        <v>3</v>
      </c>
      <c r="B10" s="59" t="str">
        <f>IF('Indicadores x proyec'!B8&lt;&gt;0,'Indicadores x proyec'!B8,"-")</f>
        <v>-</v>
      </c>
      <c r="C10" s="60" t="str">
        <f>IF('Indicadores x proyec'!D8/100&lt;&gt;0,'Indicadores x proyec'!D8/100,"-")</f>
        <v>-</v>
      </c>
      <c r="D10" s="60" t="str">
        <f>IF('Indicadores x proyec'!E8/100&lt;&gt;0,'Indicadores x proyec'!E8/100,"-")</f>
        <v>-</v>
      </c>
      <c r="E10" s="60" t="str">
        <f>IF('Indicadores x proyec'!F8/100&lt;&gt;0,'Indicadores x proyec'!F8/100,"-")</f>
        <v>-</v>
      </c>
      <c r="F10" s="60" t="str">
        <f>IF('Indicadores x proyec'!G8/100&lt;&gt;0,'Indicadores x proyec'!G8/100,"-")</f>
        <v>-</v>
      </c>
      <c r="G10" s="60" t="str">
        <f>IF('Indicadores x proyec'!H8/100&lt;&gt;0,'Indicadores x proyec'!H8/100,"-")</f>
        <v>-</v>
      </c>
      <c r="H10" s="60" t="str">
        <f>'Indicadores x proyec'!I10</f>
        <v>Anual</v>
      </c>
      <c r="I10" s="58" t="str">
        <f>IF('Indicadores x proyec'!J8&lt;&gt;0,'Indicadores x proyec'!J8,"-")</f>
        <v>-</v>
      </c>
      <c r="J10" s="33"/>
    </row>
    <row r="11" spans="1:11" ht="16.5" thickBot="1">
      <c r="A11" s="56">
        <v>4</v>
      </c>
      <c r="B11" s="59" t="str">
        <f>IF('Indicadores x proyec'!B10&lt;&gt;0,'Indicadores x proyec'!B10,"-")</f>
        <v>-</v>
      </c>
      <c r="C11" s="60" t="str">
        <f>IF('Indicadores x proyec'!D10/100&lt;&gt;0,'Indicadores x proyec'!D10/100,"-")</f>
        <v>-</v>
      </c>
      <c r="D11" s="60" t="str">
        <f>IF('Indicadores x proyec'!E10/100&lt;&gt;0,'Indicadores x proyec'!E10/100,"-")</f>
        <v>-</v>
      </c>
      <c r="E11" s="60" t="str">
        <f>IF('Indicadores x proyec'!F10/100&lt;&gt;0,'Indicadores x proyec'!F10/100,"-")</f>
        <v>-</v>
      </c>
      <c r="F11" s="60" t="str">
        <f>IF('Indicadores x proyec'!G10/100&lt;&gt;0,'Indicadores x proyec'!G10/100,"-")</f>
        <v>-</v>
      </c>
      <c r="G11" s="60" t="str">
        <f>IF('Indicadores x proyec'!H10/100&lt;&gt;0,'Indicadores x proyec'!H10/100,"-")</f>
        <v>-</v>
      </c>
      <c r="H11" s="60" t="str">
        <f>'Indicadores x proyec'!I10</f>
        <v>Anual</v>
      </c>
      <c r="I11" s="58" t="str">
        <f>IF('Indicadores x proyec'!J10&lt;&gt;0,'Indicadores x proyec'!J10,"-")</f>
        <v>-</v>
      </c>
      <c r="J11" s="33"/>
    </row>
    <row r="12" spans="1:11" ht="16.5" thickBot="1">
      <c r="A12" s="56">
        <v>5</v>
      </c>
      <c r="B12" s="59" t="str">
        <f>IF('Indicadores x proyec'!B12&lt;&gt;0,'Indicadores x proyec'!B12,"-")</f>
        <v>-</v>
      </c>
      <c r="C12" s="60" t="str">
        <f>IF('Indicadores x proyec'!D12/100&lt;&gt;0,'Indicadores x proyec'!D12/100,"-")</f>
        <v>-</v>
      </c>
      <c r="D12" s="60" t="str">
        <f>IF('Indicadores x proyec'!E12/100&lt;&gt;0,'Indicadores x proyec'!E12/100,"-")</f>
        <v>-</v>
      </c>
      <c r="E12" s="60" t="str">
        <f>IF('Indicadores x proyec'!F12/100&lt;&gt;0,'Indicadores x proyec'!F12/100,"-")</f>
        <v>-</v>
      </c>
      <c r="F12" s="60" t="str">
        <f>IF('Indicadores x proyec'!G12/100&lt;&gt;0,'Indicadores x proyec'!G12/100,"-")</f>
        <v>-</v>
      </c>
      <c r="G12" s="60" t="str">
        <f>IF('Indicadores x proyec'!H12/100&lt;&gt;0,'Indicadores x proyec'!H12/100,"-")</f>
        <v>-</v>
      </c>
      <c r="H12" s="60" t="str">
        <f>'Indicadores x proyec'!I12</f>
        <v>Anual</v>
      </c>
      <c r="I12" s="58" t="str">
        <f>IF('Indicadores x proyec'!J12&lt;&gt;0,'Indicadores x proyec'!J12,"-")</f>
        <v>-</v>
      </c>
      <c r="J12" s="33"/>
    </row>
    <row r="13" spans="1:11" ht="16.5" thickBot="1">
      <c r="A13" s="56">
        <v>6</v>
      </c>
      <c r="B13" s="57" t="str">
        <f>IF('2 EstudiantadoEstProf'!I11&lt;&gt;0,'2 EstudiantadoEstProf'!I11,"-")</f>
        <v>-</v>
      </c>
      <c r="C13" s="58" t="str">
        <f>IF('2 EstudiantadoEstProf'!R11&lt;&gt;0,'2 EstudiantadoEstProf'!R11,"-")</f>
        <v>-</v>
      </c>
      <c r="D13" s="58" t="str">
        <f>IF('2 EstudiantadoEstProf'!S11&lt;&gt;0,'2 EstudiantadoEstProf'!S11,"-")</f>
        <v>-</v>
      </c>
      <c r="E13" s="58" t="str">
        <f>IF('2 EstudiantadoEstProf'!T11&lt;&gt;0,'2 EstudiantadoEstProf'!T11,"-")</f>
        <v>-</v>
      </c>
      <c r="F13" s="58" t="str">
        <f>IF('2 EstudiantadoEstProf'!U11&lt;&gt;0,'2 EstudiantadoEstProf'!U11,"-")</f>
        <v>-</v>
      </c>
      <c r="G13" s="58" t="str">
        <f>IF('2 EstudiantadoEstProf'!V11&lt;&gt;0,'2 EstudiantadoEstProf'!V11,"-")</f>
        <v>-</v>
      </c>
      <c r="H13" s="58" t="str">
        <f>'2 EstudiantadoEstProf'!W11</f>
        <v>Anual</v>
      </c>
      <c r="I13" s="58" t="str">
        <f>IF('2 EstudiantadoEstProf'!X11&lt;&gt;0,'2 EstudiantadoEstProf'!X11,"-")</f>
        <v>-</v>
      </c>
      <c r="J13" s="33"/>
    </row>
    <row r="14" spans="1:11" ht="16.5" thickBot="1">
      <c r="A14" s="56">
        <v>7</v>
      </c>
      <c r="B14" s="57" t="str">
        <f>IF('2 EstudiantadoEstProf'!I12&lt;&gt;0,'2 EstudiantadoEstProf'!I12,"-")</f>
        <v>-</v>
      </c>
      <c r="C14" s="58" t="str">
        <f>IF('2 EstudiantadoEstProf'!R12&lt;&gt;0,'2 EstudiantadoEstProf'!R12,"-")</f>
        <v>-</v>
      </c>
      <c r="D14" s="58" t="str">
        <f>IF('2 EstudiantadoEstProf'!S12&lt;&gt;0,'2 EstudiantadoEstProf'!S12,"-")</f>
        <v>-</v>
      </c>
      <c r="E14" s="58" t="str">
        <f>IF('2 EstudiantadoEstProf'!T12&lt;&gt;0,'2 EstudiantadoEstProf'!T12,"-")</f>
        <v>-</v>
      </c>
      <c r="F14" s="58" t="str">
        <f>IF('2 EstudiantadoEstProf'!U12&lt;&gt;0,'2 EstudiantadoEstProf'!U12,"-")</f>
        <v>-</v>
      </c>
      <c r="G14" s="58" t="str">
        <f>IF('2 EstudiantadoEstProf'!V12&lt;&gt;0,'2 EstudiantadoEstProf'!V12,"-")</f>
        <v>-</v>
      </c>
      <c r="H14" s="58" t="str">
        <f>'2 EstudiantadoEstProf'!W12</f>
        <v>Anual</v>
      </c>
      <c r="I14" s="58" t="str">
        <f>IF('2 EstudiantadoEstProf'!X12&lt;&gt;0,'2 EstudiantadoEstProf'!X12,"-")</f>
        <v>-</v>
      </c>
      <c r="J14" s="33"/>
    </row>
    <row r="15" spans="1:11" ht="16.5" thickBot="1">
      <c r="A15" s="56">
        <v>8</v>
      </c>
      <c r="B15" s="59" t="str">
        <f>IF('Indicadores x proyec'!B14&lt;&gt;0,'Indicadores x proyec'!B14,"-")</f>
        <v>-</v>
      </c>
      <c r="C15" s="60" t="str">
        <f>IF('Indicadores x proyec'!D14/100&lt;&gt;0,'Indicadores x proyec'!D14/100,"-")</f>
        <v>-</v>
      </c>
      <c r="D15" s="60" t="str">
        <f>IF('Indicadores x proyec'!E14/100&lt;&gt;0,'Indicadores x proyec'!E14/100,"-")</f>
        <v>-</v>
      </c>
      <c r="E15" s="60" t="str">
        <f>IF('Indicadores x proyec'!F14/100&lt;&gt;0,'Indicadores x proyec'!F14/100,"-")</f>
        <v>-</v>
      </c>
      <c r="F15" s="60" t="str">
        <f>IF('Indicadores x proyec'!G14/100&lt;&gt;0,'Indicadores x proyec'!G14/100,"-")</f>
        <v>-</v>
      </c>
      <c r="G15" s="60" t="str">
        <f>IF('Indicadores x proyec'!H14/100&lt;&gt;0,'Indicadores x proyec'!H14/100,"-")</f>
        <v>-</v>
      </c>
      <c r="H15" s="58" t="str">
        <f>'Indicadores x proyec'!I14</f>
        <v>Anual</v>
      </c>
      <c r="I15" s="60" t="str">
        <f>IF('Indicadores x proyec'!J14&lt;&gt;0,'Indicadores x proyec'!J14,"-")</f>
        <v>-</v>
      </c>
      <c r="J15" s="33"/>
    </row>
    <row r="16" spans="1:11" ht="16.5" thickBot="1">
      <c r="A16" s="56">
        <v>9</v>
      </c>
      <c r="B16" s="57" t="str">
        <f>IF('2 EstudiantadoEstProf'!I15&lt;&gt;0,'2 EstudiantadoEstProf'!I15,"-")</f>
        <v>-</v>
      </c>
      <c r="C16" s="58" t="str">
        <f>IF('2 EstudiantadoEstProf'!R15&lt;&gt;0,'2 EstudiantadoEstProf'!R15,"-")</f>
        <v>-</v>
      </c>
      <c r="D16" s="58" t="str">
        <f>IF('2 EstudiantadoEstProf'!S15&lt;&gt;0,'2 EstudiantadoEstProf'!S15,"-")</f>
        <v>-</v>
      </c>
      <c r="E16" s="58" t="str">
        <f>IF('2 EstudiantadoEstProf'!T15&lt;&gt;0,'2 EstudiantadoEstProf'!T15,"-")</f>
        <v>-</v>
      </c>
      <c r="F16" s="58" t="str">
        <f>IF('2 EstudiantadoEstProf'!U15&lt;&gt;0,'2 EstudiantadoEstProf'!U15,"-")</f>
        <v>-</v>
      </c>
      <c r="G16" s="58" t="str">
        <f>IF('2 EstudiantadoEstProf'!V15&lt;&gt;0,'2 EstudiantadoEstProf'!V15,"-")</f>
        <v>-</v>
      </c>
      <c r="H16" s="58" t="str">
        <f>IF('2 EstudiantadoEstProf'!W15&lt;&gt;0,'2 EstudiantadoEstProf'!W15,"-")</f>
        <v>Anual</v>
      </c>
      <c r="I16" s="58" t="str">
        <f>IF('2 EstudiantadoEstProf'!X15&lt;&gt;0,'2 EstudiantadoEstProf'!X15,"-")</f>
        <v>-</v>
      </c>
      <c r="J16" s="33"/>
    </row>
    <row r="17" spans="1:16" ht="16.5" thickBot="1">
      <c r="A17" s="56">
        <v>10</v>
      </c>
      <c r="B17" s="57" t="str">
        <f>IF('2 EstudiantadoEstProf'!I16&lt;&gt;0,'2 EstudiantadoEstProf'!I16,"-")</f>
        <v>-</v>
      </c>
      <c r="C17" s="58" t="str">
        <f>IF('2 EstudiantadoEstProf'!R16&lt;&gt;0,'2 EstudiantadoEstProf'!R16,"-")</f>
        <v>-</v>
      </c>
      <c r="D17" s="58" t="str">
        <f>IF('2 EstudiantadoEstProf'!S16&lt;&gt;0,'2 EstudiantadoEstProf'!S16,"-")</f>
        <v>-</v>
      </c>
      <c r="E17" s="58" t="str">
        <f>IF('2 EstudiantadoEstProf'!T16&lt;&gt;0,'2 EstudiantadoEstProf'!T16,"-")</f>
        <v>-</v>
      </c>
      <c r="F17" s="58" t="str">
        <f>IF('2 EstudiantadoEstProf'!U16&lt;&gt;0,'2 EstudiantadoEstProf'!U16,"-")</f>
        <v>-</v>
      </c>
      <c r="G17" s="58" t="str">
        <f>IF('2 EstudiantadoEstProf'!V16&lt;&gt;0,'2 EstudiantadoEstProf'!V16,"-")</f>
        <v>-</v>
      </c>
      <c r="H17" s="58" t="str">
        <f>IF('2 EstudiantadoEstProf'!W16&lt;&gt;0,'2 EstudiantadoEstProf'!W16,"-")</f>
        <v>Anual</v>
      </c>
      <c r="I17" s="58" t="str">
        <f>IF('2 EstudiantadoEstProf'!X16&lt;&gt;0,'2 EstudiantadoEstProf'!X16,"-")</f>
        <v>-</v>
      </c>
      <c r="J17" s="33"/>
    </row>
    <row r="18" spans="1:16" ht="16.5" thickBot="1">
      <c r="A18" s="56">
        <v>11</v>
      </c>
      <c r="B18" s="57" t="str">
        <f>IF('2 EstudiantadoEstProf'!I17&lt;&gt;0,'2 EstudiantadoEstProf'!I17,"-")</f>
        <v>-</v>
      </c>
      <c r="C18" s="58" t="str">
        <f>IF('2 EstudiantadoEstProf'!R17&lt;&gt;0,'2 EstudiantadoEstProf'!R17,"-")</f>
        <v>-</v>
      </c>
      <c r="D18" s="58" t="str">
        <f>IF('2 EstudiantadoEstProf'!S17&lt;&gt;0,'2 EstudiantadoEstProf'!S17,"-")</f>
        <v>-</v>
      </c>
      <c r="E18" s="58" t="str">
        <f>IF('2 EstudiantadoEstProf'!T17&lt;&gt;0,'2 EstudiantadoEstProf'!T17,"-")</f>
        <v>-</v>
      </c>
      <c r="F18" s="58" t="str">
        <f>IF('2 EstudiantadoEstProf'!U17&lt;&gt;0,'2 EstudiantadoEstProf'!U17,"-")</f>
        <v>-</v>
      </c>
      <c r="G18" s="58" t="str">
        <f>IF('2 EstudiantadoEstProf'!V17&lt;&gt;0,'2 EstudiantadoEstProf'!V17,"-")</f>
        <v>-</v>
      </c>
      <c r="H18" s="58" t="str">
        <f>IF('2 EstudiantadoEstProf'!W17&lt;&gt;0,'2 EstudiantadoEstProf'!W17,"-")</f>
        <v>Anual</v>
      </c>
      <c r="I18" s="58" t="str">
        <f>IF('2 EstudiantadoEstProf'!X17&lt;&gt;0,'2 EstudiantadoEstProf'!X17,"-")</f>
        <v>-</v>
      </c>
      <c r="J18" s="33"/>
    </row>
    <row r="19" spans="1:16" ht="16.5" thickBot="1">
      <c r="A19" s="56">
        <v>12</v>
      </c>
      <c r="B19" s="59" t="str">
        <f>IF('Indicadores x proyec'!B16&lt;&gt;0,'Indicadores x proyec'!B16,"-")</f>
        <v>-</v>
      </c>
      <c r="C19" s="60" t="str">
        <f>IF('Indicadores x proyec'!D16/100&lt;&gt;0,'Indicadores x proyec'!D16/100,"-")</f>
        <v>-</v>
      </c>
      <c r="D19" s="60" t="str">
        <f>IF('Indicadores x proyec'!E16/100&lt;&gt;0,'Indicadores x proyec'!E16/100,"-")</f>
        <v>-</v>
      </c>
      <c r="E19" s="60" t="str">
        <f>IF('Indicadores x proyec'!F16/100&lt;&gt;0,'Indicadores x proyec'!F16/100,"-")</f>
        <v>-</v>
      </c>
      <c r="F19" s="60" t="str">
        <f>IF('Indicadores x proyec'!G16/100&lt;&gt;0,'Indicadores x proyec'!G16/100,"-")</f>
        <v>-</v>
      </c>
      <c r="G19" s="60" t="str">
        <f>IF('Indicadores x proyec'!H16/100&lt;&gt;0,'Indicadores x proyec'!H16/100,"-")</f>
        <v>-</v>
      </c>
      <c r="H19" s="58" t="str">
        <f>'Indicadores x proyec'!I16</f>
        <v>Anual</v>
      </c>
      <c r="I19" s="60" t="str">
        <f>IF('Indicadores x proyec'!J16&lt;&gt;0,'Indicadores x proyec'!J16,"-")</f>
        <v>-</v>
      </c>
      <c r="J19" s="33"/>
    </row>
    <row r="20" spans="1:16" ht="16.5" thickBot="1">
      <c r="A20" s="56">
        <v>13</v>
      </c>
      <c r="B20" s="57" t="str">
        <f>IF('2 EstudiantadoEstProf'!I20&lt;&gt;0,'2 EstudiantadoEstProf'!I20,"-")</f>
        <v>-</v>
      </c>
      <c r="C20" s="58" t="str">
        <f>IF('2 EstudiantadoEstProf'!R20&lt;&gt;0,'2 EstudiantadoEstProf'!R20,"-")</f>
        <v>-</v>
      </c>
      <c r="D20" s="58" t="str">
        <f>IF('2 EstudiantadoEstProf'!S20&lt;&gt;0,'2 EstudiantadoEstProf'!S20,"-")</f>
        <v>-</v>
      </c>
      <c r="E20" s="58" t="str">
        <f>IF('2 EstudiantadoEstProf'!T20&lt;&gt;0,'2 EstudiantadoEstProf'!T20,"-")</f>
        <v>-</v>
      </c>
      <c r="F20" s="58" t="str">
        <f>IF('2 EstudiantadoEstProf'!U20&lt;&gt;0,'2 EstudiantadoEstProf'!U20,"-")</f>
        <v>-</v>
      </c>
      <c r="G20" s="58" t="str">
        <f>IF('2 EstudiantadoEstProf'!V20&lt;&gt;0,'2 EstudiantadoEstProf'!V20,"-")</f>
        <v>-</v>
      </c>
      <c r="H20" s="58" t="str">
        <f>IF('2 EstudiantadoEstProf'!W20&lt;&gt;0,'2 EstudiantadoEstProf'!W20,"-")</f>
        <v>Anual</v>
      </c>
      <c r="I20" s="58" t="str">
        <f>IF('2 EstudiantadoEstProf'!X20&lt;&gt;0,'2 EstudiantadoEstProf'!X20,"-")</f>
        <v>-</v>
      </c>
      <c r="J20" s="33"/>
    </row>
    <row r="21" spans="1:16" ht="16.5" thickBot="1">
      <c r="A21" s="56">
        <v>14</v>
      </c>
      <c r="B21" s="57" t="str">
        <f>IF('2 EstudiantadoEstProf'!I21&lt;&gt;0,'2 EstudiantadoEstProf'!I21,"-")</f>
        <v>-</v>
      </c>
      <c r="C21" s="58" t="str">
        <f>IF('2 EstudiantadoEstProf'!R21&lt;&gt;0,'2 EstudiantadoEstProf'!R21,"-")</f>
        <v>-</v>
      </c>
      <c r="D21" s="58" t="str">
        <f>IF('2 EstudiantadoEstProf'!S21&lt;&gt;0,'2 EstudiantadoEstProf'!S21,"-")</f>
        <v>-</v>
      </c>
      <c r="E21" s="58" t="str">
        <f>IF('2 EstudiantadoEstProf'!T21&lt;&gt;0,'2 EstudiantadoEstProf'!T21,"-")</f>
        <v>-</v>
      </c>
      <c r="F21" s="58" t="str">
        <f>IF('2 EstudiantadoEstProf'!U21&lt;&gt;0,'2 EstudiantadoEstProf'!U21,"-")</f>
        <v>-</v>
      </c>
      <c r="G21" s="58" t="str">
        <f>IF('2 EstudiantadoEstProf'!V21&lt;&gt;0,'2 EstudiantadoEstProf'!V21,"-")</f>
        <v>-</v>
      </c>
      <c r="H21" s="58" t="str">
        <f>IF('2 EstudiantadoEstProf'!W21&lt;&gt;0,'2 EstudiantadoEstProf'!W21,"-")</f>
        <v>Anual</v>
      </c>
      <c r="I21" s="58" t="str">
        <f>IF('2 EstudiantadoEstProf'!X21&lt;&gt;0,'2 EstudiantadoEstProf'!X21,"-")</f>
        <v>-</v>
      </c>
      <c r="J21" s="33"/>
    </row>
    <row r="22" spans="1:16" ht="16.5" thickBot="1">
      <c r="A22" s="56">
        <v>15</v>
      </c>
      <c r="B22" s="57" t="str">
        <f>IF('2 EstudiantadoEstProf'!I22&lt;&gt;0,'2 EstudiantadoEstProf'!I22,"-")</f>
        <v>-</v>
      </c>
      <c r="C22" s="58" t="str">
        <f>IF('2 EstudiantadoEstProf'!R22&lt;&gt;0,'2 EstudiantadoEstProf'!R22,"-")</f>
        <v>-</v>
      </c>
      <c r="D22" s="58" t="str">
        <f>IF('2 EstudiantadoEstProf'!S22&lt;&gt;0,'2 EstudiantadoEstProf'!S22,"-")</f>
        <v>-</v>
      </c>
      <c r="E22" s="58" t="str">
        <f>IF('2 EstudiantadoEstProf'!T22&lt;&gt;0,'2 EstudiantadoEstProf'!T22,"-")</f>
        <v>-</v>
      </c>
      <c r="F22" s="58" t="str">
        <f>IF('2 EstudiantadoEstProf'!U22&lt;&gt;0,'2 EstudiantadoEstProf'!U22,"-")</f>
        <v>-</v>
      </c>
      <c r="G22" s="58" t="str">
        <f>IF('2 EstudiantadoEstProf'!V22&lt;&gt;0,'2 EstudiantadoEstProf'!V22,"-")</f>
        <v>-</v>
      </c>
      <c r="H22" s="58" t="str">
        <f>IF('2 EstudiantadoEstProf'!W22&lt;&gt;0,'2 EstudiantadoEstProf'!W22,"-")</f>
        <v>Anual</v>
      </c>
      <c r="I22" s="58" t="str">
        <f>IF('2 EstudiantadoEstProf'!X22&lt;&gt;0,'2 EstudiantadoEstProf'!X22,"-")</f>
        <v>-</v>
      </c>
      <c r="J22" s="33"/>
    </row>
    <row r="23" spans="1:16" ht="16.5" thickBot="1">
      <c r="A23" s="56">
        <v>16</v>
      </c>
      <c r="B23" s="57" t="str">
        <f>IF('2 EstudiantadoEstProf'!I23&lt;&gt;0,'2 EstudiantadoEstProf'!I23,"-")</f>
        <v>-</v>
      </c>
      <c r="C23" s="58" t="str">
        <f>IF('2 EstudiantadoEstProf'!R23&lt;&gt;0,'2 EstudiantadoEstProf'!R23,"-")</f>
        <v>-</v>
      </c>
      <c r="D23" s="58" t="str">
        <f>IF('2 EstudiantadoEstProf'!S23&lt;&gt;0,'2 EstudiantadoEstProf'!S23,"-")</f>
        <v>-</v>
      </c>
      <c r="E23" s="58" t="str">
        <f>IF('2 EstudiantadoEstProf'!T23&lt;&gt;0,'2 EstudiantadoEstProf'!T23,"-")</f>
        <v>-</v>
      </c>
      <c r="F23" s="58" t="str">
        <f>IF('2 EstudiantadoEstProf'!U23&lt;&gt;0,'2 EstudiantadoEstProf'!U23,"-")</f>
        <v>-</v>
      </c>
      <c r="G23" s="58" t="str">
        <f>IF('2 EstudiantadoEstProf'!V23&lt;&gt;0,'2 EstudiantadoEstProf'!V23,"-")</f>
        <v>-</v>
      </c>
      <c r="H23" s="58" t="str">
        <f>IF('2 EstudiantadoEstProf'!W23&lt;&gt;0,'2 EstudiantadoEstProf'!W23,"-")</f>
        <v>Anual</v>
      </c>
      <c r="I23" s="58" t="str">
        <f>IF('2 EstudiantadoEstProf'!X23&lt;&gt;0,'2 EstudiantadoEstProf'!X23,"-")</f>
        <v>-</v>
      </c>
      <c r="J23" s="33"/>
    </row>
    <row r="24" spans="1:16" ht="16.5" thickBot="1">
      <c r="A24" s="56">
        <v>17</v>
      </c>
      <c r="B24" s="59" t="str">
        <f>IF('Indicadores x proyec'!B18&lt;&gt;0,'Indicadores x proyec'!B18,"-")</f>
        <v>-</v>
      </c>
      <c r="C24" s="60" t="str">
        <f>IF('Indicadores x proyec'!D18/100&lt;&gt;0,'Indicadores x proyec'!D18/100,"-")</f>
        <v>-</v>
      </c>
      <c r="D24" s="60" t="str">
        <f>IF('Indicadores x proyec'!E18/100&lt;&gt;0,'Indicadores x proyec'!E18/100,"-")</f>
        <v>-</v>
      </c>
      <c r="E24" s="60" t="str">
        <f>IF('Indicadores x proyec'!F18/100&lt;&gt;0,'Indicadores x proyec'!F18/100,"-")</f>
        <v>-</v>
      </c>
      <c r="F24" s="60" t="str">
        <f>IF('Indicadores x proyec'!G18/100&lt;&gt;0,'Indicadores x proyec'!G18/100,"-")</f>
        <v>-</v>
      </c>
      <c r="G24" s="60" t="str">
        <f>IF('Indicadores x proyec'!H18/100&lt;&gt;0,'Indicadores x proyec'!H18/100,"-")</f>
        <v>-</v>
      </c>
      <c r="H24" s="58" t="str">
        <f>'Indicadores x proyec'!I18</f>
        <v>Anual</v>
      </c>
      <c r="I24" s="60" t="str">
        <f>IF('Indicadores x proyec'!J18&lt;&gt;0,'Indicadores x proyec'!J18,"-")</f>
        <v>-</v>
      </c>
      <c r="J24" s="33"/>
    </row>
    <row r="25" spans="1:16" ht="16.5" thickBot="1">
      <c r="A25" s="56">
        <v>18</v>
      </c>
      <c r="B25" s="57" t="str">
        <f>IF('2 EstudiantadoEstProf'!I26&lt;&gt;0,'2 EstudiantadoEstProf'!I26,"-")</f>
        <v>-</v>
      </c>
      <c r="C25" s="58" t="str">
        <f>IF('2 EstudiantadoEstProf'!R26&lt;&gt;0,'2 EstudiantadoEstProf'!R26,"-")</f>
        <v>-</v>
      </c>
      <c r="D25" s="58" t="str">
        <f>IF('2 EstudiantadoEstProf'!S26&lt;&gt;0,'2 EstudiantadoEstProf'!S26,"-")</f>
        <v>-</v>
      </c>
      <c r="E25" s="58" t="str">
        <f>IF('2 EstudiantadoEstProf'!T26&lt;&gt;0,'2 EstudiantadoEstProf'!T26,"-")</f>
        <v>-</v>
      </c>
      <c r="F25" s="58" t="str">
        <f>IF('2 EstudiantadoEstProf'!U26&lt;&gt;0,'2 EstudiantadoEstProf'!U26,"-")</f>
        <v>-</v>
      </c>
      <c r="G25" s="58" t="str">
        <f>IF('2 EstudiantadoEstProf'!V26&lt;&gt;0,'2 EstudiantadoEstProf'!V26,"-")</f>
        <v>-</v>
      </c>
      <c r="H25" s="58" t="str">
        <f>IF('2 EstudiantadoEstProf'!W26&lt;&gt;0,'2 EstudiantadoEstProf'!W26,"-")</f>
        <v>Anual</v>
      </c>
      <c r="I25" s="58" t="str">
        <f>IF('2 EstudiantadoEstProf'!X26&lt;&gt;0,'2 EstudiantadoEstProf'!X26,"-")</f>
        <v>-</v>
      </c>
      <c r="J25" s="33"/>
    </row>
    <row r="26" spans="1:16" ht="16.5" thickBot="1">
      <c r="A26" s="56">
        <v>19</v>
      </c>
      <c r="B26" s="59" t="str">
        <f>IF('Indicadores x proyec'!B20&lt;&gt;0,'Indicadores x proyec'!B20,"-")</f>
        <v>-</v>
      </c>
      <c r="C26" s="60" t="str">
        <f>IF('Indicadores x proyec'!D20/100&lt;&gt;0,'Indicadores x proyec'!D20/100,"-")</f>
        <v>-</v>
      </c>
      <c r="D26" s="60" t="str">
        <f>IF('Indicadores x proyec'!E20/100&lt;&gt;0,'Indicadores x proyec'!E20/100,"-")</f>
        <v>-</v>
      </c>
      <c r="E26" s="60" t="str">
        <f>IF('Indicadores x proyec'!F20/100&lt;&gt;0,'Indicadores x proyec'!F20/100,"-")</f>
        <v>-</v>
      </c>
      <c r="F26" s="60" t="str">
        <f>IF('Indicadores x proyec'!G20/100&lt;&gt;0,'Indicadores x proyec'!G20/100,"-")</f>
        <v>-</v>
      </c>
      <c r="G26" s="60" t="str">
        <f>IF('Indicadores x proyec'!H20/100&lt;&gt;0,'Indicadores x proyec'!H20/100,"-")</f>
        <v>-</v>
      </c>
      <c r="H26" s="58" t="str">
        <f>'Indicadores x proyec'!I20</f>
        <v>Anual</v>
      </c>
      <c r="I26" s="60" t="str">
        <f>IF('Indicadores x proyec'!J20&lt;&gt;0,'Indicadores x proyec'!J20,"-")</f>
        <v>-</v>
      </c>
      <c r="J26" s="33"/>
      <c r="K26" s="37"/>
      <c r="L26" s="37"/>
      <c r="M26" s="37"/>
      <c r="N26" s="37"/>
      <c r="O26" s="37"/>
      <c r="P26" s="37"/>
    </row>
    <row r="27" spans="1:16" ht="16.5" thickBot="1">
      <c r="A27" s="56">
        <v>20</v>
      </c>
      <c r="B27" s="59" t="str">
        <f>IF('Indicadores x proyec'!B22&lt;&gt;0,'Indicadores x proyec'!B22,"-")</f>
        <v>-</v>
      </c>
      <c r="C27" s="60" t="str">
        <f>IF('2 EstudiantadoEstProf'!R29/100&lt;&gt;0,'2 EstudiantadoEstProf'!R29/100,"-")</f>
        <v>-</v>
      </c>
      <c r="D27" s="60" t="str">
        <f>IF('2 EstudiantadoEstProf'!S29/100&lt;&gt;0,'2 EstudiantadoEstProf'!S29/100,"-")</f>
        <v>-</v>
      </c>
      <c r="E27" s="60" t="str">
        <f>IF('2 EstudiantadoEstProf'!T29/100&lt;&gt;0,'2 EstudiantadoEstProf'!T29/100,"-")</f>
        <v>-</v>
      </c>
      <c r="F27" s="60" t="str">
        <f>IF('2 EstudiantadoEstProf'!U29/100&lt;&gt;0,'2 EstudiantadoEstProf'!U29/100,"-")</f>
        <v>-</v>
      </c>
      <c r="G27" s="60" t="str">
        <f>IF('2 EstudiantadoEstProf'!V29/100&lt;&gt;0,'2 EstudiantadoEstProf'!V29/100,"-")</f>
        <v>-</v>
      </c>
      <c r="H27" s="58" t="str">
        <f>'Indicadores x proyec'!I22</f>
        <v>Anual</v>
      </c>
      <c r="I27" s="60" t="str">
        <f>IF('Indicadores x proyec'!J22&lt;&gt;0,'Indicadores x proyec'!J22,"-")</f>
        <v>-</v>
      </c>
      <c r="J27" s="33"/>
    </row>
    <row r="28" spans="1:16" ht="16.5" thickBot="1">
      <c r="A28" s="56">
        <v>21</v>
      </c>
      <c r="B28" s="57" t="str">
        <f>IF('2 EstudiantadoEstProf'!I33&lt;&gt;0,'2 EstudiantadoEstProf'!I33,"-")</f>
        <v>-</v>
      </c>
      <c r="C28" s="58" t="str">
        <f>IF('2 EstudiantadoEstProf'!R33&lt;&gt;0,'2 EstudiantadoEstProf'!R33,"-")</f>
        <v>-</v>
      </c>
      <c r="D28" s="58" t="str">
        <f>IF('2 EstudiantadoEstProf'!S33&lt;&gt;0,'2 EstudiantadoEstProf'!S33,"-")</f>
        <v>-</v>
      </c>
      <c r="E28" s="58" t="str">
        <f>IF('2 EstudiantadoEstProf'!T33&lt;&gt;0,'2 EstudiantadoEstProf'!T33,"-")</f>
        <v>-</v>
      </c>
      <c r="F28" s="58" t="str">
        <f>IF('2 EstudiantadoEstProf'!U33&lt;&gt;0,'2 EstudiantadoEstProf'!U33,"-")</f>
        <v>-</v>
      </c>
      <c r="G28" s="58" t="str">
        <f>IF('2 EstudiantadoEstProf'!V33&lt;&gt;0,'2 EstudiantadoEstProf'!V33,"-")</f>
        <v>-</v>
      </c>
      <c r="H28" s="58" t="str">
        <f>IF('2 EstudiantadoEstProf'!W33&lt;&gt;0,'2 EstudiantadoEstProf'!W33,"-")</f>
        <v>Anual</v>
      </c>
      <c r="I28" s="58" t="str">
        <f>IF('2 EstudiantadoEstProf'!X33&lt;&gt;0,'2 EstudiantadoEstProf'!X33,"-")</f>
        <v>-</v>
      </c>
      <c r="J28" s="33"/>
    </row>
    <row r="29" spans="1:16" ht="16.5" thickBot="1">
      <c r="A29" s="56">
        <v>22</v>
      </c>
      <c r="B29" s="59" t="str">
        <f>IF('Indicadores x proyec'!B26&lt;&gt;0,'Indicadores x proyec'!B26,"-")</f>
        <v>-</v>
      </c>
      <c r="C29" s="60" t="str">
        <f>IF('Indicadores x proyec'!D26/100&lt;&gt;0,'Indicadores x proyec'!D26/100,"-")</f>
        <v>-</v>
      </c>
      <c r="D29" s="60" t="str">
        <f>IF('Indicadores x proyec'!E26/100&lt;&gt;0,'Indicadores x proyec'!E26/100,"-")</f>
        <v>-</v>
      </c>
      <c r="E29" s="60" t="str">
        <f>IF('Indicadores x proyec'!F26/100&lt;&gt;0,'Indicadores x proyec'!F26/100,"-")</f>
        <v>-</v>
      </c>
      <c r="F29" s="60" t="str">
        <f>IF('Indicadores x proyec'!G26/100&lt;&gt;0,'Indicadores x proyec'!G26/100,"-")</f>
        <v>-</v>
      </c>
      <c r="G29" s="60" t="str">
        <f>IF('Indicadores x proyec'!H26/100&lt;&gt;0,'Indicadores x proyec'!H26/100,"-")</f>
        <v>-</v>
      </c>
      <c r="H29" s="58" t="str">
        <f>'Indicadores x proyec'!I26</f>
        <v>Anual</v>
      </c>
      <c r="I29" s="60" t="str">
        <f>IF('Indicadores x proyec'!J26&lt;&gt;0,'Indicadores x proyec'!J26,"-")</f>
        <v>-</v>
      </c>
      <c r="J29" s="33"/>
    </row>
    <row r="30" spans="1:16" ht="16.5" thickBot="1">
      <c r="A30" s="56">
        <v>23</v>
      </c>
      <c r="B30" s="57" t="str">
        <f>IF('2 EstudiantadoEstProf'!I36&lt;&gt;0,'2 EstudiantadoEstProf'!I36,"-")</f>
        <v>-</v>
      </c>
      <c r="C30" s="58" t="str">
        <f>IF('2 EstudiantadoEstProf'!R36&lt;&gt;0,'2 EstudiantadoEstProf'!R36,"-")</f>
        <v>-</v>
      </c>
      <c r="D30" s="58" t="str">
        <f>IF('2 EstudiantadoEstProf'!S36&lt;&gt;0,'2 EstudiantadoEstProf'!S36,"-")</f>
        <v>-</v>
      </c>
      <c r="E30" s="58" t="str">
        <f>IF('2 EstudiantadoEstProf'!T36&lt;&gt;0,'2 EstudiantadoEstProf'!T36,"-")</f>
        <v>-</v>
      </c>
      <c r="F30" s="58" t="str">
        <f>IF('2 EstudiantadoEstProf'!U36&lt;&gt;0,'2 EstudiantadoEstProf'!U36,"-")</f>
        <v>-</v>
      </c>
      <c r="G30" s="58" t="str">
        <f>IF('2 EstudiantadoEstProf'!V36&lt;&gt;0,'2 EstudiantadoEstProf'!V36,"-")</f>
        <v>-</v>
      </c>
      <c r="H30" s="58" t="str">
        <f>IF('2 EstudiantadoEstProf'!W36&lt;&gt;0,'2 EstudiantadoEstProf'!W36,"-")</f>
        <v>Anual</v>
      </c>
      <c r="I30" s="58" t="str">
        <f>IF('2 EstudiantadoEstProf'!X36&lt;&gt;0,'2 EstudiantadoEstProf'!X36,"-")</f>
        <v>-</v>
      </c>
      <c r="J30" s="33"/>
    </row>
    <row r="31" spans="1:16" ht="16.5" thickBot="1">
      <c r="A31" s="56">
        <v>24</v>
      </c>
      <c r="B31" s="57" t="str">
        <f>IF('2 EstudiantadoEstProf'!I37&lt;&gt;0,'2 EstudiantadoEstProf'!I37,"-")</f>
        <v>-</v>
      </c>
      <c r="C31" s="58" t="str">
        <f>IF('2 EstudiantadoEstProf'!R37&lt;&gt;0,'2 EstudiantadoEstProf'!R37,"-")</f>
        <v>-</v>
      </c>
      <c r="D31" s="58" t="str">
        <f>IF('2 EstudiantadoEstProf'!S37&lt;&gt;0,'2 EstudiantadoEstProf'!S37,"-")</f>
        <v>-</v>
      </c>
      <c r="E31" s="58" t="str">
        <f>IF('2 EstudiantadoEstProf'!T37&lt;&gt;0,'2 EstudiantadoEstProf'!T37,"-")</f>
        <v>-</v>
      </c>
      <c r="F31" s="58" t="str">
        <f>IF('2 EstudiantadoEstProf'!U37&lt;&gt;0,'2 EstudiantadoEstProf'!U37,"-")</f>
        <v>-</v>
      </c>
      <c r="G31" s="58" t="str">
        <f>IF('2 EstudiantadoEstProf'!V37&lt;&gt;0,'2 EstudiantadoEstProf'!V37,"-")</f>
        <v>-</v>
      </c>
      <c r="H31" s="58" t="str">
        <f>IF('2 EstudiantadoEstProf'!W37&lt;&gt;0,'2 EstudiantadoEstProf'!W37,"-")</f>
        <v>Anual</v>
      </c>
      <c r="I31" s="58" t="str">
        <f>IF('2 EstudiantadoEstProf'!X37&lt;&gt;0,'2 EstudiantadoEstProf'!X37,"-")</f>
        <v>-</v>
      </c>
      <c r="J31" s="33"/>
    </row>
    <row r="32" spans="1:16" ht="16.5" thickBot="1">
      <c r="A32" s="56">
        <v>25</v>
      </c>
      <c r="B32" s="57" t="str">
        <f>IF('2 EstudiantadoEstProf'!I38&lt;&gt;0,'2 EstudiantadoEstProf'!I38,"-")</f>
        <v>-</v>
      </c>
      <c r="C32" s="58" t="str">
        <f>IF('2 EstudiantadoEstProf'!R38&lt;&gt;0,'2 EstudiantadoEstProf'!R38,"-")</f>
        <v>-</v>
      </c>
      <c r="D32" s="58" t="str">
        <f>IF('2 EstudiantadoEstProf'!S38&lt;&gt;0,'2 EstudiantadoEstProf'!S38,"-")</f>
        <v>-</v>
      </c>
      <c r="E32" s="58" t="str">
        <f>IF('2 EstudiantadoEstProf'!T38&lt;&gt;0,'2 EstudiantadoEstProf'!T38,"-")</f>
        <v>-</v>
      </c>
      <c r="F32" s="58" t="str">
        <f>IF('2 EstudiantadoEstProf'!U38&lt;&gt;0,'2 EstudiantadoEstProf'!U38,"-")</f>
        <v>-</v>
      </c>
      <c r="G32" s="58" t="str">
        <f>IF('2 EstudiantadoEstProf'!V38&lt;&gt;0,'2 EstudiantadoEstProf'!V38,"-")</f>
        <v>-</v>
      </c>
      <c r="H32" s="58" t="str">
        <f>IF('2 EstudiantadoEstProf'!W38&lt;&gt;0,'2 EstudiantadoEstProf'!W38,"-")</f>
        <v>Anual</v>
      </c>
      <c r="I32" s="58" t="str">
        <f>IF('2 EstudiantadoEstProf'!X38&lt;&gt;0,'2 EstudiantadoEstProf'!X38,"-")</f>
        <v>-</v>
      </c>
      <c r="J32" s="33"/>
      <c r="K32" s="38"/>
    </row>
    <row r="33" spans="1:12" ht="16.5" thickBot="1">
      <c r="A33" s="56">
        <v>26</v>
      </c>
      <c r="B33" s="57" t="str">
        <f>IF('2 EstudiantadoEstProf'!I39&lt;&gt;0,'2 EstudiantadoEstProf'!I39,"-")</f>
        <v>-</v>
      </c>
      <c r="C33" s="58" t="str">
        <f>IF('2 EstudiantadoEstProf'!R39&lt;&gt;0,'2 EstudiantadoEstProf'!R39,"-")</f>
        <v>-</v>
      </c>
      <c r="D33" s="58" t="str">
        <f>IF('2 EstudiantadoEstProf'!S39&lt;&gt;0,'2 EstudiantadoEstProf'!S39,"-")</f>
        <v>-</v>
      </c>
      <c r="E33" s="58" t="str">
        <f>IF('2 EstudiantadoEstProf'!T39&lt;&gt;0,'2 EstudiantadoEstProf'!T39,"-")</f>
        <v>-</v>
      </c>
      <c r="F33" s="58" t="str">
        <f>IF('2 EstudiantadoEstProf'!U39&lt;&gt;0,'2 EstudiantadoEstProf'!U39,"-")</f>
        <v>-</v>
      </c>
      <c r="G33" s="58" t="str">
        <f>IF('2 EstudiantadoEstProf'!V39&lt;&gt;0,'2 EstudiantadoEstProf'!V39,"-")</f>
        <v>-</v>
      </c>
      <c r="H33" s="58" t="str">
        <f>IF('2 EstudiantadoEstProf'!W39&lt;&gt;0,'2 EstudiantadoEstProf'!W39,"-")</f>
        <v>Anual</v>
      </c>
      <c r="I33" s="58" t="str">
        <f>IF('2 EstudiantadoEstProf'!X39&lt;&gt;0,'2 EstudiantadoEstProf'!X39,"-")</f>
        <v>-</v>
      </c>
      <c r="J33" s="33"/>
      <c r="K33" s="38"/>
    </row>
    <row r="34" spans="1:12">
      <c r="A34" s="61"/>
      <c r="B34" s="62"/>
      <c r="C34" s="63"/>
      <c r="D34" s="63"/>
      <c r="E34" s="63"/>
      <c r="F34" s="63"/>
      <c r="G34" s="63"/>
      <c r="H34" s="63"/>
      <c r="I34" s="63"/>
      <c r="J34" s="63"/>
      <c r="L34" s="38"/>
    </row>
    <row r="35" spans="1:12">
      <c r="A35" s="64"/>
      <c r="B35" s="65"/>
      <c r="C35" s="66"/>
      <c r="D35" s="66"/>
      <c r="E35" s="66"/>
      <c r="F35" s="66"/>
      <c r="G35" s="66"/>
      <c r="H35" s="66"/>
      <c r="I35" s="66"/>
      <c r="J35" s="66"/>
    </row>
    <row r="36" spans="1:12" ht="16.5">
      <c r="A36" s="133" t="s">
        <v>610</v>
      </c>
      <c r="B36" s="133"/>
      <c r="C36" s="133"/>
      <c r="D36" s="133"/>
      <c r="E36" s="133"/>
      <c r="F36" s="133"/>
      <c r="G36" s="133"/>
      <c r="H36" s="133"/>
      <c r="I36" s="133"/>
      <c r="J36" s="133"/>
    </row>
    <row r="37" spans="1:12">
      <c r="A37" s="134" t="s">
        <v>23</v>
      </c>
      <c r="B37" s="131" t="s">
        <v>24</v>
      </c>
      <c r="C37" s="131" t="s">
        <v>629</v>
      </c>
      <c r="D37" s="131">
        <v>2027</v>
      </c>
      <c r="E37" s="131">
        <v>2028</v>
      </c>
      <c r="F37" s="131">
        <v>2029</v>
      </c>
      <c r="G37" s="54" t="str">
        <f>TEXT($J$1,"mmmm")</f>
        <v>agosto</v>
      </c>
      <c r="H37" s="131" t="s">
        <v>25</v>
      </c>
      <c r="I37" s="131" t="s">
        <v>7</v>
      </c>
      <c r="J37" s="33"/>
    </row>
    <row r="38" spans="1:12" ht="16.5" thickBot="1">
      <c r="A38" s="135"/>
      <c r="B38" s="132"/>
      <c r="C38" s="132"/>
      <c r="D38" s="132"/>
      <c r="E38" s="132"/>
      <c r="F38" s="132"/>
      <c r="G38" s="55">
        <v>2030</v>
      </c>
      <c r="H38" s="132"/>
      <c r="I38" s="132"/>
      <c r="J38" s="33"/>
    </row>
    <row r="39" spans="1:12" ht="16.5" thickBot="1">
      <c r="A39" s="56">
        <v>1</v>
      </c>
      <c r="B39" s="57" t="str">
        <f>IF('3 Est avanzados excelencia'!I3&lt;&gt;0,'3 Est avanzados excelencia'!I3,"-")</f>
        <v>-</v>
      </c>
      <c r="C39" s="58" t="str">
        <f>IF('3 Est avanzados excelencia'!R3&lt;&gt;0,'3 Est avanzados excelencia'!R3,"-")</f>
        <v>-</v>
      </c>
      <c r="D39" s="58" t="str">
        <f>IF('3 Est avanzados excelencia'!S3&lt;&gt;0,'3 Est avanzados excelencia'!S3,"-")</f>
        <v>-</v>
      </c>
      <c r="E39" s="58" t="str">
        <f>IF('3 Est avanzados excelencia'!T3&lt;&gt;0,'3 Est avanzados excelencia'!T3,"-")</f>
        <v>-</v>
      </c>
      <c r="F39" s="58" t="str">
        <f>IF('3 Est avanzados excelencia'!U3&lt;&gt;0,'3 Est avanzados excelencia'!U3,"-")</f>
        <v>-</v>
      </c>
      <c r="G39" s="58" t="str">
        <f>IF('3 Est avanzados excelencia'!V3&lt;&gt;0,'3 Est avanzados excelencia'!V3,"-")</f>
        <v>-</v>
      </c>
      <c r="H39" s="58" t="str">
        <f>IF('3 Est avanzados excelencia'!W3&lt;&gt;0,'3 Est avanzados excelencia'!W3,"-")</f>
        <v>Anual</v>
      </c>
      <c r="I39" s="58" t="str">
        <f>IF('3 Est avanzados excelencia'!X3&lt;&gt;0,'3 Est avanzados excelencia'!X3,"-")</f>
        <v>-</v>
      </c>
      <c r="J39" s="33"/>
    </row>
    <row r="40" spans="1:12" ht="16.5" thickBot="1">
      <c r="A40" s="56">
        <v>2</v>
      </c>
      <c r="B40" s="57" t="str">
        <f>IF('3 Est avanzados excelencia'!I4&lt;&gt;0,'3 Est avanzados excelencia'!I4,"-")</f>
        <v>-</v>
      </c>
      <c r="C40" s="58" t="str">
        <f>IF('3 Est avanzados excelencia'!R4&lt;&gt;0,'3 Est avanzados excelencia'!R4,"-")</f>
        <v>-</v>
      </c>
      <c r="D40" s="58" t="str">
        <f>IF('3 Est avanzados excelencia'!S4&lt;&gt;0,'3 Est avanzados excelencia'!S4,"-")</f>
        <v>-</v>
      </c>
      <c r="E40" s="58" t="str">
        <f>IF('3 Est avanzados excelencia'!T4&lt;&gt;0,'3 Est avanzados excelencia'!T4,"-")</f>
        <v>-</v>
      </c>
      <c r="F40" s="58" t="str">
        <f>IF('3 Est avanzados excelencia'!U4&lt;&gt;0,'3 Est avanzados excelencia'!U4,"-")</f>
        <v>-</v>
      </c>
      <c r="G40" s="58" t="str">
        <f>IF('3 Est avanzados excelencia'!V4&lt;&gt;0,'3 Est avanzados excelencia'!V4,"-")</f>
        <v>-</v>
      </c>
      <c r="H40" s="58" t="str">
        <f>IF('3 Est avanzados excelencia'!W4&lt;&gt;0,'3 Est avanzados excelencia'!W4,"-")</f>
        <v>Anual</v>
      </c>
      <c r="I40" s="58" t="str">
        <f>IF('3 Est avanzados excelencia'!X4&lt;&gt;0,'3 Est avanzados excelencia'!X4,"-")</f>
        <v>-</v>
      </c>
      <c r="J40" s="33"/>
    </row>
    <row r="41" spans="1:12" ht="16.5" thickBot="1">
      <c r="A41" s="56">
        <v>3</v>
      </c>
      <c r="B41" s="57" t="str">
        <f>IF('3 Est avanzados excelencia'!I5&lt;&gt;0,'3 Est avanzados excelencia'!I5,"-")</f>
        <v>-</v>
      </c>
      <c r="C41" s="58" t="str">
        <f>IF('3 Est avanzados excelencia'!R5&lt;&gt;0,'3 Est avanzados excelencia'!R5,"-")</f>
        <v>-</v>
      </c>
      <c r="D41" s="58" t="str">
        <f>IF('3 Est avanzados excelencia'!S5&lt;&gt;0,'3 Est avanzados excelencia'!S5,"-")</f>
        <v>-</v>
      </c>
      <c r="E41" s="58" t="str">
        <f>IF('3 Est avanzados excelencia'!T5&lt;&gt;0,'3 Est avanzados excelencia'!T5,"-")</f>
        <v>-</v>
      </c>
      <c r="F41" s="58" t="str">
        <f>IF('3 Est avanzados excelencia'!U5&lt;&gt;0,'3 Est avanzados excelencia'!U5,"-")</f>
        <v>-</v>
      </c>
      <c r="G41" s="58" t="str">
        <f>IF('3 Est avanzados excelencia'!V5&lt;&gt;0,'3 Est avanzados excelencia'!V5,"-")</f>
        <v>-</v>
      </c>
      <c r="H41" s="58" t="str">
        <f>IF('3 Est avanzados excelencia'!W5&lt;&gt;0,'3 Est avanzados excelencia'!W5,"-")</f>
        <v>Anual</v>
      </c>
      <c r="I41" s="58" t="str">
        <f>IF('3 Est avanzados excelencia'!X5&lt;&gt;0,'3 Est avanzados excelencia'!X5,"-")</f>
        <v>-</v>
      </c>
      <c r="J41" s="33"/>
    </row>
    <row r="42" spans="1:12" ht="16.5" thickBot="1">
      <c r="A42" s="56">
        <v>4</v>
      </c>
      <c r="B42" s="57" t="str">
        <f>IF('3 Est avanzados excelencia'!I6&lt;&gt;0,'3 Est avanzados excelencia'!I6,"-")</f>
        <v>-</v>
      </c>
      <c r="C42" s="58" t="str">
        <f>IF('3 Est avanzados excelencia'!R6&lt;&gt;0,'3 Est avanzados excelencia'!R6,"-")</f>
        <v>-</v>
      </c>
      <c r="D42" s="58" t="str">
        <f>IF('3 Est avanzados excelencia'!S6&lt;&gt;0,'3 Est avanzados excelencia'!S6,"-")</f>
        <v>-</v>
      </c>
      <c r="E42" s="58" t="str">
        <f>IF('3 Est avanzados excelencia'!T6&lt;&gt;0,'3 Est avanzados excelencia'!T6,"-")</f>
        <v>-</v>
      </c>
      <c r="F42" s="58" t="str">
        <f>IF('3 Est avanzados excelencia'!U6&lt;&gt;0,'3 Est avanzados excelencia'!U6,"-")</f>
        <v>-</v>
      </c>
      <c r="G42" s="58" t="str">
        <f>IF('3 Est avanzados excelencia'!V6&lt;&gt;0,'3 Est avanzados excelencia'!V6,"-")</f>
        <v>-</v>
      </c>
      <c r="H42" s="58" t="str">
        <f>IF('3 Est avanzados excelencia'!W6&lt;&gt;0,'3 Est avanzados excelencia'!W6,"-")</f>
        <v>Anual</v>
      </c>
      <c r="I42" s="58" t="str">
        <f>IF('3 Est avanzados excelencia'!X6&lt;&gt;0,'3 Est avanzados excelencia'!X6,"-")</f>
        <v>-</v>
      </c>
      <c r="J42" s="33"/>
    </row>
    <row r="43" spans="1:12" ht="16.5" thickBot="1">
      <c r="A43" s="56">
        <v>5</v>
      </c>
      <c r="B43" s="57" t="str">
        <f>IF('3 Est avanzados excelencia'!I7&lt;&gt;0,'3 Est avanzados excelencia'!I7,"-")</f>
        <v>-</v>
      </c>
      <c r="C43" s="58" t="str">
        <f>IF('3 Est avanzados excelencia'!R7&lt;&gt;0,'3 Est avanzados excelencia'!R7,"-")</f>
        <v>-</v>
      </c>
      <c r="D43" s="58" t="str">
        <f>IF('3 Est avanzados excelencia'!S7&lt;&gt;0,'3 Est avanzados excelencia'!S7,"-")</f>
        <v>-</v>
      </c>
      <c r="E43" s="58" t="str">
        <f>IF('3 Est avanzados excelencia'!T7&lt;&gt;0,'3 Est avanzados excelencia'!T7,"-")</f>
        <v>-</v>
      </c>
      <c r="F43" s="58" t="str">
        <f>IF('3 Est avanzados excelencia'!U7&lt;&gt;0,'3 Est avanzados excelencia'!U7,"-")</f>
        <v>-</v>
      </c>
      <c r="G43" s="58" t="str">
        <f>IF('3 Est avanzados excelencia'!V7&lt;&gt;0,'3 Est avanzados excelencia'!V7,"-")</f>
        <v>-</v>
      </c>
      <c r="H43" s="58" t="str">
        <f>IF('3 Est avanzados excelencia'!W7&lt;&gt;0,'3 Est avanzados excelencia'!W7,"-")</f>
        <v>Anual</v>
      </c>
      <c r="I43" s="58" t="str">
        <f>IF('3 Est avanzados excelencia'!X7&lt;&gt;0,'3 Est avanzados excelencia'!X7,"-")</f>
        <v>-</v>
      </c>
      <c r="J43" s="33"/>
    </row>
    <row r="44" spans="1:12" ht="16.5" thickBot="1">
      <c r="A44" s="56">
        <v>6</v>
      </c>
      <c r="B44" s="57" t="str">
        <f>IF('3 Est avanzados excelencia'!I8&lt;&gt;0,'3 Est avanzados excelencia'!I8,"-")</f>
        <v>-</v>
      </c>
      <c r="C44" s="58" t="str">
        <f>IF('3 Est avanzados excelencia'!R8&lt;&gt;0,'3 Est avanzados excelencia'!R8,"-")</f>
        <v>-</v>
      </c>
      <c r="D44" s="58" t="str">
        <f>IF('3 Est avanzados excelencia'!S8&lt;&gt;0,'3 Est avanzados excelencia'!S8,"-")</f>
        <v>-</v>
      </c>
      <c r="E44" s="58" t="str">
        <f>IF('3 Est avanzados excelencia'!T8&lt;&gt;0,'3 Est avanzados excelencia'!T8,"-")</f>
        <v>-</v>
      </c>
      <c r="F44" s="58" t="str">
        <f>IF('3 Est avanzados excelencia'!U8&lt;&gt;0,'3 Est avanzados excelencia'!U8,"-")</f>
        <v>-</v>
      </c>
      <c r="G44" s="58" t="str">
        <f>IF('3 Est avanzados excelencia'!V8&lt;&gt;0,'3 Est avanzados excelencia'!V8,"-")</f>
        <v>-</v>
      </c>
      <c r="H44" s="58" t="str">
        <f>IF('3 Est avanzados excelencia'!W8&lt;&gt;0,'3 Est avanzados excelencia'!W8,"-")</f>
        <v>Anual</v>
      </c>
      <c r="I44" s="58" t="str">
        <f>IF('3 Est avanzados excelencia'!X8&lt;&gt;0,'3 Est avanzados excelencia'!X8,"-")</f>
        <v>-</v>
      </c>
      <c r="J44" s="33"/>
    </row>
    <row r="45" spans="1:12" ht="16.5" thickBot="1">
      <c r="A45" s="56">
        <v>7</v>
      </c>
      <c r="B45" s="57" t="str">
        <f>IF('Indicadores x proyec'!B32&lt;&gt;0,'Indicadores x proyec'!B32,"-")</f>
        <v>-</v>
      </c>
      <c r="C45" s="60" t="str">
        <f>IF('Indicadores x proyec'!D32/100&lt;&gt;0,'Indicadores x proyec'!D32/100,"-")</f>
        <v>-</v>
      </c>
      <c r="D45" s="60" t="str">
        <f>IF('Indicadores x proyec'!E32/100&lt;&gt;0,'Indicadores x proyec'!E32/100,"-")</f>
        <v>-</v>
      </c>
      <c r="E45" s="60" t="str">
        <f>IF('Indicadores x proyec'!F32/100&lt;&gt;0,'Indicadores x proyec'!F32/100,"-")</f>
        <v>-</v>
      </c>
      <c r="F45" s="60" t="str">
        <f>IF('Indicadores x proyec'!G32/100&lt;&gt;0,'Indicadores x proyec'!G32/100,"-")</f>
        <v>-</v>
      </c>
      <c r="G45" s="60" t="str">
        <f>IF('Indicadores x proyec'!H32/100&lt;&gt;0,'Indicadores x proyec'!H32/100,"-")</f>
        <v>-</v>
      </c>
      <c r="H45" s="58" t="str">
        <f>IF('Indicadores x proyec'!I32&lt;&gt;0,'Indicadores x proyec'!I32,"-")</f>
        <v>Anual</v>
      </c>
      <c r="I45" s="58" t="str">
        <f>IF('Indicadores x proyec'!J32&lt;&gt;0,'Indicadores x proyec'!J32,"-")</f>
        <v>-</v>
      </c>
      <c r="J45" s="33"/>
    </row>
    <row r="46" spans="1:12">
      <c r="A46" s="61"/>
      <c r="B46" s="62"/>
      <c r="C46" s="67"/>
      <c r="D46" s="67"/>
      <c r="E46" s="67"/>
      <c r="F46" s="67"/>
      <c r="G46" s="67"/>
      <c r="H46" s="67"/>
      <c r="I46" s="63"/>
      <c r="J46" s="63"/>
    </row>
    <row r="47" spans="1:12">
      <c r="A47" s="64"/>
      <c r="B47" s="65"/>
      <c r="C47" s="66"/>
      <c r="D47" s="66"/>
      <c r="E47" s="66"/>
      <c r="F47" s="66"/>
      <c r="G47" s="66"/>
      <c r="H47" s="66"/>
      <c r="I47" s="66"/>
      <c r="J47" s="66"/>
    </row>
    <row r="48" spans="1:12" ht="19.5">
      <c r="A48" s="53" t="s">
        <v>446</v>
      </c>
      <c r="B48" s="68"/>
      <c r="C48" s="69"/>
      <c r="D48" s="69"/>
      <c r="E48" s="69"/>
      <c r="F48" s="69"/>
      <c r="G48" s="69"/>
      <c r="H48" s="69"/>
      <c r="I48" s="69"/>
      <c r="J48" s="69"/>
    </row>
    <row r="49" spans="1:10" ht="16.5">
      <c r="A49" s="133" t="s">
        <v>611</v>
      </c>
      <c r="B49" s="133"/>
      <c r="C49" s="133"/>
      <c r="D49" s="133"/>
      <c r="E49" s="133"/>
      <c r="F49" s="133"/>
      <c r="G49" s="133"/>
      <c r="H49" s="133"/>
      <c r="I49" s="133"/>
      <c r="J49" s="133"/>
    </row>
    <row r="50" spans="1:10">
      <c r="A50" s="134" t="s">
        <v>23</v>
      </c>
      <c r="B50" s="131" t="s">
        <v>24</v>
      </c>
      <c r="C50" s="131" t="s">
        <v>629</v>
      </c>
      <c r="D50" s="131">
        <v>2027</v>
      </c>
      <c r="E50" s="131">
        <v>2028</v>
      </c>
      <c r="F50" s="131">
        <v>2029</v>
      </c>
      <c r="G50" s="54" t="str">
        <f>TEXT($J$1,"mmmm")</f>
        <v>agosto</v>
      </c>
      <c r="H50" s="131" t="s">
        <v>25</v>
      </c>
      <c r="I50" s="131" t="s">
        <v>7</v>
      </c>
      <c r="J50" s="33"/>
    </row>
    <row r="51" spans="1:10" ht="16.5" thickBot="1">
      <c r="A51" s="135"/>
      <c r="B51" s="132"/>
      <c r="C51" s="132"/>
      <c r="D51" s="132"/>
      <c r="E51" s="132"/>
      <c r="F51" s="132"/>
      <c r="G51" s="55">
        <v>2030</v>
      </c>
      <c r="H51" s="132"/>
      <c r="I51" s="132"/>
      <c r="J51" s="33"/>
    </row>
    <row r="52" spans="1:10" ht="16.5" thickBot="1">
      <c r="A52" s="56">
        <v>1</v>
      </c>
      <c r="B52" s="42" t="str">
        <f>IF('4 Investigación abierta'!I3&lt;&gt;0,'4 Investigación abierta'!I3,"-")</f>
        <v>-</v>
      </c>
      <c r="C52" s="58">
        <f>IF('4 Investigación abierta'!R3&lt;&gt;0,'4 Investigación abierta'!R3,"-")</f>
        <v>3</v>
      </c>
      <c r="D52" s="58">
        <f>IF('4 Investigación abierta'!S3&lt;&gt;0,'4 Investigación abierta'!S3,"-")</f>
        <v>2</v>
      </c>
      <c r="E52" s="58">
        <f>IF('4 Investigación abierta'!T3&lt;&gt;0,'4 Investigación abierta'!T3,"-")</f>
        <v>2</v>
      </c>
      <c r="F52" s="58">
        <f>IF('4 Investigación abierta'!U3&lt;&gt;0,'4 Investigación abierta'!U3,"-")</f>
        <v>2</v>
      </c>
      <c r="G52" s="58">
        <f>IF('4 Investigación abierta'!V3&lt;&gt;0,'4 Investigación abierta'!V3,"-")</f>
        <v>2</v>
      </c>
      <c r="H52" s="58" t="str">
        <f>IF('4 Investigación abierta'!W3&lt;&gt;0,'4 Investigación abierta'!W3,"-")</f>
        <v>Anual</v>
      </c>
      <c r="I52" s="58" t="str">
        <f>IF('4 Investigación abierta'!X3&lt;&gt;0,'4 Investigación abierta'!X3,"-")</f>
        <v>-</v>
      </c>
      <c r="J52" s="33"/>
    </row>
    <row r="53" spans="1:10" ht="16.5" thickBot="1">
      <c r="A53" s="56">
        <v>2</v>
      </c>
      <c r="B53" s="57" t="str">
        <f>IF('Indicadores x proyec'!B38&lt;&gt;0,'Indicadores x proyec'!B38,"-")</f>
        <v>-</v>
      </c>
      <c r="C53" s="60" t="str">
        <f>IF('Indicadores x proyec'!D38/100&lt;&gt;0,'Indicadores x proyec'!D38/100,"-")</f>
        <v>-</v>
      </c>
      <c r="D53" s="60" t="str">
        <f>IF('Indicadores x proyec'!E38/100&lt;&gt;0,'Indicadores x proyec'!E38/100,"-")</f>
        <v>-</v>
      </c>
      <c r="E53" s="60" t="str">
        <f>IF('Indicadores x proyec'!F38/100&lt;&gt;0,'Indicadores x proyec'!F38/100,"-")</f>
        <v>-</v>
      </c>
      <c r="F53" s="60" t="str">
        <f>IF('Indicadores x proyec'!G38/100&lt;&gt;0,'Indicadores x proyec'!G38/100,"-")</f>
        <v>-</v>
      </c>
      <c r="G53" s="60" t="str">
        <f>IF('Indicadores x proyec'!H38/100&lt;&gt;0,'Indicadores x proyec'!H38/100,"-")</f>
        <v>-</v>
      </c>
      <c r="H53" s="58" t="str">
        <f>IF('Indicadores x proyec'!I38&lt;&gt;0,'Indicadores x proyec'!I38,"-")</f>
        <v>Anual</v>
      </c>
      <c r="I53" s="58" t="str">
        <f>IF('Indicadores x proyec'!J38&lt;&gt;0,'Indicadores x proyec'!J38,"-")</f>
        <v>-</v>
      </c>
      <c r="J53" s="33"/>
    </row>
    <row r="54" spans="1:10" ht="16.5" thickBot="1">
      <c r="A54" s="56">
        <v>3</v>
      </c>
      <c r="B54" s="57" t="str">
        <f>IF('Indicadores x proyec'!B40&lt;&gt;0,'Indicadores x proyec'!B40,"-")</f>
        <v>-</v>
      </c>
      <c r="C54" s="60" t="str">
        <f>IF('Indicadores x proyec'!D40/100&lt;&gt;0,'Indicadores x proyec'!D40/100,"-")</f>
        <v>-</v>
      </c>
      <c r="D54" s="60" t="str">
        <f>IF('Indicadores x proyec'!E40/100&lt;&gt;0,'Indicadores x proyec'!E40/100,"-")</f>
        <v>-</v>
      </c>
      <c r="E54" s="60" t="str">
        <f>IF('Indicadores x proyec'!F40/100&lt;&gt;0,'Indicadores x proyec'!F40/100,"-")</f>
        <v>-</v>
      </c>
      <c r="F54" s="60" t="str">
        <f>IF('Indicadores x proyec'!G40/100&lt;&gt;0,'Indicadores x proyec'!G40/100,"-")</f>
        <v>-</v>
      </c>
      <c r="G54" s="60" t="str">
        <f>IF('Indicadores x proyec'!H40/100&lt;&gt;0,'Indicadores x proyec'!H40/100,"-")</f>
        <v>-</v>
      </c>
      <c r="H54" s="58" t="str">
        <f>IF('Indicadores x proyec'!I40&lt;&gt;0,'Indicadores x proyec'!I40,"-")</f>
        <v>Anual</v>
      </c>
      <c r="I54" s="58" t="str">
        <f>IF('Indicadores x proyec'!J40&lt;&gt;0,'Indicadores x proyec'!J40,"-")</f>
        <v>-</v>
      </c>
      <c r="J54" s="33"/>
    </row>
    <row r="55" spans="1:10" ht="16.5" thickBot="1">
      <c r="A55" s="56">
        <v>4</v>
      </c>
      <c r="B55" s="57" t="str">
        <f>IF('Indicadores x proyec'!B42&lt;&gt;0,'Indicadores x proyec'!B42,"-")</f>
        <v>-</v>
      </c>
      <c r="C55" s="60" t="str">
        <f>IF('Indicadores x proyec'!D42/100&lt;&gt;0,'Indicadores x proyec'!D42/100,"-")</f>
        <v>-</v>
      </c>
      <c r="D55" s="60" t="str">
        <f>IF('Indicadores x proyec'!E42/100&lt;&gt;0,'Indicadores x proyec'!E42/100,"-")</f>
        <v>-</v>
      </c>
      <c r="E55" s="60" t="str">
        <f>IF('Indicadores x proyec'!F42/100&lt;&gt;0,'Indicadores x proyec'!F42/100,"-")</f>
        <v>-</v>
      </c>
      <c r="F55" s="60" t="str">
        <f>IF('Indicadores x proyec'!G42/100&lt;&gt;0,'Indicadores x proyec'!G42/100,"-")</f>
        <v>-</v>
      </c>
      <c r="G55" s="60" t="str">
        <f>IF('Indicadores x proyec'!H42/100&lt;&gt;0,'Indicadores x proyec'!H42/100,"-")</f>
        <v>-</v>
      </c>
      <c r="H55" s="58" t="str">
        <f>IF('Indicadores x proyec'!I42&lt;&gt;0,'Indicadores x proyec'!I42,"-")</f>
        <v>Anual</v>
      </c>
      <c r="I55" s="58" t="str">
        <f>IF('Indicadores x proyec'!J42&lt;&gt;0,'Indicadores x proyec'!J42,"-")</f>
        <v>-</v>
      </c>
      <c r="J55" s="33"/>
    </row>
    <row r="56" spans="1:10" ht="16.5" thickBot="1">
      <c r="A56" s="56">
        <v>5</v>
      </c>
      <c r="B56" s="42" t="str">
        <f>IF('4 Investigación abierta'!I10&lt;&gt;0,'4 Investigación abierta'!I10,"-")</f>
        <v>-</v>
      </c>
      <c r="C56" s="58" t="str">
        <f>IF('4 Investigación abierta'!R10&lt;&gt;0,'4 Investigación abierta'!R10,"-")</f>
        <v>-</v>
      </c>
      <c r="D56" s="58" t="str">
        <f>IF('4 Investigación abierta'!S10&lt;&gt;0,'4 Investigación abierta'!S10,"-")</f>
        <v>-</v>
      </c>
      <c r="E56" s="58" t="str">
        <f>IF('4 Investigación abierta'!T10&lt;&gt;0,'4 Investigación abierta'!T10,"-")</f>
        <v>-</v>
      </c>
      <c r="F56" s="58" t="str">
        <f>IF('4 Investigación abierta'!U10&lt;&gt;0,'4 Investigación abierta'!U10,"-")</f>
        <v>-</v>
      </c>
      <c r="G56" s="58" t="str">
        <f>IF('4 Investigación abierta'!V10&lt;&gt;0,'4 Investigación abierta'!V10,"-")</f>
        <v>-</v>
      </c>
      <c r="H56" s="58" t="str">
        <f>IF('4 Investigación abierta'!W10&lt;&gt;0,'4 Investigación abierta'!W10,"-")</f>
        <v>Anual</v>
      </c>
      <c r="I56" s="58" t="str">
        <f>IF('4 Investigación abierta'!X10&lt;&gt;0,'4 Investigación abierta'!X10,"-")</f>
        <v>-</v>
      </c>
      <c r="J56" s="33"/>
    </row>
    <row r="57" spans="1:10" ht="16.5" thickBot="1">
      <c r="A57" s="56">
        <v>6</v>
      </c>
      <c r="B57" s="127" t="str">
        <f>IF('4 Investigación abierta'!I11&lt;&gt;0,'4 Investigación abierta'!I11,"-")</f>
        <v>-</v>
      </c>
      <c r="C57" s="58" t="str">
        <f>IF('4 Investigación abierta'!R11&lt;&gt;0,'4 Investigación abierta'!R11,"-")</f>
        <v>-</v>
      </c>
      <c r="D57" s="58" t="str">
        <f>IF('4 Investigación abierta'!S11&lt;&gt;0,'4 Investigación abierta'!S11,"-")</f>
        <v>-</v>
      </c>
      <c r="E57" s="58" t="str">
        <f>IF('4 Investigación abierta'!T11&lt;&gt;0,'4 Investigación abierta'!T11,"-")</f>
        <v>-</v>
      </c>
      <c r="F57" s="58" t="str">
        <f>IF('4 Investigación abierta'!U11&lt;&gt;0,'4 Investigación abierta'!U11,"-")</f>
        <v>-</v>
      </c>
      <c r="G57" s="58" t="str">
        <f>IF('4 Investigación abierta'!V11&lt;&gt;0,'4 Investigación abierta'!V11,"-")</f>
        <v>-</v>
      </c>
      <c r="H57" s="58" t="str">
        <f>IF('4 Investigación abierta'!W11&lt;&gt;0,'4 Investigación abierta'!W11,"-")</f>
        <v>Anual</v>
      </c>
      <c r="I57" s="58" t="str">
        <f>IF('4 Investigación abierta'!X11&lt;&gt;0,'4 Investigación abierta'!X11,"-")</f>
        <v>-</v>
      </c>
      <c r="J57" s="33"/>
    </row>
    <row r="58" spans="1:10" ht="16.5" thickBot="1">
      <c r="A58" s="56">
        <v>7</v>
      </c>
      <c r="B58" s="57" t="str">
        <f>IF('Indicadores x proyec'!B44&lt;&gt;0,'Indicadores x proyec'!B44,"-")</f>
        <v>-</v>
      </c>
      <c r="C58" s="60" t="str">
        <f>IF('Indicadores x proyec'!D44/100&lt;&gt;0,'Indicadores x proyec'!D44/100,"-")</f>
        <v>-</v>
      </c>
      <c r="D58" s="60" t="str">
        <f>IF('Indicadores x proyec'!E44/100&lt;&gt;0,'Indicadores x proyec'!E44/100,"-")</f>
        <v>-</v>
      </c>
      <c r="E58" s="60" t="str">
        <f>IF('Indicadores x proyec'!F44/100&lt;&gt;0,'Indicadores x proyec'!F44/100,"-")</f>
        <v>-</v>
      </c>
      <c r="F58" s="60" t="str">
        <f>IF('Indicadores x proyec'!G44/100&lt;&gt;0,'Indicadores x proyec'!G44/100,"-")</f>
        <v>-</v>
      </c>
      <c r="G58" s="60" t="str">
        <f>IF('Indicadores x proyec'!H44/100&lt;&gt;0,'Indicadores x proyec'!H44/100,"-")</f>
        <v>-</v>
      </c>
      <c r="H58" s="58" t="str">
        <f>IF('Indicadores x proyec'!I44&lt;&gt;0,'Indicadores x proyec'!I44,"-")</f>
        <v>Anual</v>
      </c>
      <c r="I58" s="58" t="str">
        <f>IF('Indicadores x proyec'!J44&lt;&gt;0,'Indicadores x proyec'!J44,"-")</f>
        <v>-</v>
      </c>
      <c r="J58" s="33"/>
    </row>
    <row r="59" spans="1:10" ht="16.5" thickBot="1">
      <c r="A59" s="56">
        <v>8</v>
      </c>
      <c r="B59" s="57" t="str">
        <f>IF('Indicadores x proyec'!B46&lt;&gt;0,'Indicadores x proyec'!B46,"-")</f>
        <v>-</v>
      </c>
      <c r="C59" s="60" t="str">
        <f>IF('Indicadores x proyec'!D46/100&lt;&gt;0,'Indicadores x proyec'!D46/100,"-")</f>
        <v>-</v>
      </c>
      <c r="D59" s="60" t="str">
        <f>IF('Indicadores x proyec'!E46/100&lt;&gt;0,'Indicadores x proyec'!E46/100,"-")</f>
        <v>-</v>
      </c>
      <c r="E59" s="60" t="str">
        <f>IF('Indicadores x proyec'!F46/100&lt;&gt;0,'Indicadores x proyec'!F46/100,"-")</f>
        <v>-</v>
      </c>
      <c r="F59" s="60" t="str">
        <f>IF('Indicadores x proyec'!G46/100&lt;&gt;0,'Indicadores x proyec'!G46/100,"-")</f>
        <v>-</v>
      </c>
      <c r="G59" s="60" t="str">
        <f>IF('Indicadores x proyec'!H46/100&lt;&gt;0,'Indicadores x proyec'!H46/100,"-")</f>
        <v>-</v>
      </c>
      <c r="H59" s="58" t="str">
        <f>IF('Indicadores x proyec'!I46&lt;&gt;0,'Indicadores x proyec'!I46,"-")</f>
        <v>Anual</v>
      </c>
      <c r="I59" s="58" t="str">
        <f>IF('Indicadores x proyec'!J46&lt;&gt;0,'Indicadores x proyec'!J46,"-")</f>
        <v>-</v>
      </c>
      <c r="J59" s="33"/>
    </row>
    <row r="60" spans="1:10">
      <c r="A60" s="68"/>
      <c r="B60" s="68"/>
      <c r="C60" s="69"/>
      <c r="D60" s="69"/>
      <c r="E60" s="69"/>
      <c r="F60" s="69"/>
      <c r="G60" s="69"/>
      <c r="H60" s="69"/>
      <c r="I60" s="69"/>
      <c r="J60" s="69"/>
    </row>
    <row r="61" spans="1:10">
      <c r="A61" s="68"/>
      <c r="B61" s="68"/>
      <c r="C61" s="69"/>
      <c r="D61" s="69"/>
      <c r="E61" s="69"/>
      <c r="F61" s="69"/>
      <c r="G61" s="69"/>
      <c r="H61" s="69"/>
      <c r="I61" s="69"/>
      <c r="J61" s="69"/>
    </row>
    <row r="62" spans="1:10" ht="16.5">
      <c r="A62" s="136" t="s">
        <v>612</v>
      </c>
      <c r="B62" s="133"/>
      <c r="C62" s="133"/>
      <c r="D62" s="133"/>
      <c r="E62" s="133"/>
      <c r="F62" s="133"/>
      <c r="G62" s="133"/>
      <c r="H62" s="133"/>
      <c r="I62" s="133"/>
      <c r="J62" s="133"/>
    </row>
    <row r="63" spans="1:10">
      <c r="A63" s="134" t="s">
        <v>23</v>
      </c>
      <c r="B63" s="131" t="s">
        <v>24</v>
      </c>
      <c r="C63" s="131" t="s">
        <v>629</v>
      </c>
      <c r="D63" s="131">
        <v>2027</v>
      </c>
      <c r="E63" s="131">
        <v>2028</v>
      </c>
      <c r="F63" s="131">
        <v>2029</v>
      </c>
      <c r="G63" s="54" t="str">
        <f>TEXT($J$1,"mmmm")</f>
        <v>agosto</v>
      </c>
      <c r="H63" s="131" t="s">
        <v>25</v>
      </c>
      <c r="I63" s="131" t="s">
        <v>7</v>
      </c>
      <c r="J63" s="33"/>
    </row>
    <row r="64" spans="1:10" ht="16.5" thickBot="1">
      <c r="A64" s="135"/>
      <c r="B64" s="132"/>
      <c r="C64" s="132"/>
      <c r="D64" s="132"/>
      <c r="E64" s="132"/>
      <c r="F64" s="132"/>
      <c r="G64" s="55">
        <v>2030</v>
      </c>
      <c r="H64" s="132"/>
      <c r="I64" s="132"/>
      <c r="J64" s="33"/>
    </row>
    <row r="65" spans="1:12" ht="16.5" thickBot="1">
      <c r="A65" s="56">
        <v>1</v>
      </c>
      <c r="B65" s="127" t="str">
        <f>IF('5 Innovación, desarrollo tec'!I3&lt;&gt;0,'5 Innovación, desarrollo tec'!I3,"-")</f>
        <v>-</v>
      </c>
      <c r="C65" s="58" t="str">
        <f>IF('5 Innovación, desarrollo tec'!R3&lt;&gt;0,'5 Innovación, desarrollo tec'!R3,"-")</f>
        <v>-</v>
      </c>
      <c r="D65" s="58" t="str">
        <f>IF('5 Innovación, desarrollo tec'!S3&lt;&gt;0,'5 Innovación, desarrollo tec'!S3,"-")</f>
        <v>-</v>
      </c>
      <c r="E65" s="58" t="str">
        <f>IF('5 Innovación, desarrollo tec'!T3&lt;&gt;0,'5 Innovación, desarrollo tec'!T3,"-")</f>
        <v>-</v>
      </c>
      <c r="F65" s="58" t="str">
        <f>IF('5 Innovación, desarrollo tec'!U3&lt;&gt;0,'5 Innovación, desarrollo tec'!U3,"-")</f>
        <v>-</v>
      </c>
      <c r="G65" s="58" t="str">
        <f>IF('5 Innovación, desarrollo tec'!V3&lt;&gt;0,'5 Innovación, desarrollo tec'!V3,"-")</f>
        <v>-</v>
      </c>
      <c r="H65" s="58" t="str">
        <f>IF('5 Innovación, desarrollo tec'!W3&lt;&gt;0,'5 Innovación, desarrollo tec'!W3,"-")</f>
        <v>Anual</v>
      </c>
      <c r="I65" s="58" t="str">
        <f>IF('5 Innovación, desarrollo tec'!X3&lt;&gt;0,'5 Innovación, desarrollo tec'!X3,"-")</f>
        <v>-</v>
      </c>
      <c r="J65" s="33"/>
    </row>
    <row r="66" spans="1:12" ht="16.5" thickBot="1">
      <c r="A66" s="56">
        <v>2</v>
      </c>
      <c r="B66" s="127" t="str">
        <f>IF('5 Innovación, desarrollo tec'!I4&lt;&gt;0,'5 Innovación, desarrollo tec'!I4,"-")</f>
        <v>-</v>
      </c>
      <c r="C66" s="58" t="str">
        <f>IF('5 Innovación, desarrollo tec'!R4&lt;&gt;0,'5 Innovación, desarrollo tec'!R4,"-")</f>
        <v>-</v>
      </c>
      <c r="D66" s="58" t="str">
        <f>IF('5 Innovación, desarrollo tec'!S4&lt;&gt;0,'5 Innovación, desarrollo tec'!S4,"-")</f>
        <v>-</v>
      </c>
      <c r="E66" s="58" t="str">
        <f>IF('5 Innovación, desarrollo tec'!T4&lt;&gt;0,'5 Innovación, desarrollo tec'!T4,"-")</f>
        <v>-</v>
      </c>
      <c r="F66" s="58" t="str">
        <f>IF('5 Innovación, desarrollo tec'!U4&lt;&gt;0,'5 Innovación, desarrollo tec'!U4,"-")</f>
        <v>-</v>
      </c>
      <c r="G66" s="58" t="str">
        <f>IF('5 Innovación, desarrollo tec'!V4&lt;&gt;0,'5 Innovación, desarrollo tec'!V4,"-")</f>
        <v>-</v>
      </c>
      <c r="H66" s="58" t="str">
        <f>IF('5 Innovación, desarrollo tec'!W4&lt;&gt;0,'5 Innovación, desarrollo tec'!W4,"-")</f>
        <v>Anual</v>
      </c>
      <c r="I66" s="58" t="str">
        <f>IF('5 Innovación, desarrollo tec'!X4&lt;&gt;0,'5 Innovación, desarrollo tec'!X4,"-")</f>
        <v>-</v>
      </c>
      <c r="J66" s="33"/>
    </row>
    <row r="67" spans="1:12">
      <c r="A67" s="68"/>
      <c r="B67" s="68"/>
      <c r="C67" s="69"/>
      <c r="D67" s="69"/>
      <c r="E67" s="69"/>
      <c r="F67" s="69"/>
      <c r="G67" s="69"/>
      <c r="H67" s="69"/>
      <c r="I67" s="69"/>
      <c r="J67" s="69"/>
    </row>
    <row r="68" spans="1:12">
      <c r="A68" s="68"/>
      <c r="B68" s="68"/>
      <c r="C68" s="69"/>
      <c r="D68" s="69"/>
      <c r="E68" s="69"/>
      <c r="F68" s="69"/>
      <c r="G68" s="69"/>
      <c r="H68" s="69"/>
      <c r="I68" s="69"/>
      <c r="J68" s="69"/>
    </row>
    <row r="69" spans="1:12" ht="16.5">
      <c r="A69" s="133" t="s">
        <v>613</v>
      </c>
      <c r="B69" s="133"/>
      <c r="C69" s="133"/>
      <c r="D69" s="133"/>
      <c r="E69" s="133"/>
      <c r="F69" s="133"/>
      <c r="G69" s="133"/>
      <c r="H69" s="133"/>
      <c r="I69" s="133"/>
      <c r="J69" s="133"/>
    </row>
    <row r="70" spans="1:12">
      <c r="A70" s="134" t="s">
        <v>23</v>
      </c>
      <c r="B70" s="134" t="s">
        <v>24</v>
      </c>
      <c r="C70" s="131" t="s">
        <v>629</v>
      </c>
      <c r="D70" s="131">
        <v>2027</v>
      </c>
      <c r="E70" s="131">
        <v>2028</v>
      </c>
      <c r="F70" s="131">
        <v>2029</v>
      </c>
      <c r="G70" s="54" t="str">
        <f>TEXT($J$1,"mmmm")</f>
        <v>agosto</v>
      </c>
      <c r="H70" s="131" t="s">
        <v>25</v>
      </c>
      <c r="I70" s="131" t="s">
        <v>7</v>
      </c>
      <c r="J70" s="33"/>
    </row>
    <row r="71" spans="1:12" ht="16.5" thickBot="1">
      <c r="A71" s="135"/>
      <c r="B71" s="135"/>
      <c r="C71" s="132"/>
      <c r="D71" s="132"/>
      <c r="E71" s="132"/>
      <c r="F71" s="132"/>
      <c r="G71" s="55">
        <v>2030</v>
      </c>
      <c r="H71" s="132"/>
      <c r="I71" s="132"/>
      <c r="J71" s="33"/>
    </row>
    <row r="72" spans="1:12" ht="16.5" thickBot="1">
      <c r="A72" s="58">
        <v>1</v>
      </c>
      <c r="B72" s="70" t="str">
        <f>IF('6 Dif y divulga de la ciencia'!I3&lt;&gt;0,'6 Dif y divulga de la ciencia'!I3,"-")</f>
        <v>-</v>
      </c>
      <c r="C72" s="58" t="str">
        <f>IF('6 Dif y divulga de la ciencia'!R3&lt;&gt;0,'6 Dif y divulga de la ciencia'!R3,"-")</f>
        <v>-</v>
      </c>
      <c r="D72" s="58" t="str">
        <f>IF('6 Dif y divulga de la ciencia'!S3&lt;&gt;0,'6 Dif y divulga de la ciencia'!S3,"-")</f>
        <v>-</v>
      </c>
      <c r="E72" s="58" t="str">
        <f>IF('6 Dif y divulga de la ciencia'!T3&lt;&gt;0,'6 Dif y divulga de la ciencia'!T3,"-")</f>
        <v>-</v>
      </c>
      <c r="F72" s="58" t="str">
        <f>IF('6 Dif y divulga de la ciencia'!U3&lt;&gt;0,'6 Dif y divulga de la ciencia'!U3,"-")</f>
        <v>-</v>
      </c>
      <c r="G72" s="58" t="str">
        <f>IF('6 Dif y divulga de la ciencia'!V3&lt;&gt;0,'6 Dif y divulga de la ciencia'!V3,"-")</f>
        <v>-</v>
      </c>
      <c r="H72" s="58" t="str">
        <f>IF('6 Dif y divulga de la ciencia'!W3&lt;&gt;0,'6 Dif y divulga de la ciencia'!W3,"-")</f>
        <v>Anual</v>
      </c>
      <c r="I72" s="58" t="str">
        <f>IF('6 Dif y divulga de la ciencia'!X3&lt;&gt;0,'6 Dif y divulga de la ciencia'!X3,"-")</f>
        <v>-</v>
      </c>
      <c r="J72" s="33"/>
    </row>
    <row r="73" spans="1:12" ht="16.5" thickBot="1">
      <c r="A73" s="58">
        <v>2</v>
      </c>
      <c r="B73" s="70" t="str">
        <f>IF('6 Dif y divulga de la ciencia'!I4&lt;&gt;0,'6 Dif y divulga de la ciencia'!I4,"-")</f>
        <v>-</v>
      </c>
      <c r="C73" s="58" t="str">
        <f>IF('6 Dif y divulga de la ciencia'!R4&lt;&gt;0,'6 Dif y divulga de la ciencia'!R4,"-")</f>
        <v>-</v>
      </c>
      <c r="D73" s="58" t="str">
        <f>IF('6 Dif y divulga de la ciencia'!S4&lt;&gt;0,'6 Dif y divulga de la ciencia'!S4,"-")</f>
        <v>-</v>
      </c>
      <c r="E73" s="58" t="str">
        <f>IF('6 Dif y divulga de la ciencia'!T4&lt;&gt;0,'6 Dif y divulga de la ciencia'!T4,"-")</f>
        <v>-</v>
      </c>
      <c r="F73" s="58" t="str">
        <f>IF('6 Dif y divulga de la ciencia'!U4&lt;&gt;0,'6 Dif y divulga de la ciencia'!U4,"-")</f>
        <v>-</v>
      </c>
      <c r="G73" s="58" t="str">
        <f>IF('6 Dif y divulga de la ciencia'!V4&lt;&gt;0,'6 Dif y divulga de la ciencia'!V4,"-")</f>
        <v>-</v>
      </c>
      <c r="H73" s="58" t="str">
        <f>IF('6 Dif y divulga de la ciencia'!W4&lt;&gt;0,'6 Dif y divulga de la ciencia'!W4,"-")</f>
        <v>Anual</v>
      </c>
      <c r="I73" s="58" t="str">
        <f>IF('6 Dif y divulga de la ciencia'!X4&lt;&gt;0,'6 Dif y divulga de la ciencia'!X4,"-")</f>
        <v>-</v>
      </c>
      <c r="J73" s="33"/>
      <c r="L73" s="42"/>
    </row>
    <row r="74" spans="1:12" ht="16.5" thickBot="1">
      <c r="A74" s="58">
        <v>3</v>
      </c>
      <c r="B74" s="70" t="str">
        <f>IF('6 Dif y divulga de la ciencia'!I5&lt;&gt;0,'6 Dif y divulga de la ciencia'!I5,"-")</f>
        <v>-</v>
      </c>
      <c r="C74" s="58" t="str">
        <f>IF('6 Dif y divulga de la ciencia'!R5&lt;&gt;0,'6 Dif y divulga de la ciencia'!R5,"-")</f>
        <v>-</v>
      </c>
      <c r="D74" s="58" t="str">
        <f>IF('6 Dif y divulga de la ciencia'!S5&lt;&gt;0,'6 Dif y divulga de la ciencia'!S5,"-")</f>
        <v>-</v>
      </c>
      <c r="E74" s="58" t="str">
        <f>IF('6 Dif y divulga de la ciencia'!T5&lt;&gt;0,'6 Dif y divulga de la ciencia'!T5,"-")</f>
        <v>-</v>
      </c>
      <c r="F74" s="58" t="str">
        <f>IF('6 Dif y divulga de la ciencia'!U5&lt;&gt;0,'6 Dif y divulga de la ciencia'!U5,"-")</f>
        <v>-</v>
      </c>
      <c r="G74" s="58" t="str">
        <f>IF('6 Dif y divulga de la ciencia'!V5&lt;&gt;0,'6 Dif y divulga de la ciencia'!V5,"-")</f>
        <v>-</v>
      </c>
      <c r="H74" s="58" t="str">
        <f>IF('6 Dif y divulga de la ciencia'!W5&lt;&gt;0,'6 Dif y divulga de la ciencia'!W5,"-")</f>
        <v>Anual</v>
      </c>
      <c r="I74" s="58" t="str">
        <f>IF('6 Dif y divulga de la ciencia'!X5&lt;&gt;0,'6 Dif y divulga de la ciencia'!X5,"-")</f>
        <v>-</v>
      </c>
      <c r="J74" s="33"/>
    </row>
    <row r="75" spans="1:12">
      <c r="A75" s="63"/>
      <c r="B75" s="71"/>
      <c r="C75" s="61"/>
      <c r="D75" s="61"/>
      <c r="E75" s="61"/>
      <c r="F75" s="61"/>
      <c r="G75" s="61"/>
      <c r="H75" s="61"/>
      <c r="I75" s="61"/>
      <c r="J75" s="61"/>
    </row>
    <row r="76" spans="1:12" ht="19.5">
      <c r="A76" s="53" t="s">
        <v>447</v>
      </c>
      <c r="B76" s="72"/>
      <c r="C76" s="73"/>
      <c r="D76" s="73"/>
      <c r="E76" s="73"/>
      <c r="F76" s="73"/>
      <c r="G76" s="73"/>
      <c r="H76" s="73"/>
      <c r="I76" s="73"/>
      <c r="J76" s="73"/>
    </row>
    <row r="77" spans="1:12" ht="16.5">
      <c r="A77" s="133" t="s">
        <v>614</v>
      </c>
      <c r="B77" s="133"/>
      <c r="C77" s="133"/>
      <c r="D77" s="133"/>
      <c r="E77" s="133"/>
      <c r="F77" s="133"/>
      <c r="G77" s="133"/>
      <c r="H77" s="133"/>
      <c r="I77" s="133"/>
      <c r="J77" s="133"/>
    </row>
    <row r="78" spans="1:12">
      <c r="A78" s="134" t="s">
        <v>23</v>
      </c>
      <c r="B78" s="131" t="s">
        <v>24</v>
      </c>
      <c r="C78" s="131" t="s">
        <v>629</v>
      </c>
      <c r="D78" s="131">
        <v>2027</v>
      </c>
      <c r="E78" s="131">
        <v>2028</v>
      </c>
      <c r="F78" s="131">
        <v>2029</v>
      </c>
      <c r="G78" s="54" t="str">
        <f>TEXT($J$1,"mmmm")</f>
        <v>agosto</v>
      </c>
      <c r="H78" s="131" t="s">
        <v>25</v>
      </c>
      <c r="I78" s="131" t="s">
        <v>7</v>
      </c>
      <c r="J78" s="33"/>
    </row>
    <row r="79" spans="1:12" ht="16.5" thickBot="1">
      <c r="A79" s="135"/>
      <c r="B79" s="132"/>
      <c r="C79" s="132"/>
      <c r="D79" s="132"/>
      <c r="E79" s="132"/>
      <c r="F79" s="132"/>
      <c r="G79" s="55">
        <v>2030</v>
      </c>
      <c r="H79" s="132"/>
      <c r="I79" s="132"/>
      <c r="J79" s="33"/>
    </row>
    <row r="80" spans="1:12" ht="16.5" thickBot="1">
      <c r="A80" s="58">
        <v>1</v>
      </c>
      <c r="B80" s="74" t="str">
        <f>IF('7 Cultura desarrollo integral'!I3&lt;&gt;0,'7 Cultura desarrollo integral'!I3,"-")</f>
        <v>-</v>
      </c>
      <c r="C80" s="58" t="str">
        <f>IF('7 Cultura desarrollo integral'!R3&lt;&gt;0,'7 Cultura desarrollo integral'!R3,"-")</f>
        <v>-</v>
      </c>
      <c r="D80" s="58" t="str">
        <f>IF('7 Cultura desarrollo integral'!S3&lt;&gt;0,'7 Cultura desarrollo integral'!S3,"-")</f>
        <v>-</v>
      </c>
      <c r="E80" s="58" t="str">
        <f>IF('7 Cultura desarrollo integral'!T3&lt;&gt;0,'7 Cultura desarrollo integral'!T3,"-")</f>
        <v>-</v>
      </c>
      <c r="F80" s="58" t="str">
        <f>IF('7 Cultura desarrollo integral'!U3&lt;&gt;0,'7 Cultura desarrollo integral'!U3,"-")</f>
        <v>-</v>
      </c>
      <c r="G80" s="58" t="str">
        <f>IF('7 Cultura desarrollo integral'!V3&lt;&gt;0,'7 Cultura desarrollo integral'!V3,"-")</f>
        <v>-</v>
      </c>
      <c r="H80" s="58" t="str">
        <f>IF('7 Cultura desarrollo integral'!W3&lt;&gt;0,'7 Cultura desarrollo integral'!W3,"-")</f>
        <v xml:space="preserve">Anual </v>
      </c>
      <c r="I80" s="58" t="str">
        <f>IF('7 Cultura desarrollo integral'!X3&lt;&gt;0,'7 Cultura desarrollo integral'!X3,"-")</f>
        <v>-</v>
      </c>
      <c r="J80" s="33"/>
    </row>
    <row r="81" spans="1:10" ht="16.5" thickBot="1">
      <c r="A81" s="58">
        <v>2</v>
      </c>
      <c r="B81" s="74" t="str">
        <f>IF('7 Cultura desarrollo integral'!I4&lt;&gt;0,'7 Cultura desarrollo integral'!I4,"-")</f>
        <v>-</v>
      </c>
      <c r="C81" s="58" t="str">
        <f>IF('7 Cultura desarrollo integral'!R4&lt;&gt;0,'7 Cultura desarrollo integral'!R4,"-")</f>
        <v>-</v>
      </c>
      <c r="D81" s="58" t="str">
        <f>IF('7 Cultura desarrollo integral'!S4&lt;&gt;0,'7 Cultura desarrollo integral'!S4,"-")</f>
        <v>-</v>
      </c>
      <c r="E81" s="58" t="str">
        <f>IF('7 Cultura desarrollo integral'!T4&lt;&gt;0,'7 Cultura desarrollo integral'!T4,"-")</f>
        <v>-</v>
      </c>
      <c r="F81" s="58" t="str">
        <f>IF('7 Cultura desarrollo integral'!U4&lt;&gt;0,'7 Cultura desarrollo integral'!U4,"-")</f>
        <v>-</v>
      </c>
      <c r="G81" s="58" t="str">
        <f>IF('7 Cultura desarrollo integral'!V4&lt;&gt;0,'7 Cultura desarrollo integral'!V4,"-")</f>
        <v>-</v>
      </c>
      <c r="H81" s="58" t="str">
        <f>IF('7 Cultura desarrollo integral'!W4&lt;&gt;0,'7 Cultura desarrollo integral'!W4,"-")</f>
        <v xml:space="preserve">Anual </v>
      </c>
      <c r="I81" s="58" t="str">
        <f>IF('7 Cultura desarrollo integral'!X4&lt;&gt;0,'7 Cultura desarrollo integral'!X4,"-")</f>
        <v>-</v>
      </c>
      <c r="J81" s="33"/>
    </row>
    <row r="82" spans="1:10" ht="16.5" thickBot="1">
      <c r="A82" s="58">
        <v>3</v>
      </c>
      <c r="B82" s="74" t="str">
        <f>IF('7 Cultura desarrollo integral'!I5&lt;&gt;0,'7 Cultura desarrollo integral'!I5,"-")</f>
        <v>-</v>
      </c>
      <c r="C82" s="58" t="str">
        <f>IF('7 Cultura desarrollo integral'!R5&lt;&gt;0,'7 Cultura desarrollo integral'!R5,"-")</f>
        <v>-</v>
      </c>
      <c r="D82" s="58" t="str">
        <f>IF('7 Cultura desarrollo integral'!S5&lt;&gt;0,'7 Cultura desarrollo integral'!S5,"-")</f>
        <v>-</v>
      </c>
      <c r="E82" s="58" t="str">
        <f>IF('7 Cultura desarrollo integral'!T5&lt;&gt;0,'7 Cultura desarrollo integral'!T5,"-")</f>
        <v>-</v>
      </c>
      <c r="F82" s="58" t="str">
        <f>IF('7 Cultura desarrollo integral'!U5&lt;&gt;0,'7 Cultura desarrollo integral'!U5,"-")</f>
        <v>-</v>
      </c>
      <c r="G82" s="58" t="str">
        <f>IF('7 Cultura desarrollo integral'!V5&lt;&gt;0,'7 Cultura desarrollo integral'!V5,"-")</f>
        <v>-</v>
      </c>
      <c r="H82" s="58" t="str">
        <f>IF('7 Cultura desarrollo integral'!W5&lt;&gt;0,'7 Cultura desarrollo integral'!W5,"-")</f>
        <v xml:space="preserve">Anual </v>
      </c>
      <c r="I82" s="58" t="str">
        <f>IF('7 Cultura desarrollo integral'!X5&lt;&gt;0,'7 Cultura desarrollo integral'!X5,"-")</f>
        <v>-</v>
      </c>
      <c r="J82" s="33"/>
    </row>
    <row r="83" spans="1:10" ht="16.5" thickBot="1">
      <c r="A83" s="58">
        <v>4</v>
      </c>
      <c r="B83" s="74" t="str">
        <f>IF('7 Cultura desarrollo integral'!I6&lt;&gt;0,'7 Cultura desarrollo integral'!I6,"-")</f>
        <v>-</v>
      </c>
      <c r="C83" s="58" t="str">
        <f>IF('7 Cultura desarrollo integral'!R6&lt;&gt;0,'7 Cultura desarrollo integral'!R6,"-")</f>
        <v>-</v>
      </c>
      <c r="D83" s="58" t="str">
        <f>IF('7 Cultura desarrollo integral'!S6&lt;&gt;0,'7 Cultura desarrollo integral'!S6,"-")</f>
        <v>-</v>
      </c>
      <c r="E83" s="58" t="str">
        <f>IF('7 Cultura desarrollo integral'!T6&lt;&gt;0,'7 Cultura desarrollo integral'!T6,"-")</f>
        <v>-</v>
      </c>
      <c r="F83" s="58" t="str">
        <f>IF('7 Cultura desarrollo integral'!U6&lt;&gt;0,'7 Cultura desarrollo integral'!U6,"-")</f>
        <v>-</v>
      </c>
      <c r="G83" s="58" t="str">
        <f>IF('7 Cultura desarrollo integral'!V6&lt;&gt;0,'7 Cultura desarrollo integral'!V6,"-")</f>
        <v>-</v>
      </c>
      <c r="H83" s="58" t="str">
        <f>IF('7 Cultura desarrollo integral'!W6&lt;&gt;0,'7 Cultura desarrollo integral'!W6,"-")</f>
        <v xml:space="preserve">Anual </v>
      </c>
      <c r="I83" s="58" t="str">
        <f>IF('7 Cultura desarrollo integral'!X6&lt;&gt;0,'7 Cultura desarrollo integral'!X6,"-")</f>
        <v>-</v>
      </c>
      <c r="J83" s="33"/>
    </row>
    <row r="84" spans="1:10" ht="16.5" thickBot="1">
      <c r="A84" s="58">
        <v>5</v>
      </c>
      <c r="B84" s="74" t="str">
        <f>IF('7 Cultura desarrollo integral'!I7&lt;&gt;0,'7 Cultura desarrollo integral'!I7,"-")</f>
        <v>-</v>
      </c>
      <c r="C84" s="58" t="str">
        <f>IF('7 Cultura desarrollo integral'!R7&lt;&gt;0,'7 Cultura desarrollo integral'!R7,"-")</f>
        <v>-</v>
      </c>
      <c r="D84" s="58" t="str">
        <f>IF('7 Cultura desarrollo integral'!S7&lt;&gt;0,'7 Cultura desarrollo integral'!S7,"-")</f>
        <v>-</v>
      </c>
      <c r="E84" s="58" t="str">
        <f>IF('7 Cultura desarrollo integral'!T7&lt;&gt;0,'7 Cultura desarrollo integral'!T7,"-")</f>
        <v>-</v>
      </c>
      <c r="F84" s="58" t="str">
        <f>IF('7 Cultura desarrollo integral'!U7&lt;&gt;0,'7 Cultura desarrollo integral'!U7,"-")</f>
        <v>-</v>
      </c>
      <c r="G84" s="58" t="str">
        <f>IF('7 Cultura desarrollo integral'!V7&lt;&gt;0,'7 Cultura desarrollo integral'!V7,"-")</f>
        <v>-</v>
      </c>
      <c r="H84" s="58" t="str">
        <f>IF('7 Cultura desarrollo integral'!W7&lt;&gt;0,'7 Cultura desarrollo integral'!W7,"-")</f>
        <v xml:space="preserve">Anual </v>
      </c>
      <c r="I84" s="58" t="str">
        <f>IF('7 Cultura desarrollo integral'!X7&lt;&gt;0,'7 Cultura desarrollo integral'!X7,"-")</f>
        <v>-</v>
      </c>
      <c r="J84" s="33"/>
    </row>
    <row r="85" spans="1:10" ht="16.5" thickBot="1">
      <c r="A85" s="58">
        <v>6</v>
      </c>
      <c r="B85" s="74" t="str">
        <f>IF('7 Cultura desarrollo integral'!I8&lt;&gt;0,'7 Cultura desarrollo integral'!I8,"-")</f>
        <v>-</v>
      </c>
      <c r="C85" s="58" t="str">
        <f>IF('7 Cultura desarrollo integral'!R8&lt;&gt;0,'7 Cultura desarrollo integral'!R8,"-")</f>
        <v>-</v>
      </c>
      <c r="D85" s="58" t="str">
        <f>IF('7 Cultura desarrollo integral'!S8&lt;&gt;0,'7 Cultura desarrollo integral'!S8,"-")</f>
        <v>-</v>
      </c>
      <c r="E85" s="58" t="str">
        <f>IF('7 Cultura desarrollo integral'!T8&lt;&gt;0,'7 Cultura desarrollo integral'!T8,"-")</f>
        <v>-</v>
      </c>
      <c r="F85" s="58" t="str">
        <f>IF('7 Cultura desarrollo integral'!U8&lt;&gt;0,'7 Cultura desarrollo integral'!U8,"-")</f>
        <v>-</v>
      </c>
      <c r="G85" s="58" t="str">
        <f>IF('7 Cultura desarrollo integral'!V8&lt;&gt;0,'7 Cultura desarrollo integral'!V8,"-")</f>
        <v>-</v>
      </c>
      <c r="H85" s="58" t="str">
        <f>IF('7 Cultura desarrollo integral'!W8&lt;&gt;0,'7 Cultura desarrollo integral'!W8,"-")</f>
        <v xml:space="preserve">Anual </v>
      </c>
      <c r="I85" s="58" t="str">
        <f>IF('7 Cultura desarrollo integral'!X8&lt;&gt;0,'7 Cultura desarrollo integral'!X8,"-")</f>
        <v>-</v>
      </c>
      <c r="J85" s="33"/>
    </row>
    <row r="86" spans="1:10">
      <c r="A86" s="63"/>
      <c r="B86" s="72"/>
      <c r="C86" s="73"/>
      <c r="D86" s="73"/>
      <c r="E86" s="73"/>
      <c r="F86" s="73"/>
      <c r="G86" s="73"/>
      <c r="H86" s="73"/>
      <c r="I86" s="73"/>
      <c r="J86" s="73"/>
    </row>
    <row r="87" spans="1:10">
      <c r="A87" s="63"/>
      <c r="B87" s="72"/>
      <c r="C87" s="73"/>
      <c r="D87" s="73"/>
      <c r="E87" s="73"/>
      <c r="F87" s="73"/>
      <c r="G87" s="73"/>
      <c r="H87" s="73"/>
      <c r="I87" s="73"/>
      <c r="J87" s="73"/>
    </row>
    <row r="88" spans="1:10" ht="16.5">
      <c r="A88" s="133" t="s">
        <v>615</v>
      </c>
      <c r="B88" s="133"/>
      <c r="C88" s="133"/>
      <c r="D88" s="133"/>
      <c r="E88" s="133"/>
      <c r="F88" s="133"/>
      <c r="G88" s="133"/>
      <c r="H88" s="133"/>
      <c r="I88" s="133"/>
      <c r="J88" s="133"/>
    </row>
    <row r="89" spans="1:10">
      <c r="A89" s="134" t="s">
        <v>23</v>
      </c>
      <c r="B89" s="131" t="s">
        <v>24</v>
      </c>
      <c r="C89" s="131" t="s">
        <v>629</v>
      </c>
      <c r="D89" s="131">
        <v>2027</v>
      </c>
      <c r="E89" s="131">
        <v>2028</v>
      </c>
      <c r="F89" s="131">
        <v>2029</v>
      </c>
      <c r="G89" s="54" t="str">
        <f>TEXT($J$1,"mmmm")</f>
        <v>agosto</v>
      </c>
      <c r="H89" s="131" t="s">
        <v>25</v>
      </c>
      <c r="I89" s="131" t="s">
        <v>7</v>
      </c>
      <c r="J89" s="33"/>
    </row>
    <row r="90" spans="1:10" ht="16.5" thickBot="1">
      <c r="A90" s="135"/>
      <c r="B90" s="132"/>
      <c r="C90" s="132"/>
      <c r="D90" s="132"/>
      <c r="E90" s="132"/>
      <c r="F90" s="132"/>
      <c r="G90" s="55">
        <v>2030</v>
      </c>
      <c r="H90" s="132"/>
      <c r="I90" s="132"/>
      <c r="J90" s="33"/>
    </row>
    <row r="91" spans="1:10" ht="16.5" thickBot="1">
      <c r="A91" s="58">
        <v>1</v>
      </c>
      <c r="B91" s="70" t="str">
        <f>IF('8 Deporte universitario'!I3&lt;&gt;0,'8 Deporte universitario'!I3,"-")</f>
        <v>-</v>
      </c>
      <c r="C91" s="58" t="str">
        <f>IF('8 Deporte universitario'!R3&lt;&gt;0,'8 Deporte universitario'!R3,"-")</f>
        <v>-</v>
      </c>
      <c r="D91" s="58" t="str">
        <f>IF('8 Deporte universitario'!S3&lt;&gt;0,'8 Deporte universitario'!S3,"-")</f>
        <v>-</v>
      </c>
      <c r="E91" s="58" t="str">
        <f>IF('8 Deporte universitario'!T3&lt;&gt;0,'8 Deporte universitario'!T3,"-")</f>
        <v>-</v>
      </c>
      <c r="F91" s="58" t="str">
        <f>IF('8 Deporte universitario'!U3&lt;&gt;0,'8 Deporte universitario'!U3,"-")</f>
        <v>-</v>
      </c>
      <c r="G91" s="58" t="str">
        <f>IF('8 Deporte universitario'!V3&lt;&gt;0,'8 Deporte universitario'!V3,"-")</f>
        <v>-</v>
      </c>
      <c r="H91" s="58" t="str">
        <f>IF('8 Deporte universitario'!W3&lt;&gt;0,'8 Deporte universitario'!W3,"-")</f>
        <v>Anual</v>
      </c>
      <c r="I91" s="58" t="str">
        <f>IF('8 Deporte universitario'!X3&lt;&gt;0,'8 Deporte universitario'!X3,"-")</f>
        <v>-</v>
      </c>
      <c r="J91" s="33"/>
    </row>
    <row r="92" spans="1:10" ht="16.5" thickBot="1">
      <c r="A92" s="58">
        <v>2</v>
      </c>
      <c r="B92" s="70" t="str">
        <f>IF('Indicadores x proyec'!B52&lt;&gt;0,'Indicadores x proyec'!B52,"-")</f>
        <v>-</v>
      </c>
      <c r="C92" s="113" t="str">
        <f>IF('Indicadores x proyec'!D52/100&lt;&gt;0,'Indicadores x proyec'!D52/100,"-")</f>
        <v>-</v>
      </c>
      <c r="D92" s="113" t="str">
        <f>IF('Indicadores x proyec'!E52/100&lt;&gt;0,'Indicadores x proyec'!E52/100,"-")</f>
        <v>-</v>
      </c>
      <c r="E92" s="113" t="str">
        <f>IF('Indicadores x proyec'!F52/100&lt;&gt;0,'Indicadores x proyec'!F52/100,"-")</f>
        <v>-</v>
      </c>
      <c r="F92" s="113" t="str">
        <f>IF('Indicadores x proyec'!G52/100&lt;&gt;0,'Indicadores x proyec'!G52/100,"-")</f>
        <v>-</v>
      </c>
      <c r="G92" s="113" t="str">
        <f>IF('Indicadores x proyec'!H52/100&lt;&gt;0,'Indicadores x proyec'!H52/100,"-")</f>
        <v>-</v>
      </c>
      <c r="H92" s="58" t="str">
        <f>IF('Indicadores x proyec'!I52&lt;&gt;0,'Indicadores x proyec'!I52,"-")</f>
        <v>Anual</v>
      </c>
      <c r="I92" s="58" t="str">
        <f>IF('Indicadores x proyec'!J52&lt;&gt;0,'Indicadores x proyec'!J52,"-")</f>
        <v>-</v>
      </c>
      <c r="J92" s="33"/>
    </row>
    <row r="93" spans="1:10" ht="16.5" thickBot="1">
      <c r="A93" s="58">
        <v>3</v>
      </c>
      <c r="B93" s="70" t="str">
        <f>IF('Indicadores x proyec'!B54&lt;&gt;0,'Indicadores x proyec'!B54,"-")</f>
        <v>-</v>
      </c>
      <c r="C93" s="114" t="str">
        <f>IF('Indicadores x proyec'!D54/100&lt;&gt;0,'Indicadores x proyec'!D54/100,"-")</f>
        <v>-</v>
      </c>
      <c r="D93" s="114" t="str">
        <f>IF('Indicadores x proyec'!E54/100&lt;&gt;0,'Indicadores x proyec'!E54/100,"-")</f>
        <v>-</v>
      </c>
      <c r="E93" s="114" t="str">
        <f>IF('Indicadores x proyec'!F54/100&lt;&gt;0,'Indicadores x proyec'!F54/100,"-")</f>
        <v>-</v>
      </c>
      <c r="F93" s="114" t="str">
        <f>IF('Indicadores x proyec'!G54/100&lt;&gt;0,'Indicadores x proyec'!G54/100,"-")</f>
        <v>-</v>
      </c>
      <c r="G93" s="114" t="str">
        <f>IF('Indicadores x proyec'!H54/100&lt;&gt;0,'Indicadores x proyec'!H54/100,"-")</f>
        <v>-</v>
      </c>
      <c r="H93" s="58" t="str">
        <f>IF('Indicadores x proyec'!I54&lt;&gt;0,'Indicadores x proyec'!I54,"-")</f>
        <v>Anual</v>
      </c>
      <c r="I93" s="58" t="str">
        <f>IF('Indicadores x proyec'!J54&lt;&gt;0,'Indicadores x proyec'!J54,"-")</f>
        <v>-</v>
      </c>
      <c r="J93" s="33"/>
    </row>
    <row r="94" spans="1:10" ht="16.5" thickBot="1">
      <c r="A94" s="58">
        <v>4</v>
      </c>
      <c r="B94" s="70" t="str">
        <f>IF('Indicadores x proyec'!B56&lt;&gt;0,'Indicadores x proyec'!B56,"-")</f>
        <v>-</v>
      </c>
      <c r="C94" s="60" t="str">
        <f>IF('Indicadores x proyec'!D56/100&lt;&gt;0,'Indicadores x proyec'!D56/100,"-")</f>
        <v>-</v>
      </c>
      <c r="D94" s="60" t="str">
        <f>IF('Indicadores x proyec'!E56/100&lt;&gt;0,'Indicadores x proyec'!E56/100,"-")</f>
        <v>-</v>
      </c>
      <c r="E94" s="60" t="str">
        <f>IF('Indicadores x proyec'!F56/100&lt;&gt;0,'Indicadores x proyec'!F56/100,"-")</f>
        <v>-</v>
      </c>
      <c r="F94" s="60" t="str">
        <f>IF('Indicadores x proyec'!G56/100&lt;&gt;0,'Indicadores x proyec'!G56/100,"-")</f>
        <v>-</v>
      </c>
      <c r="G94" s="60" t="str">
        <f>IF('Indicadores x proyec'!H56/100&lt;&gt;0,'Indicadores x proyec'!H56/100,"-")</f>
        <v>-</v>
      </c>
      <c r="H94" s="58" t="str">
        <f>IF('Indicadores x proyec'!I56&lt;&gt;0,'Indicadores x proyec'!I56,"-")</f>
        <v>Anual</v>
      </c>
      <c r="I94" s="58" t="str">
        <f>IF('Indicadores x proyec'!J56&lt;&gt;0,'Indicadores x proyec'!J56,"-")</f>
        <v>-</v>
      </c>
      <c r="J94" s="33"/>
    </row>
    <row r="95" spans="1:10" ht="16.5" thickBot="1">
      <c r="A95" s="58">
        <v>5</v>
      </c>
      <c r="B95" s="70" t="str">
        <f>IF('8 Deporte universitario'!I10&lt;&gt;0,'8 Deporte universitario'!I10,"-")</f>
        <v>-</v>
      </c>
      <c r="C95" s="58" t="str">
        <f>IF('8 Deporte universitario'!R10&lt;&gt;0,'8 Deporte universitario'!R10,"-")</f>
        <v>-</v>
      </c>
      <c r="D95" s="58" t="str">
        <f>IF('8 Deporte universitario'!S10&lt;&gt;0,'8 Deporte universitario'!S10,"-")</f>
        <v>-</v>
      </c>
      <c r="E95" s="58" t="str">
        <f>IF('8 Deporte universitario'!T10&lt;&gt;0,'8 Deporte universitario'!T10,"-")</f>
        <v>-</v>
      </c>
      <c r="F95" s="58" t="str">
        <f>IF('8 Deporte universitario'!U10&lt;&gt;0,'8 Deporte universitario'!U10,"-")</f>
        <v>-</v>
      </c>
      <c r="G95" s="58" t="str">
        <f>IF('8 Deporte universitario'!V10&lt;&gt;0,'8 Deporte universitario'!V10,"-")</f>
        <v>-</v>
      </c>
      <c r="H95" s="58" t="str">
        <f>IF('8 Deporte universitario'!W10&lt;&gt;0,'8 Deporte universitario'!W10,"-")</f>
        <v>Anual</v>
      </c>
      <c r="I95" s="58" t="str">
        <f>IF('8 Deporte universitario'!X10&lt;&gt;0,'8 Deporte universitario'!X10,"-")</f>
        <v>-</v>
      </c>
      <c r="J95" s="33"/>
    </row>
    <row r="96" spans="1:10">
      <c r="A96" s="75"/>
      <c r="B96" s="76"/>
      <c r="C96" s="77"/>
      <c r="D96" s="77"/>
      <c r="E96" s="77"/>
      <c r="F96" s="77"/>
      <c r="G96" s="77"/>
      <c r="H96" s="77"/>
      <c r="I96" s="77"/>
      <c r="J96" s="73"/>
    </row>
    <row r="97" spans="1:12">
      <c r="A97" s="78"/>
      <c r="B97" s="72"/>
      <c r="C97" s="73"/>
      <c r="D97" s="73"/>
      <c r="E97" s="73"/>
      <c r="F97" s="73"/>
      <c r="G97" s="73"/>
      <c r="H97" s="73"/>
      <c r="I97" s="73"/>
      <c r="J97" s="73"/>
    </row>
    <row r="98" spans="1:12" ht="19.5">
      <c r="A98" s="53" t="s">
        <v>448</v>
      </c>
      <c r="B98" s="68"/>
      <c r="C98" s="69"/>
      <c r="D98" s="69"/>
      <c r="E98" s="69"/>
      <c r="F98" s="69"/>
      <c r="G98" s="69"/>
      <c r="H98" s="69"/>
      <c r="I98" s="69"/>
      <c r="J98" s="69"/>
    </row>
    <row r="99" spans="1:12" ht="16.5">
      <c r="A99" s="133" t="s">
        <v>616</v>
      </c>
      <c r="B99" s="133"/>
      <c r="C99" s="133"/>
      <c r="D99" s="133"/>
      <c r="E99" s="133"/>
      <c r="F99" s="133"/>
      <c r="G99" s="133"/>
      <c r="H99" s="133"/>
      <c r="I99" s="133"/>
      <c r="J99" s="133"/>
    </row>
    <row r="100" spans="1:12">
      <c r="A100" s="134" t="s">
        <v>23</v>
      </c>
      <c r="B100" s="131" t="s">
        <v>24</v>
      </c>
      <c r="C100" s="131" t="s">
        <v>629</v>
      </c>
      <c r="D100" s="131">
        <v>2027</v>
      </c>
      <c r="E100" s="131">
        <v>2028</v>
      </c>
      <c r="F100" s="131">
        <v>2029</v>
      </c>
      <c r="G100" s="54" t="str">
        <f>TEXT($J$1,"mmmm")</f>
        <v>agosto</v>
      </c>
      <c r="H100" s="131" t="s">
        <v>25</v>
      </c>
      <c r="I100" s="131" t="s">
        <v>7</v>
      </c>
      <c r="J100" s="33"/>
    </row>
    <row r="101" spans="1:12" ht="16.5" thickBot="1">
      <c r="A101" s="135"/>
      <c r="B101" s="132"/>
      <c r="C101" s="132"/>
      <c r="D101" s="132"/>
      <c r="E101" s="132"/>
      <c r="F101" s="132"/>
      <c r="G101" s="55">
        <v>2030</v>
      </c>
      <c r="H101" s="132"/>
      <c r="I101" s="132"/>
      <c r="J101" s="33"/>
    </row>
    <row r="102" spans="1:12" ht="16.5" thickBot="1">
      <c r="A102" s="58">
        <v>1</v>
      </c>
      <c r="B102" s="70" t="str">
        <f>IF('Indicadores x proyec'!B62&lt;&gt;0,'Indicadores x proyec'!B62,"-")</f>
        <v>-</v>
      </c>
      <c r="C102" s="60" t="str">
        <f>IF('Indicadores x proyec'!D62/100&lt;&gt;0,'Indicadores x proyec'!D62/100,"-")</f>
        <v>-</v>
      </c>
      <c r="D102" s="60" t="str">
        <f>IF('Indicadores x proyec'!E62/100&lt;&gt;0,'Indicadores x proyec'!E62/100,"-")</f>
        <v>-</v>
      </c>
      <c r="E102" s="60" t="str">
        <f>IF('Indicadores x proyec'!F62/100&lt;&gt;0,'Indicadores x proyec'!F62/100,"-")</f>
        <v>-</v>
      </c>
      <c r="F102" s="60" t="str">
        <f>IF('Indicadores x proyec'!G62/100&lt;&gt;0,'Indicadores x proyec'!G62/100,"-")</f>
        <v>-</v>
      </c>
      <c r="G102" s="60" t="str">
        <f>IF('Indicadores x proyec'!H62/100&lt;&gt;0,'Indicadores x proyec'!H62/100,"-")</f>
        <v>-</v>
      </c>
      <c r="H102" s="58" t="str">
        <f>IF('Indicadores x proyec'!I62&lt;&gt;0,'Indicadores x proyec'!I62,"-")</f>
        <v>Anual</v>
      </c>
      <c r="I102" s="58" t="str">
        <f>IF('Indicadores x proyec'!J62&lt;&gt;0,'Indicadores x proyec'!J62,"-")</f>
        <v>-</v>
      </c>
      <c r="J102" s="33"/>
    </row>
    <row r="103" spans="1:12" ht="16.5" thickBot="1">
      <c r="A103" s="58">
        <v>2</v>
      </c>
      <c r="B103" s="70" t="str">
        <f>IF('Indicadores x proyec'!B64&lt;&gt;0,'Indicadores x proyec'!B64,"-")</f>
        <v>-</v>
      </c>
      <c r="C103" s="60" t="str">
        <f>IF('Indicadores x proyec'!D64/100&lt;&gt;0,'Indicadores x proyec'!D64/100,"-")</f>
        <v>-</v>
      </c>
      <c r="D103" s="60" t="str">
        <f>IF('Indicadores x proyec'!E64/100&lt;&gt;0,'Indicadores x proyec'!E64/100,"-")</f>
        <v>-</v>
      </c>
      <c r="E103" s="60" t="str">
        <f>IF('Indicadores x proyec'!F64/100&lt;&gt;0,'Indicadores x proyec'!F64/100,"-")</f>
        <v>-</v>
      </c>
      <c r="F103" s="60" t="str">
        <f>IF('Indicadores x proyec'!G64/100&lt;&gt;0,'Indicadores x proyec'!G64/100,"-")</f>
        <v>-</v>
      </c>
      <c r="G103" s="60" t="str">
        <f>IF('Indicadores x proyec'!H64/100&lt;&gt;0,'Indicadores x proyec'!H64/100,"-")</f>
        <v>-</v>
      </c>
      <c r="H103" s="58" t="str">
        <f>IF('Indicadores x proyec'!I64&lt;&gt;0,'Indicadores x proyec'!I64,"-")</f>
        <v>Anual</v>
      </c>
      <c r="I103" s="58" t="str">
        <f>IF('Indicadores x proyec'!J64&lt;&gt;0,'Indicadores x proyec'!J64,"-")</f>
        <v>-</v>
      </c>
      <c r="J103" s="33"/>
    </row>
    <row r="104" spans="1:12" ht="16.5" thickBot="1">
      <c r="A104" s="58">
        <v>3</v>
      </c>
      <c r="B104" s="70" t="str">
        <f>IF('Indicadores x proyec'!B66&lt;&gt;0,'Indicadores x proyec'!B66,"-")</f>
        <v>-</v>
      </c>
      <c r="C104" s="60" t="str">
        <f>IF('Indicadores x proyec'!D66/100&lt;&gt;0,'Indicadores x proyec'!D66/100,"-")</f>
        <v>-</v>
      </c>
      <c r="D104" s="60" t="str">
        <f>IF('Indicadores x proyec'!E66/100&lt;&gt;0,'Indicadores x proyec'!E66/100,"-")</f>
        <v>-</v>
      </c>
      <c r="E104" s="60" t="str">
        <f>IF('Indicadores x proyec'!F66/100&lt;&gt;0,'Indicadores x proyec'!F66/100,"-")</f>
        <v>-</v>
      </c>
      <c r="F104" s="60" t="str">
        <f>IF('Indicadores x proyec'!G66/100&lt;&gt;0,'Indicadores x proyec'!G66/100,"-")</f>
        <v>-</v>
      </c>
      <c r="G104" s="60" t="str">
        <f>IF('Indicadores x proyec'!H66/100&lt;&gt;0,'Indicadores x proyec'!H66/100,"-")</f>
        <v>-</v>
      </c>
      <c r="H104" s="58" t="str">
        <f>IF('Indicadores x proyec'!I66&lt;&gt;0,'Indicadores x proyec'!I66,"-")</f>
        <v>Anual</v>
      </c>
      <c r="I104" s="58" t="str">
        <f>IF('Indicadores x proyec'!J66&lt;&gt;0,'Indicadores x proyec'!J66,"-")</f>
        <v>-</v>
      </c>
      <c r="J104" s="33"/>
      <c r="L104" s="40"/>
    </row>
    <row r="105" spans="1:12" ht="16.5" thickBot="1">
      <c r="A105" s="58">
        <v>4</v>
      </c>
      <c r="B105" s="70" t="str">
        <f>IF('Indicadores x proyec'!B68&lt;&gt;0,'Indicadores x proyec'!B68,"-")</f>
        <v>-</v>
      </c>
      <c r="C105" s="60" t="str">
        <f>IF('Indicadores x proyec'!D68/100&lt;&gt;0,'Indicadores x proyec'!D68/100,"-")</f>
        <v>-</v>
      </c>
      <c r="D105" s="60" t="str">
        <f>IF('Indicadores x proyec'!E68/100&lt;&gt;0,'Indicadores x proyec'!E68/100,"-")</f>
        <v>-</v>
      </c>
      <c r="E105" s="60" t="str">
        <f>IF('Indicadores x proyec'!F68/100&lt;&gt;0,'Indicadores x proyec'!F68/100,"-")</f>
        <v>-</v>
      </c>
      <c r="F105" s="60" t="str">
        <f>IF('Indicadores x proyec'!G68/100&lt;&gt;0,'Indicadores x proyec'!G68/100,"-")</f>
        <v>-</v>
      </c>
      <c r="G105" s="60" t="str">
        <f>IF('Indicadores x proyec'!H68/100&lt;&gt;0,'Indicadores x proyec'!H68/100,"-")</f>
        <v>-</v>
      </c>
      <c r="H105" s="58" t="str">
        <f>IF('Indicadores x proyec'!I68&lt;&gt;0,'Indicadores x proyec'!I68,"-")</f>
        <v>Anual</v>
      </c>
      <c r="I105" s="58" t="str">
        <f>IF('Indicadores x proyec'!J68&lt;&gt;0,'Indicadores x proyec'!J68,"-")</f>
        <v>-</v>
      </c>
      <c r="J105" s="33"/>
    </row>
    <row r="106" spans="1:12" ht="16.5" thickBot="1">
      <c r="A106" s="58">
        <v>5</v>
      </c>
      <c r="B106" s="70" t="str">
        <f>IF('Indicadores x proyec'!B70&lt;&gt;0,'Indicadores x proyec'!B70,"-")</f>
        <v>-</v>
      </c>
      <c r="C106" s="60" t="str">
        <f>IF('Indicadores x proyec'!D70/100&lt;&gt;0,'Indicadores x proyec'!D70/100,"-")</f>
        <v>-</v>
      </c>
      <c r="D106" s="60" t="str">
        <f>IF('Indicadores x proyec'!E70/100&lt;&gt;0,'Indicadores x proyec'!E70/100,"-")</f>
        <v>-</v>
      </c>
      <c r="E106" s="60" t="str">
        <f>IF('Indicadores x proyec'!F70/100&lt;&gt;0,'Indicadores x proyec'!F70/100,"-")</f>
        <v>-</v>
      </c>
      <c r="F106" s="60" t="str">
        <f>IF('Indicadores x proyec'!G70/100&lt;&gt;0,'Indicadores x proyec'!G70/100,"-")</f>
        <v>-</v>
      </c>
      <c r="G106" s="60" t="str">
        <f>IF('Indicadores x proyec'!H70/100&lt;&gt;0,'Indicadores x proyec'!H70/100,"-")</f>
        <v>-</v>
      </c>
      <c r="H106" s="58" t="str">
        <f>IF('Indicadores x proyec'!I70&lt;&gt;0,'Indicadores x proyec'!I70,"-")</f>
        <v>Anual</v>
      </c>
      <c r="I106" s="58" t="str">
        <f>IF('Indicadores x proyec'!J70&lt;&gt;0,'Indicadores x proyec'!J70,"-")</f>
        <v>-</v>
      </c>
      <c r="J106" s="33"/>
    </row>
    <row r="107" spans="1:12" ht="16.5" thickBot="1">
      <c r="A107" s="58">
        <v>6</v>
      </c>
      <c r="B107" s="70" t="str">
        <f>IF('9 Fortalecimiento docente'!I13&lt;&gt;0,'9 Fortalecimiento docente'!I13,"-")</f>
        <v>-</v>
      </c>
      <c r="C107" s="58" t="str">
        <f>IF('9 Fortalecimiento docente'!R13&lt;&gt;0,'9 Fortalecimiento docente'!R13,"-")</f>
        <v>-</v>
      </c>
      <c r="D107" s="58" t="str">
        <f>IF('9 Fortalecimiento docente'!S13&lt;&gt;0,'9 Fortalecimiento docente'!S13,"-")</f>
        <v>-</v>
      </c>
      <c r="E107" s="58" t="str">
        <f>IF('9 Fortalecimiento docente'!T13&lt;&gt;0,'9 Fortalecimiento docente'!T13,"-")</f>
        <v>-</v>
      </c>
      <c r="F107" s="58" t="str">
        <f>IF('9 Fortalecimiento docente'!U13&lt;&gt;0,'9 Fortalecimiento docente'!U13,"-")</f>
        <v>-</v>
      </c>
      <c r="G107" s="58" t="str">
        <f>IF('9 Fortalecimiento docente'!V13&lt;&gt;0,'9 Fortalecimiento docente'!V13,"-")</f>
        <v>-</v>
      </c>
      <c r="H107" s="58" t="str">
        <f>IF('9 Fortalecimiento docente'!W13&lt;&gt;0,'9 Fortalecimiento docente'!W13,"-")</f>
        <v>Anual</v>
      </c>
      <c r="I107" s="58" t="str">
        <f>IF('9 Fortalecimiento docente'!X13&lt;&gt;0,'9 Fortalecimiento docente'!X13,"-")</f>
        <v>-</v>
      </c>
      <c r="J107" s="33"/>
    </row>
    <row r="108" spans="1:12" ht="16.5" thickBot="1">
      <c r="A108" s="58">
        <v>7</v>
      </c>
      <c r="B108" s="70" t="str">
        <f>IF('9 Fortalecimiento docente'!I14&lt;&gt;0,'9 Fortalecimiento docente'!I14,"-")</f>
        <v>-</v>
      </c>
      <c r="C108" s="58" t="str">
        <f>IF('9 Fortalecimiento docente'!R14&lt;&gt;0,'9 Fortalecimiento docente'!R14,"-")</f>
        <v>-</v>
      </c>
      <c r="D108" s="58" t="str">
        <f>IF('9 Fortalecimiento docente'!S14&lt;&gt;0,'9 Fortalecimiento docente'!S14,"-")</f>
        <v>-</v>
      </c>
      <c r="E108" s="58" t="str">
        <f>IF('9 Fortalecimiento docente'!T14&lt;&gt;0,'9 Fortalecimiento docente'!T14,"-")</f>
        <v>-</v>
      </c>
      <c r="F108" s="58" t="str">
        <f>IF('9 Fortalecimiento docente'!U14&lt;&gt;0,'9 Fortalecimiento docente'!U14,"-")</f>
        <v>-</v>
      </c>
      <c r="G108" s="58" t="str">
        <f>IF('9 Fortalecimiento docente'!V14&lt;&gt;0,'9 Fortalecimiento docente'!V14,"-")</f>
        <v>-</v>
      </c>
      <c r="H108" s="58" t="str">
        <f>IF('9 Fortalecimiento docente'!W14&lt;&gt;0,'9 Fortalecimiento docente'!W14,"-")</f>
        <v>Acumulada</v>
      </c>
      <c r="I108" s="58" t="str">
        <f>IF('9 Fortalecimiento docente'!X14&lt;&gt;0,'9 Fortalecimiento docente'!X14,"-")</f>
        <v>-</v>
      </c>
      <c r="J108" s="33"/>
    </row>
    <row r="109" spans="1:12" ht="16.5" thickBot="1">
      <c r="A109" s="58">
        <v>8</v>
      </c>
      <c r="B109" s="70" t="str">
        <f>IF('Indicadores x proyec'!B72&lt;&gt;0,'Indicadores x proyec'!B72,"-")</f>
        <v>-</v>
      </c>
      <c r="C109" s="60" t="str">
        <f>IF('Indicadores x proyec'!D72/100&lt;&gt;0,'Indicadores x proyec'!D72/100,"-")</f>
        <v>-</v>
      </c>
      <c r="D109" s="60" t="str">
        <f>IF('Indicadores x proyec'!E72/100&lt;&gt;0,'Indicadores x proyec'!E72/100,"-")</f>
        <v>-</v>
      </c>
      <c r="E109" s="60" t="str">
        <f>IF('Indicadores x proyec'!F72/100&lt;&gt;0,'Indicadores x proyec'!F72/100,"-")</f>
        <v>-</v>
      </c>
      <c r="F109" s="60" t="str">
        <f>IF('Indicadores x proyec'!G72/100&lt;&gt;0,'Indicadores x proyec'!G72/100,"-")</f>
        <v>-</v>
      </c>
      <c r="G109" s="60" t="str">
        <f>IF('Indicadores x proyec'!H72/100&lt;&gt;0,'Indicadores x proyec'!H72/100,"-")</f>
        <v>-</v>
      </c>
      <c r="H109" s="58" t="str">
        <f>IF('Indicadores x proyec'!I72&lt;&gt;0,'Indicadores x proyec'!I72,"-")</f>
        <v>Acumulada</v>
      </c>
      <c r="I109" s="58" t="str">
        <f>IF('Indicadores x proyec'!J72&lt;&gt;0,'Indicadores x proyec'!J72,"-")</f>
        <v>-</v>
      </c>
      <c r="J109" s="33"/>
    </row>
    <row r="110" spans="1:12" ht="16.5" thickBot="1">
      <c r="A110" s="58">
        <v>9</v>
      </c>
      <c r="B110" s="70" t="str">
        <f>IF('9 Fortalecimiento docente'!I17&lt;&gt;0,'9 Fortalecimiento docente'!I17,"-")</f>
        <v>-</v>
      </c>
      <c r="C110" s="58" t="str">
        <f>IF('9 Fortalecimiento docente'!R17&lt;&gt;0,'9 Fortalecimiento docente'!R17,"-")</f>
        <v>-</v>
      </c>
      <c r="D110" s="58" t="str">
        <f>IF('9 Fortalecimiento docente'!S17&lt;&gt;0,'9 Fortalecimiento docente'!S17,"-")</f>
        <v>-</v>
      </c>
      <c r="E110" s="58" t="str">
        <f>IF('9 Fortalecimiento docente'!T17&lt;&gt;0,'9 Fortalecimiento docente'!T17,"-")</f>
        <v>-</v>
      </c>
      <c r="F110" s="58" t="str">
        <f>IF('9 Fortalecimiento docente'!U17&lt;&gt;0,'9 Fortalecimiento docente'!U17,"-")</f>
        <v>-</v>
      </c>
      <c r="G110" s="58" t="str">
        <f>IF('9 Fortalecimiento docente'!V17&lt;&gt;0,'9 Fortalecimiento docente'!V17,"-")</f>
        <v>-</v>
      </c>
      <c r="H110" s="58" t="str">
        <f>IF('9 Fortalecimiento docente'!W17&lt;&gt;0,'9 Fortalecimiento docente'!W17,"-")</f>
        <v>Anual</v>
      </c>
      <c r="I110" s="58" t="str">
        <f>IF('9 Fortalecimiento docente'!X17&lt;&gt;0,'9 Fortalecimiento docente'!X17,"-")</f>
        <v>-</v>
      </c>
      <c r="J110" s="33"/>
    </row>
    <row r="111" spans="1:12" ht="16.5" thickBot="1">
      <c r="A111" s="58">
        <v>10</v>
      </c>
      <c r="B111" s="70" t="str">
        <f>IF('9 Fortalecimiento docente'!I18&lt;&gt;0,'9 Fortalecimiento docente'!I18,"-")</f>
        <v>-</v>
      </c>
      <c r="C111" s="58" t="str">
        <f>IF('9 Fortalecimiento docente'!R18&lt;&gt;0,'9 Fortalecimiento docente'!R18,"-")</f>
        <v>-</v>
      </c>
      <c r="D111" s="58" t="str">
        <f>IF('9 Fortalecimiento docente'!S18&lt;&gt;0,'9 Fortalecimiento docente'!S18,"-")</f>
        <v>-</v>
      </c>
      <c r="E111" s="58" t="str">
        <f>IF('9 Fortalecimiento docente'!T18&lt;&gt;0,'9 Fortalecimiento docente'!T18,"-")</f>
        <v>-</v>
      </c>
      <c r="F111" s="58" t="str">
        <f>IF('9 Fortalecimiento docente'!U18&lt;&gt;0,'9 Fortalecimiento docente'!U18,"-")</f>
        <v>-</v>
      </c>
      <c r="G111" s="58" t="str">
        <f>IF('9 Fortalecimiento docente'!V18&lt;&gt;0,'9 Fortalecimiento docente'!V18,"-")</f>
        <v>-</v>
      </c>
      <c r="H111" s="58" t="str">
        <f>IF('9 Fortalecimiento docente'!W18&lt;&gt;0,'9 Fortalecimiento docente'!W18,"-")</f>
        <v>Anual</v>
      </c>
      <c r="I111" s="58" t="str">
        <f>IF('9 Fortalecimiento docente'!X18&lt;&gt;0,'9 Fortalecimiento docente'!X18,"-")</f>
        <v>-</v>
      </c>
      <c r="J111" s="33"/>
    </row>
    <row r="112" spans="1:12">
      <c r="A112" s="78"/>
      <c r="B112" s="72"/>
      <c r="C112" s="73"/>
      <c r="D112" s="73"/>
      <c r="E112" s="73"/>
      <c r="F112" s="73"/>
      <c r="G112" s="73"/>
      <c r="H112" s="73"/>
      <c r="I112" s="73"/>
      <c r="J112" s="73"/>
    </row>
    <row r="113" spans="1:10">
      <c r="A113" s="80"/>
      <c r="B113" s="68"/>
      <c r="C113" s="69"/>
      <c r="D113" s="69"/>
      <c r="E113" s="69"/>
      <c r="F113" s="69"/>
      <c r="G113" s="69"/>
      <c r="H113" s="69"/>
      <c r="I113" s="69"/>
      <c r="J113" s="69"/>
    </row>
    <row r="114" spans="1:10" ht="16.5">
      <c r="A114" s="133" t="s">
        <v>617</v>
      </c>
      <c r="B114" s="133"/>
      <c r="C114" s="133"/>
      <c r="D114" s="133"/>
      <c r="E114" s="133"/>
      <c r="F114" s="133"/>
      <c r="G114" s="133"/>
      <c r="H114" s="133"/>
      <c r="I114" s="133"/>
      <c r="J114" s="133"/>
    </row>
    <row r="115" spans="1:10">
      <c r="A115" s="134" t="s">
        <v>23</v>
      </c>
      <c r="B115" s="131" t="s">
        <v>24</v>
      </c>
      <c r="C115" s="131" t="s">
        <v>629</v>
      </c>
      <c r="D115" s="131">
        <v>2027</v>
      </c>
      <c r="E115" s="131">
        <v>2028</v>
      </c>
      <c r="F115" s="131">
        <v>2029</v>
      </c>
      <c r="G115" s="54" t="str">
        <f>TEXT($J$1,"mmmm")</f>
        <v>agosto</v>
      </c>
      <c r="H115" s="131" t="s">
        <v>25</v>
      </c>
      <c r="I115" s="131" t="s">
        <v>7</v>
      </c>
      <c r="J115" s="33"/>
    </row>
    <row r="116" spans="1:10" ht="16.5" thickBot="1">
      <c r="A116" s="135"/>
      <c r="B116" s="132"/>
      <c r="C116" s="132"/>
      <c r="D116" s="132"/>
      <c r="E116" s="132"/>
      <c r="F116" s="132"/>
      <c r="G116" s="55">
        <v>2029</v>
      </c>
      <c r="H116" s="132"/>
      <c r="I116" s="132"/>
      <c r="J116" s="33"/>
    </row>
    <row r="117" spans="1:10" ht="16.5" thickBot="1">
      <c r="A117" s="58">
        <v>1</v>
      </c>
      <c r="B117" s="70" t="str">
        <f>IF('Indicadores x proyec'!B78&lt;&gt;0,'Indicadores x proyec'!B78,"-")</f>
        <v>-</v>
      </c>
      <c r="C117" s="60" t="str">
        <f>IF('Indicadores x proyec'!D78/100&lt;&gt;0,'Indicadores x proyec'!D78/100,"-")</f>
        <v>-</v>
      </c>
      <c r="D117" s="60" t="str">
        <f>IF('Indicadores x proyec'!E78/100&lt;&gt;0,'Indicadores x proyec'!E78/100,"-")</f>
        <v>-</v>
      </c>
      <c r="E117" s="60" t="str">
        <f>IF('Indicadores x proyec'!F78/100&lt;&gt;0,'Indicadores x proyec'!F78/100,"-")</f>
        <v>-</v>
      </c>
      <c r="F117" s="60" t="str">
        <f>IF('Indicadores x proyec'!G78/100&lt;&gt;0,'Indicadores x proyec'!G78/100,"-")</f>
        <v>-</v>
      </c>
      <c r="G117" s="60" t="str">
        <f>IF('Indicadores x proyec'!H78/100&lt;&gt;0,'Indicadores x proyec'!H78/100,"-")</f>
        <v>-</v>
      </c>
      <c r="H117" s="79" t="str">
        <f>IF('Indicadores x proyec'!I78&lt;&gt;0,'Indicadores x proyec'!I78,"-")</f>
        <v>Anual</v>
      </c>
      <c r="I117" s="79" t="str">
        <f>IF('Indicadores x proyec'!J78&lt;&gt;0,'Indicadores x proyec'!J78,"-")</f>
        <v>-</v>
      </c>
      <c r="J117" s="33"/>
    </row>
    <row r="118" spans="1:10" ht="16.5" thickBot="1">
      <c r="A118" s="58">
        <v>2</v>
      </c>
      <c r="B118" s="70" t="str">
        <f>IF('Indicadores x proyec'!B80&lt;&gt;0,'Indicadores x proyec'!B80,"-")</f>
        <v>-</v>
      </c>
      <c r="C118" s="60" t="str">
        <f>IF('Indicadores x proyec'!D80/100&lt;&gt;0,'Indicadores x proyec'!D80/100,"-")</f>
        <v>-</v>
      </c>
      <c r="D118" s="60" t="str">
        <f>IF('Indicadores x proyec'!E80/100&lt;&gt;0,'Indicadores x proyec'!E80/100,"-")</f>
        <v>-</v>
      </c>
      <c r="E118" s="60" t="str">
        <f>IF('Indicadores x proyec'!F80/100&lt;&gt;0,'Indicadores x proyec'!F80/100,"-")</f>
        <v>-</v>
      </c>
      <c r="F118" s="60" t="str">
        <f>IF('Indicadores x proyec'!G80/100&lt;&gt;0,'Indicadores x proyec'!G80/100,"-")</f>
        <v>-</v>
      </c>
      <c r="G118" s="60" t="str">
        <f>IF('Indicadores x proyec'!H80/100&lt;&gt;0,'Indicadores x proyec'!H80/100,"-")</f>
        <v>-</v>
      </c>
      <c r="H118" s="79" t="str">
        <f>IF('Indicadores x proyec'!I80&lt;&gt;0,'Indicadores x proyec'!I80,"-")</f>
        <v>Anual</v>
      </c>
      <c r="I118" s="79" t="str">
        <f>IF('Indicadores x proyec'!J80&lt;&gt;0,'Indicadores x proyec'!J80,"-")</f>
        <v>-</v>
      </c>
      <c r="J118" s="33"/>
    </row>
    <row r="119" spans="1:10" ht="16.5" thickBot="1">
      <c r="A119" s="58">
        <v>3</v>
      </c>
      <c r="B119" s="70" t="str">
        <f>IF('Indicadores x proyec'!B82&lt;&gt;0,'Indicadores x proyec'!B82,"-")</f>
        <v>-</v>
      </c>
      <c r="C119" s="60" t="str">
        <f>IF('Indicadores x proyec'!D82/100&lt;&gt;0,'Indicadores x proyec'!D82/100,"-")</f>
        <v>-</v>
      </c>
      <c r="D119" s="60" t="str">
        <f>IF('Indicadores x proyec'!E82/100&lt;&gt;0,'Indicadores x proyec'!E82/100,"-")</f>
        <v>-</v>
      </c>
      <c r="E119" s="60" t="str">
        <f>IF('Indicadores x proyec'!F82/100&lt;&gt;0,'Indicadores x proyec'!F82/100,"-")</f>
        <v>-</v>
      </c>
      <c r="F119" s="60" t="str">
        <f>IF('Indicadores x proyec'!G82/100&lt;&gt;0,'Indicadores x proyec'!G82/100,"-")</f>
        <v>-</v>
      </c>
      <c r="G119" s="60" t="str">
        <f>IF('Indicadores x proyec'!H82/100&lt;&gt;0,'Indicadores x proyec'!H82/100,"-")</f>
        <v>-</v>
      </c>
      <c r="H119" s="79" t="str">
        <f>IF('Indicadores x proyec'!I82&lt;&gt;0,'Indicadores x proyec'!I82,"-")</f>
        <v>Anual</v>
      </c>
      <c r="I119" s="79" t="str">
        <f>IF('Indicadores x proyec'!J82&lt;&gt;0,'Indicadores x proyec'!J82,"-")</f>
        <v>-</v>
      </c>
      <c r="J119" s="33"/>
    </row>
    <row r="120" spans="1:10">
      <c r="A120" s="63"/>
      <c r="B120" s="72"/>
      <c r="C120" s="73"/>
      <c r="D120" s="73"/>
      <c r="E120" s="73"/>
      <c r="F120" s="73"/>
      <c r="G120" s="73"/>
      <c r="H120" s="73"/>
      <c r="I120" s="73"/>
      <c r="J120" s="73"/>
    </row>
    <row r="121" spans="1:10">
      <c r="A121" s="63"/>
      <c r="B121" s="72"/>
      <c r="C121" s="73"/>
      <c r="D121" s="73"/>
      <c r="E121" s="73"/>
      <c r="F121" s="73"/>
      <c r="G121" s="73"/>
      <c r="H121" s="73"/>
      <c r="I121" s="73"/>
      <c r="J121" s="73"/>
    </row>
    <row r="122" spans="1:10" ht="19.5">
      <c r="A122" s="53" t="s">
        <v>449</v>
      </c>
      <c r="B122" s="68"/>
      <c r="C122" s="69"/>
      <c r="D122" s="69"/>
      <c r="E122" s="69"/>
      <c r="F122" s="69"/>
      <c r="G122" s="69"/>
      <c r="H122" s="69"/>
      <c r="I122" s="69"/>
      <c r="J122" s="69"/>
    </row>
    <row r="123" spans="1:10" ht="16.5">
      <c r="A123" s="133" t="s">
        <v>618</v>
      </c>
      <c r="B123" s="133"/>
      <c r="C123" s="133"/>
      <c r="D123" s="133"/>
      <c r="E123" s="133"/>
      <c r="F123" s="133"/>
      <c r="G123" s="133"/>
      <c r="H123" s="133"/>
      <c r="I123" s="133"/>
      <c r="J123" s="133"/>
    </row>
    <row r="124" spans="1:10">
      <c r="A124" s="134" t="s">
        <v>23</v>
      </c>
      <c r="B124" s="131" t="s">
        <v>24</v>
      </c>
      <c r="C124" s="131" t="s">
        <v>629</v>
      </c>
      <c r="D124" s="131">
        <v>2027</v>
      </c>
      <c r="E124" s="131">
        <v>2028</v>
      </c>
      <c r="F124" s="131">
        <v>2029</v>
      </c>
      <c r="G124" s="54" t="str">
        <f>TEXT($J$1,"mmmm")</f>
        <v>agosto</v>
      </c>
      <c r="H124" s="131" t="s">
        <v>25</v>
      </c>
      <c r="I124" s="131" t="s">
        <v>7</v>
      </c>
      <c r="J124" s="33"/>
    </row>
    <row r="125" spans="1:10" ht="16.5" thickBot="1">
      <c r="A125" s="135"/>
      <c r="B125" s="132"/>
      <c r="C125" s="132"/>
      <c r="D125" s="132"/>
      <c r="E125" s="132"/>
      <c r="F125" s="132"/>
      <c r="G125" s="55">
        <v>2030</v>
      </c>
      <c r="H125" s="132"/>
      <c r="I125" s="132"/>
      <c r="J125" s="33"/>
    </row>
    <row r="126" spans="1:10" ht="16.5" thickBot="1">
      <c r="A126" s="58">
        <v>1</v>
      </c>
      <c r="B126" s="70" t="str">
        <f>IF('11 Gestión administrativa'!I3&lt;&gt;0,'11 Gestión administrativa'!I3,"-")</f>
        <v>-</v>
      </c>
      <c r="C126" s="58" t="str">
        <f>IF('11 Gestión administrativa'!R3&lt;&gt;0,'11 Gestión administrativa'!R3,"-")</f>
        <v>-</v>
      </c>
      <c r="D126" s="58" t="str">
        <f>IF('11 Gestión administrativa'!S3&lt;&gt;0,'11 Gestión administrativa'!S3,"-")</f>
        <v>-</v>
      </c>
      <c r="E126" s="58" t="str">
        <f>IF('11 Gestión administrativa'!T3&lt;&gt;0,'11 Gestión administrativa'!T3,"-")</f>
        <v>-</v>
      </c>
      <c r="F126" s="58" t="str">
        <f>IF('11 Gestión administrativa'!U3&lt;&gt;0,'11 Gestión administrativa'!U3,"-")</f>
        <v>-</v>
      </c>
      <c r="G126" s="58" t="str">
        <f>IF('11 Gestión administrativa'!V3&lt;&gt;0,'11 Gestión administrativa'!V3,"-")</f>
        <v>-</v>
      </c>
      <c r="H126" s="58" t="str">
        <f>IF('11 Gestión administrativa'!W3&lt;&gt;0,'11 Gestión administrativa'!W3,"-")</f>
        <v>Anual</v>
      </c>
      <c r="I126" s="58" t="str">
        <f>IF('11 Gestión administrativa'!X3&lt;&gt;0,'11 Gestión administrativa'!X3,"-")</f>
        <v>-</v>
      </c>
      <c r="J126" s="33"/>
    </row>
    <row r="127" spans="1:10" ht="16.5" thickBot="1">
      <c r="A127" s="58">
        <v>2</v>
      </c>
      <c r="B127" s="70" t="str">
        <f>IF('11 Gestión administrativa'!I4&lt;&gt;0,'11 Gestión administrativa'!I4,"-")</f>
        <v>-</v>
      </c>
      <c r="C127" s="58" t="str">
        <f>IF('11 Gestión administrativa'!R4&lt;&gt;0,'11 Gestión administrativa'!R4,"-")</f>
        <v>-</v>
      </c>
      <c r="D127" s="58" t="str">
        <f>IF('11 Gestión administrativa'!S4&lt;&gt;0,'11 Gestión administrativa'!S4,"-")</f>
        <v>-</v>
      </c>
      <c r="E127" s="58" t="str">
        <f>IF('11 Gestión administrativa'!T4&lt;&gt;0,'11 Gestión administrativa'!T4,"-")</f>
        <v>-</v>
      </c>
      <c r="F127" s="58" t="str">
        <f>IF('11 Gestión administrativa'!U4&lt;&gt;0,'11 Gestión administrativa'!U4,"-")</f>
        <v>-</v>
      </c>
      <c r="G127" s="58" t="str">
        <f>IF('11 Gestión administrativa'!V4&lt;&gt;0,'11 Gestión administrativa'!V4,"-")</f>
        <v>-</v>
      </c>
      <c r="H127" s="58" t="str">
        <f>IF('11 Gestión administrativa'!W4&lt;&gt;0,'11 Gestión administrativa'!W4,"-")</f>
        <v>Anual</v>
      </c>
      <c r="I127" s="58" t="str">
        <f>IF('11 Gestión administrativa'!X4&lt;&gt;0,'11 Gestión administrativa'!X4,"-")</f>
        <v>-</v>
      </c>
      <c r="J127" s="33"/>
    </row>
    <row r="128" spans="1:10">
      <c r="A128" s="81"/>
      <c r="B128" s="72"/>
      <c r="C128" s="73"/>
      <c r="D128" s="73"/>
      <c r="E128" s="73"/>
      <c r="F128" s="73"/>
      <c r="G128" s="73"/>
      <c r="H128" s="73"/>
      <c r="I128" s="73"/>
      <c r="J128" s="73"/>
    </row>
    <row r="129" spans="1:10">
      <c r="A129" s="81"/>
      <c r="B129" s="72"/>
      <c r="C129" s="73"/>
      <c r="D129" s="73"/>
      <c r="E129" s="73"/>
      <c r="F129" s="73"/>
      <c r="G129" s="73"/>
      <c r="H129" s="73"/>
      <c r="I129" s="73"/>
      <c r="J129" s="73"/>
    </row>
    <row r="130" spans="1:10">
      <c r="A130" s="80"/>
      <c r="B130" s="68"/>
      <c r="C130" s="69"/>
      <c r="D130" s="69"/>
      <c r="E130" s="69"/>
      <c r="F130" s="69"/>
      <c r="G130" s="69"/>
      <c r="H130" s="69"/>
      <c r="I130" s="69"/>
      <c r="J130" s="69"/>
    </row>
    <row r="131" spans="1:10" ht="16.5">
      <c r="A131" s="133" t="s">
        <v>619</v>
      </c>
      <c r="B131" s="133"/>
      <c r="C131" s="133"/>
      <c r="D131" s="133"/>
      <c r="E131" s="133"/>
      <c r="F131" s="133"/>
      <c r="G131" s="133"/>
      <c r="H131" s="133"/>
      <c r="I131" s="133"/>
      <c r="J131" s="133"/>
    </row>
    <row r="132" spans="1:10">
      <c r="A132" s="134" t="s">
        <v>23</v>
      </c>
      <c r="B132" s="131" t="s">
        <v>24</v>
      </c>
      <c r="C132" s="131" t="s">
        <v>629</v>
      </c>
      <c r="D132" s="131">
        <v>2027</v>
      </c>
      <c r="E132" s="131">
        <v>2028</v>
      </c>
      <c r="F132" s="131">
        <v>2029</v>
      </c>
      <c r="G132" s="54" t="str">
        <f>TEXT($J$1,"mmmm")</f>
        <v>agosto</v>
      </c>
      <c r="H132" s="131" t="s">
        <v>25</v>
      </c>
      <c r="I132" s="131" t="s">
        <v>7</v>
      </c>
      <c r="J132" s="33"/>
    </row>
    <row r="133" spans="1:10" ht="16.5" thickBot="1">
      <c r="A133" s="135"/>
      <c r="B133" s="132"/>
      <c r="C133" s="132"/>
      <c r="D133" s="132"/>
      <c r="E133" s="132"/>
      <c r="F133" s="132"/>
      <c r="G133" s="55">
        <v>2030</v>
      </c>
      <c r="H133" s="132"/>
      <c r="I133" s="132"/>
      <c r="J133" s="33"/>
    </row>
    <row r="134" spans="1:10" ht="16.5" thickBot="1">
      <c r="A134" s="58">
        <v>1</v>
      </c>
      <c r="B134" s="70" t="str">
        <f>IF('12 Fortalecimiento tecnológico'!I3&lt;&gt;0,'12 Fortalecimiento tecnológico'!I3,"-")</f>
        <v>-</v>
      </c>
      <c r="C134" s="58" t="str">
        <f>IF('12 Fortalecimiento tecnológico'!R3&lt;&gt;0,'12 Fortalecimiento tecnológico'!R3,"-")</f>
        <v>-</v>
      </c>
      <c r="D134" s="58" t="str">
        <f>IF('12 Fortalecimiento tecnológico'!S3&lt;&gt;0,'12 Fortalecimiento tecnológico'!S3,"-")</f>
        <v>-</v>
      </c>
      <c r="E134" s="58" t="str">
        <f>IF('12 Fortalecimiento tecnológico'!T3&lt;&gt;0,'12 Fortalecimiento tecnológico'!T3,"-")</f>
        <v>-</v>
      </c>
      <c r="F134" s="58" t="str">
        <f>IF('12 Fortalecimiento tecnológico'!U3&lt;&gt;0,'12 Fortalecimiento tecnológico'!U3,"-")</f>
        <v>-</v>
      </c>
      <c r="G134" s="58" t="str">
        <f>IF('12 Fortalecimiento tecnológico'!V3&lt;&gt;0,'12 Fortalecimiento tecnológico'!V3,"-")</f>
        <v>-</v>
      </c>
      <c r="H134" s="58" t="str">
        <f>IF('12 Fortalecimiento tecnológico'!W3&lt;&gt;0,'12 Fortalecimiento tecnológico'!W3,"-")</f>
        <v>Anual</v>
      </c>
      <c r="I134" s="58" t="str">
        <f>IF('12 Fortalecimiento tecnológico'!X3&lt;&gt;0,'12 Fortalecimiento tecnológico'!X3,"-")</f>
        <v>-</v>
      </c>
      <c r="J134" s="33"/>
    </row>
    <row r="135" spans="1:10" ht="16.5" thickBot="1">
      <c r="A135" s="58">
        <v>2</v>
      </c>
      <c r="B135" s="70" t="str">
        <f>IF('12 Fortalecimiento tecnológico'!I4&lt;&gt;0,'12 Fortalecimiento tecnológico'!I4,"-")</f>
        <v>-</v>
      </c>
      <c r="C135" s="58" t="str">
        <f>IF('12 Fortalecimiento tecnológico'!R4&lt;&gt;0,'12 Fortalecimiento tecnológico'!R4,"-")</f>
        <v>-</v>
      </c>
      <c r="D135" s="58" t="str">
        <f>IF('12 Fortalecimiento tecnológico'!S4&lt;&gt;0,'12 Fortalecimiento tecnológico'!S4,"-")</f>
        <v>-</v>
      </c>
      <c r="E135" s="58" t="str">
        <f>IF('12 Fortalecimiento tecnológico'!T4&lt;&gt;0,'12 Fortalecimiento tecnológico'!T4,"-")</f>
        <v>-</v>
      </c>
      <c r="F135" s="58" t="str">
        <f>IF('12 Fortalecimiento tecnológico'!U4&lt;&gt;0,'12 Fortalecimiento tecnológico'!U4,"-")</f>
        <v>-</v>
      </c>
      <c r="G135" s="58" t="str">
        <f>IF('12 Fortalecimiento tecnológico'!V4&lt;&gt;0,'12 Fortalecimiento tecnológico'!V4,"-")</f>
        <v>-</v>
      </c>
      <c r="H135" s="58" t="str">
        <f>IF('12 Fortalecimiento tecnológico'!W4&lt;&gt;0,'12 Fortalecimiento tecnológico'!W4,"-")</f>
        <v>Anual</v>
      </c>
      <c r="I135" s="58" t="str">
        <f>IF('12 Fortalecimiento tecnológico'!X4&lt;&gt;0,'12 Fortalecimiento tecnológico'!X4,"-")</f>
        <v>-</v>
      </c>
      <c r="J135" s="33"/>
    </row>
    <row r="136" spans="1:10">
      <c r="A136" s="78"/>
      <c r="B136" s="72"/>
      <c r="C136" s="73"/>
      <c r="D136" s="73"/>
      <c r="E136" s="73"/>
      <c r="F136" s="73"/>
      <c r="G136" s="73"/>
      <c r="H136" s="73"/>
      <c r="I136" s="73"/>
      <c r="J136" s="73"/>
    </row>
    <row r="137" spans="1:10">
      <c r="A137" s="78"/>
      <c r="B137" s="72"/>
      <c r="C137" s="73"/>
      <c r="D137" s="73"/>
      <c r="E137" s="73"/>
      <c r="F137" s="73"/>
      <c r="G137" s="73"/>
      <c r="H137" s="73"/>
      <c r="I137" s="73"/>
      <c r="J137" s="73"/>
    </row>
    <row r="138" spans="1:10">
      <c r="A138" s="80"/>
      <c r="B138" s="68"/>
      <c r="C138" s="69"/>
      <c r="D138" s="69"/>
      <c r="E138" s="69"/>
      <c r="F138" s="69"/>
      <c r="G138" s="69"/>
      <c r="H138" s="69"/>
      <c r="I138" s="69"/>
      <c r="J138" s="69"/>
    </row>
    <row r="139" spans="1:10" ht="16.5">
      <c r="A139" s="133" t="s">
        <v>620</v>
      </c>
      <c r="B139" s="133"/>
      <c r="C139" s="133"/>
      <c r="D139" s="133"/>
      <c r="E139" s="133"/>
      <c r="F139" s="133"/>
      <c r="G139" s="133"/>
      <c r="H139" s="133"/>
      <c r="I139" s="133"/>
      <c r="J139" s="133"/>
    </row>
    <row r="140" spans="1:10">
      <c r="A140" s="134" t="s">
        <v>23</v>
      </c>
      <c r="B140" s="131" t="s">
        <v>24</v>
      </c>
      <c r="C140" s="131" t="s">
        <v>629</v>
      </c>
      <c r="D140" s="131">
        <v>2027</v>
      </c>
      <c r="E140" s="131">
        <v>2028</v>
      </c>
      <c r="F140" s="131">
        <v>2029</v>
      </c>
      <c r="G140" s="54" t="str">
        <f>TEXT($J$1,"mmmm")</f>
        <v>agosto</v>
      </c>
      <c r="H140" s="131" t="s">
        <v>25</v>
      </c>
      <c r="I140" s="131" t="s">
        <v>7</v>
      </c>
      <c r="J140" s="33"/>
    </row>
    <row r="141" spans="1:10" ht="16.5" thickBot="1">
      <c r="A141" s="135"/>
      <c r="B141" s="132"/>
      <c r="C141" s="132"/>
      <c r="D141" s="132"/>
      <c r="E141" s="132"/>
      <c r="F141" s="132"/>
      <c r="G141" s="55">
        <v>2030</v>
      </c>
      <c r="H141" s="132"/>
      <c r="I141" s="132"/>
      <c r="J141" s="33"/>
    </row>
    <row r="142" spans="1:10" ht="16.5" thickBot="1">
      <c r="A142" s="58">
        <v>1</v>
      </c>
      <c r="B142" s="70" t="str">
        <f>IF('13 Gobernanza'!I3&lt;&gt;0,'13 Gobernanza'!I3,"-")</f>
        <v>-</v>
      </c>
      <c r="C142" s="58" t="str">
        <f>IF('13 Gobernanza'!R3&lt;&gt;0,'13 Gobernanza'!R3,"-")</f>
        <v>-</v>
      </c>
      <c r="D142" s="58" t="str">
        <f>IF('13 Gobernanza'!S3&lt;&gt;0,'13 Gobernanza'!S3,"-")</f>
        <v>-</v>
      </c>
      <c r="E142" s="58" t="str">
        <f>IF('13 Gobernanza'!T3&lt;&gt;0,'13 Gobernanza'!T3,"-")</f>
        <v>-</v>
      </c>
      <c r="F142" s="58" t="str">
        <f>IF('13 Gobernanza'!U3&lt;&gt;0,'13 Gobernanza'!U3,"-")</f>
        <v>-</v>
      </c>
      <c r="G142" s="58" t="str">
        <f>IF('13 Gobernanza'!V3&lt;&gt;0,'13 Gobernanza'!V3,"-")</f>
        <v>-</v>
      </c>
      <c r="H142" s="58" t="str">
        <f>IF('13 Gobernanza'!W3&lt;&gt;0,'13 Gobernanza'!W3,"-")</f>
        <v>Anual</v>
      </c>
      <c r="I142" s="58" t="str">
        <f>IF('13 Gobernanza'!X3&lt;&gt;0,'13 Gobernanza'!X3,"-")</f>
        <v>-</v>
      </c>
      <c r="J142" s="33"/>
    </row>
    <row r="143" spans="1:10" ht="16.5" thickBot="1">
      <c r="A143" s="58">
        <v>2</v>
      </c>
      <c r="B143" s="70" t="str">
        <f>IF('13 Gobernanza'!I4&lt;&gt;0,'13 Gobernanza'!I4,"-")</f>
        <v>-</v>
      </c>
      <c r="C143" s="58" t="str">
        <f>IF('13 Gobernanza'!R4&lt;&gt;0,'13 Gobernanza'!R4,"-")</f>
        <v>-</v>
      </c>
      <c r="D143" s="58" t="str">
        <f>IF('13 Gobernanza'!S4&lt;&gt;0,'13 Gobernanza'!S4,"-")</f>
        <v>-</v>
      </c>
      <c r="E143" s="58" t="str">
        <f>IF('13 Gobernanza'!T4&lt;&gt;0,'13 Gobernanza'!T4,"-")</f>
        <v>-</v>
      </c>
      <c r="F143" s="58" t="str">
        <f>IF('13 Gobernanza'!U4&lt;&gt;0,'13 Gobernanza'!U4,"-")</f>
        <v>-</v>
      </c>
      <c r="G143" s="58" t="str">
        <f>IF('13 Gobernanza'!V4&lt;&gt;0,'13 Gobernanza'!V4,"-")</f>
        <v>-</v>
      </c>
      <c r="H143" s="58" t="str">
        <f>IF('13 Gobernanza'!W4&lt;&gt;0,'13 Gobernanza'!W4,"-")</f>
        <v>Anual</v>
      </c>
      <c r="I143" s="58" t="str">
        <f>IF('13 Gobernanza'!X4&lt;&gt;0,'13 Gobernanza'!X4,"-")</f>
        <v>-</v>
      </c>
      <c r="J143" s="33"/>
    </row>
    <row r="144" spans="1:10" ht="16.5" thickBot="1">
      <c r="A144" s="58">
        <v>3</v>
      </c>
      <c r="B144" s="70" t="str">
        <f>IF('13 Gobernanza'!I5&lt;&gt;0,'13 Gobernanza'!I5,"-")</f>
        <v>-</v>
      </c>
      <c r="C144" s="58" t="str">
        <f>IF('13 Gobernanza'!R5&lt;&gt;0,'13 Gobernanza'!R5,"-")</f>
        <v>-</v>
      </c>
      <c r="D144" s="58" t="str">
        <f>IF('13 Gobernanza'!S5&lt;&gt;0,'13 Gobernanza'!S5,"-")</f>
        <v>-</v>
      </c>
      <c r="E144" s="58" t="str">
        <f>IF('13 Gobernanza'!T5&lt;&gt;0,'13 Gobernanza'!T5,"-")</f>
        <v>-</v>
      </c>
      <c r="F144" s="58" t="str">
        <f>IF('13 Gobernanza'!U5&lt;&gt;0,'13 Gobernanza'!U5,"-")</f>
        <v>-</v>
      </c>
      <c r="G144" s="58" t="str">
        <f>IF('13 Gobernanza'!V5&lt;&gt;0,'13 Gobernanza'!V5,"-")</f>
        <v>-</v>
      </c>
      <c r="H144" s="58" t="str">
        <f>IF('13 Gobernanza'!W5&lt;&gt;0,'13 Gobernanza'!W5,"-")</f>
        <v>Anual</v>
      </c>
      <c r="I144" s="58" t="str">
        <f>IF('13 Gobernanza'!X5&lt;&gt;0,'13 Gobernanza'!X5,"-")</f>
        <v>-</v>
      </c>
      <c r="J144" s="33"/>
    </row>
    <row r="145" spans="1:10" ht="16.5" thickBot="1">
      <c r="A145" s="58">
        <v>4</v>
      </c>
      <c r="B145" s="70" t="str">
        <f>IF('13 Gobernanza'!I6&lt;&gt;0,'13 Gobernanza'!I6,"-")</f>
        <v>-</v>
      </c>
      <c r="C145" s="58" t="str">
        <f>IF('13 Gobernanza'!R6&lt;&gt;0,'13 Gobernanza'!R6,"-")</f>
        <v>-</v>
      </c>
      <c r="D145" s="58" t="str">
        <f>IF('13 Gobernanza'!S6&lt;&gt;0,'13 Gobernanza'!S6,"-")</f>
        <v>-</v>
      </c>
      <c r="E145" s="58" t="str">
        <f>IF('13 Gobernanza'!T6&lt;&gt;0,'13 Gobernanza'!T6,"-")</f>
        <v>-</v>
      </c>
      <c r="F145" s="58" t="str">
        <f>IF('13 Gobernanza'!U6&lt;&gt;0,'13 Gobernanza'!U6,"-")</f>
        <v>-</v>
      </c>
      <c r="G145" s="58" t="str">
        <f>IF('13 Gobernanza'!V6&lt;&gt;0,'13 Gobernanza'!V6,"-")</f>
        <v>-</v>
      </c>
      <c r="H145" s="58" t="str">
        <f>IF('13 Gobernanza'!W6&lt;&gt;0,'13 Gobernanza'!W6,"-")</f>
        <v>Anual</v>
      </c>
      <c r="I145" s="58" t="str">
        <f>IF('13 Gobernanza'!X6&lt;&gt;0,'13 Gobernanza'!X6,"-")</f>
        <v>-</v>
      </c>
      <c r="J145" s="33"/>
    </row>
    <row r="146" spans="1:10" ht="16.5" thickBot="1">
      <c r="A146" s="58">
        <v>5</v>
      </c>
      <c r="B146" s="70" t="str">
        <f>IF('13 Gobernanza'!I7&lt;&gt;0,'13 Gobernanza'!I7,"-")</f>
        <v>-</v>
      </c>
      <c r="C146" s="58" t="str">
        <f>IF('13 Gobernanza'!R7&lt;&gt;0,'13 Gobernanza'!R7,"-")</f>
        <v>-</v>
      </c>
      <c r="D146" s="58" t="str">
        <f>IF('13 Gobernanza'!S7&lt;&gt;0,'13 Gobernanza'!S7,"-")</f>
        <v>-</v>
      </c>
      <c r="E146" s="58" t="str">
        <f>IF('13 Gobernanza'!T7&lt;&gt;0,'13 Gobernanza'!T7,"-")</f>
        <v>-</v>
      </c>
      <c r="F146" s="58" t="str">
        <f>IF('13 Gobernanza'!U7&lt;&gt;0,'13 Gobernanza'!U7,"-")</f>
        <v>-</v>
      </c>
      <c r="G146" s="58" t="str">
        <f>IF('13 Gobernanza'!V7&lt;&gt;0,'13 Gobernanza'!V7,"-")</f>
        <v>-</v>
      </c>
      <c r="H146" s="58" t="str">
        <f>IF('13 Gobernanza'!W7&lt;&gt;0,'13 Gobernanza'!W7,"-")</f>
        <v>Anual</v>
      </c>
      <c r="I146" s="58" t="str">
        <f>IF('13 Gobernanza'!X7&lt;&gt;0,'13 Gobernanza'!X7,"-")</f>
        <v>-</v>
      </c>
      <c r="J146" s="33"/>
    </row>
    <row r="147" spans="1:10" ht="16.5" thickBot="1">
      <c r="A147" s="58">
        <v>6</v>
      </c>
      <c r="B147" s="70" t="str">
        <f>IF('13 Gobernanza'!I8&lt;&gt;0,'13 Gobernanza'!I8,"-")</f>
        <v>-</v>
      </c>
      <c r="C147" s="58" t="str">
        <f>IF('13 Gobernanza'!R8&lt;&gt;0,'13 Gobernanza'!R8,"-")</f>
        <v>-</v>
      </c>
      <c r="D147" s="58" t="str">
        <f>IF('13 Gobernanza'!S8&lt;&gt;0,'13 Gobernanza'!S8,"-")</f>
        <v>-</v>
      </c>
      <c r="E147" s="58" t="str">
        <f>IF('13 Gobernanza'!T8&lt;&gt;0,'13 Gobernanza'!T8,"-")</f>
        <v>-</v>
      </c>
      <c r="F147" s="58" t="str">
        <f>IF('13 Gobernanza'!U8&lt;&gt;0,'13 Gobernanza'!U8,"-")</f>
        <v>-</v>
      </c>
      <c r="G147" s="58" t="str">
        <f>IF('13 Gobernanza'!V8&lt;&gt;0,'13 Gobernanza'!V8,"-")</f>
        <v>-</v>
      </c>
      <c r="H147" s="58" t="str">
        <f>IF('13 Gobernanza'!W8&lt;&gt;0,'13 Gobernanza'!W8,"-")</f>
        <v>Anual</v>
      </c>
      <c r="I147" s="58" t="str">
        <f>IF('13 Gobernanza'!X8&lt;&gt;0,'13 Gobernanza'!X8,"-")</f>
        <v>-</v>
      </c>
      <c r="J147" s="33"/>
    </row>
    <row r="148" spans="1:10" ht="16.5" thickBot="1">
      <c r="A148" s="58">
        <v>7</v>
      </c>
      <c r="B148" s="70" t="str">
        <f>IF('13 Gobernanza'!I9&lt;&gt;0,'13 Gobernanza'!I9,"-")</f>
        <v>-</v>
      </c>
      <c r="C148" s="58" t="str">
        <f>IF('13 Gobernanza'!R9&lt;&gt;0,'13 Gobernanza'!R9,"-")</f>
        <v>-</v>
      </c>
      <c r="D148" s="58" t="str">
        <f>IF('13 Gobernanza'!S9&lt;&gt;0,'13 Gobernanza'!S9,"-")</f>
        <v>-</v>
      </c>
      <c r="E148" s="58" t="str">
        <f>IF('13 Gobernanza'!T9&lt;&gt;0,'13 Gobernanza'!T9,"-")</f>
        <v>-</v>
      </c>
      <c r="F148" s="58" t="str">
        <f>IF('13 Gobernanza'!U9&lt;&gt;0,'13 Gobernanza'!U9,"-")</f>
        <v>-</v>
      </c>
      <c r="G148" s="58" t="str">
        <f>IF('13 Gobernanza'!V9&lt;&gt;0,'13 Gobernanza'!V9,"-")</f>
        <v>-</v>
      </c>
      <c r="H148" s="58" t="str">
        <f>IF('13 Gobernanza'!W9&lt;&gt;0,'13 Gobernanza'!W9,"-")</f>
        <v>Anual</v>
      </c>
      <c r="I148" s="58" t="str">
        <f>IF('13 Gobernanza'!X9&lt;&gt;0,'13 Gobernanza'!X9,"-")</f>
        <v>-</v>
      </c>
      <c r="J148" s="33"/>
    </row>
    <row r="149" spans="1:10" ht="16.5" thickBot="1">
      <c r="A149" s="58">
        <v>8</v>
      </c>
      <c r="B149" s="70" t="str">
        <f>IF('13 Gobernanza'!I10&lt;&gt;0,'13 Gobernanza'!I10,"-")</f>
        <v>-</v>
      </c>
      <c r="C149" s="58" t="str">
        <f>IF('13 Gobernanza'!R10&lt;&gt;0,'13 Gobernanza'!R10,"-")</f>
        <v>-</v>
      </c>
      <c r="D149" s="58" t="str">
        <f>IF('13 Gobernanza'!S10&lt;&gt;0,'13 Gobernanza'!S10,"-")</f>
        <v>-</v>
      </c>
      <c r="E149" s="58" t="str">
        <f>IF('13 Gobernanza'!T10&lt;&gt;0,'13 Gobernanza'!T10,"-")</f>
        <v>-</v>
      </c>
      <c r="F149" s="58" t="str">
        <f>IF('13 Gobernanza'!U10&lt;&gt;0,'13 Gobernanza'!U10,"-")</f>
        <v>-</v>
      </c>
      <c r="G149" s="58" t="str">
        <f>IF('13 Gobernanza'!V10&lt;&gt;0,'13 Gobernanza'!V10,"-")</f>
        <v>-</v>
      </c>
      <c r="H149" s="58" t="str">
        <f>IF('13 Gobernanza'!W10&lt;&gt;0,'13 Gobernanza'!W10,"-")</f>
        <v>Anual</v>
      </c>
      <c r="I149" s="58" t="str">
        <f>IF('13 Gobernanza'!X10&lt;&gt;0,'13 Gobernanza'!X10,"-")</f>
        <v>-</v>
      </c>
      <c r="J149" s="33"/>
    </row>
    <row r="150" spans="1:10">
      <c r="A150" s="63"/>
      <c r="B150" s="82"/>
      <c r="C150" s="63"/>
      <c r="D150" s="63"/>
      <c r="E150" s="63"/>
      <c r="F150" s="63"/>
      <c r="G150" s="63"/>
      <c r="H150" s="63"/>
      <c r="I150" s="63"/>
      <c r="J150" s="63"/>
    </row>
    <row r="151" spans="1:10">
      <c r="A151" s="63"/>
      <c r="B151" s="82"/>
      <c r="C151" s="63"/>
      <c r="D151" s="63"/>
      <c r="E151" s="63"/>
      <c r="F151" s="63"/>
      <c r="G151" s="63"/>
      <c r="H151" s="63"/>
      <c r="I151" s="63"/>
      <c r="J151" s="63"/>
    </row>
    <row r="152" spans="1:10">
      <c r="A152" s="63"/>
      <c r="B152" s="82"/>
      <c r="C152" s="63"/>
      <c r="D152" s="63"/>
      <c r="E152" s="63"/>
      <c r="F152" s="63"/>
      <c r="G152" s="63"/>
      <c r="H152" s="63"/>
      <c r="I152" s="63"/>
      <c r="J152" s="63"/>
    </row>
    <row r="153" spans="1:10" ht="16.5">
      <c r="A153" s="133" t="s">
        <v>621</v>
      </c>
      <c r="B153" s="133"/>
      <c r="C153" s="133"/>
      <c r="D153" s="133"/>
      <c r="E153" s="133"/>
      <c r="F153" s="133"/>
      <c r="G153" s="133"/>
      <c r="H153" s="133"/>
      <c r="I153" s="133"/>
      <c r="J153" s="133"/>
    </row>
    <row r="154" spans="1:10">
      <c r="A154" s="134" t="s">
        <v>23</v>
      </c>
      <c r="B154" s="131" t="s">
        <v>24</v>
      </c>
      <c r="C154" s="131" t="s">
        <v>629</v>
      </c>
      <c r="D154" s="131">
        <v>2027</v>
      </c>
      <c r="E154" s="131">
        <v>2028</v>
      </c>
      <c r="F154" s="131">
        <v>2029</v>
      </c>
      <c r="G154" s="54" t="str">
        <f>TEXT($J$1,"mmmm")</f>
        <v>agosto</v>
      </c>
      <c r="H154" s="131" t="s">
        <v>25</v>
      </c>
      <c r="I154" s="131" t="s">
        <v>7</v>
      </c>
      <c r="J154" s="33"/>
    </row>
    <row r="155" spans="1:10" ht="16.5" thickBot="1">
      <c r="A155" s="135"/>
      <c r="B155" s="132"/>
      <c r="C155" s="132"/>
      <c r="D155" s="132"/>
      <c r="E155" s="132"/>
      <c r="F155" s="132"/>
      <c r="G155" s="55">
        <v>2030</v>
      </c>
      <c r="H155" s="132"/>
      <c r="I155" s="132"/>
      <c r="J155" s="33"/>
    </row>
    <row r="156" spans="1:10" ht="16.5" thickBot="1">
      <c r="A156" s="58">
        <v>1</v>
      </c>
      <c r="B156" s="70" t="str">
        <f>IF('16 Manejo recursos universitari'!I3&lt;&gt;0,'16 Manejo recursos universitari'!I3,"-")</f>
        <v>-</v>
      </c>
      <c r="C156" s="58" t="str">
        <f>IF('16 Manejo recursos universitari'!R3&lt;&gt;0,'16 Manejo recursos universitari'!R3,"-")</f>
        <v>-</v>
      </c>
      <c r="D156" s="58" t="str">
        <f>IF('16 Manejo recursos universitari'!S3&lt;&gt;0,'16 Manejo recursos universitari'!S3,"-")</f>
        <v>-</v>
      </c>
      <c r="E156" s="58" t="str">
        <f>IF('16 Manejo recursos universitari'!T3&lt;&gt;0,'16 Manejo recursos universitari'!T3,"-")</f>
        <v>-</v>
      </c>
      <c r="F156" s="58" t="str">
        <f>IF('16 Manejo recursos universitari'!U3&lt;&gt;0,'16 Manejo recursos universitari'!U3,"-")</f>
        <v>-</v>
      </c>
      <c r="G156" s="58" t="str">
        <f>IF('16 Manejo recursos universitari'!V3&lt;&gt;0,'16 Manejo recursos universitari'!V3,"-")</f>
        <v>-</v>
      </c>
      <c r="H156" s="58" t="str">
        <f>IF('16 Manejo recursos universitari'!W3&lt;&gt;0,'16 Manejo recursos universitari'!W3,"-")</f>
        <v>Anual</v>
      </c>
      <c r="I156" s="58" t="str">
        <f>IF('16 Manejo recursos universitari'!X3&lt;&gt;0,'16 Manejo recursos universitari'!X3,"-")</f>
        <v>-</v>
      </c>
      <c r="J156" s="33"/>
    </row>
    <row r="157" spans="1:10">
      <c r="A157" s="81"/>
      <c r="B157" s="72"/>
      <c r="C157" s="73"/>
      <c r="D157" s="73"/>
      <c r="E157" s="73"/>
      <c r="F157" s="73"/>
      <c r="G157" s="73"/>
      <c r="H157" s="73"/>
      <c r="I157" s="73"/>
      <c r="J157" s="73"/>
    </row>
    <row r="158" spans="1:10">
      <c r="A158" s="81"/>
      <c r="B158" s="72"/>
      <c r="C158" s="73"/>
      <c r="D158" s="73"/>
      <c r="E158" s="73"/>
      <c r="F158" s="73"/>
      <c r="G158" s="73"/>
      <c r="H158" s="73"/>
      <c r="I158" s="73"/>
      <c r="J158" s="73"/>
    </row>
    <row r="159" spans="1:10" ht="19.5">
      <c r="A159" s="53" t="s">
        <v>450</v>
      </c>
      <c r="B159" s="68"/>
      <c r="C159" s="69"/>
      <c r="D159" s="69"/>
      <c r="E159" s="69"/>
      <c r="F159" s="69"/>
      <c r="G159" s="69"/>
      <c r="H159" s="69"/>
      <c r="I159" s="69"/>
      <c r="J159" s="69"/>
    </row>
    <row r="160" spans="1:10" ht="16.5">
      <c r="A160" s="133" t="s">
        <v>622</v>
      </c>
      <c r="B160" s="133"/>
      <c r="C160" s="133"/>
      <c r="D160" s="133"/>
      <c r="E160" s="133"/>
      <c r="F160" s="133"/>
      <c r="G160" s="133"/>
      <c r="H160" s="133"/>
      <c r="I160" s="133"/>
      <c r="J160" s="133"/>
    </row>
    <row r="161" spans="1:10">
      <c r="A161" s="134" t="s">
        <v>23</v>
      </c>
      <c r="B161" s="131" t="s">
        <v>24</v>
      </c>
      <c r="C161" s="131" t="s">
        <v>629</v>
      </c>
      <c r="D161" s="131">
        <v>2027</v>
      </c>
      <c r="E161" s="131">
        <v>2028</v>
      </c>
      <c r="F161" s="131">
        <v>2029</v>
      </c>
      <c r="G161" s="54" t="str">
        <f>TEXT($J$1,"mmmm")</f>
        <v>agosto</v>
      </c>
      <c r="H161" s="131" t="s">
        <v>25</v>
      </c>
      <c r="I161" s="131" t="s">
        <v>7</v>
      </c>
      <c r="J161" s="33"/>
    </row>
    <row r="162" spans="1:10" ht="16.5" thickBot="1">
      <c r="A162" s="135"/>
      <c r="B162" s="132"/>
      <c r="C162" s="132"/>
      <c r="D162" s="132"/>
      <c r="E162" s="132"/>
      <c r="F162" s="132"/>
      <c r="G162" s="55">
        <v>2030</v>
      </c>
      <c r="H162" s="132"/>
      <c r="I162" s="132"/>
      <c r="J162" s="33"/>
    </row>
    <row r="163" spans="1:10" ht="16.5" thickBot="1">
      <c r="A163" s="58">
        <v>1</v>
      </c>
      <c r="B163" s="70" t="str">
        <f>IF('Indicadores x proyec'!B88&lt;&gt;0,'Indicadores x proyec'!B88,"-")</f>
        <v>-</v>
      </c>
      <c r="C163" s="60" t="str">
        <f>IF('Indicadores x proyec'!D88/100&lt;&gt;0,'Indicadores x proyec'!D88/100,"-")</f>
        <v>-</v>
      </c>
      <c r="D163" s="60" t="str">
        <f>IF('Indicadores x proyec'!E88/100&lt;&gt;0,'Indicadores x proyec'!E88/100,"-")</f>
        <v>-</v>
      </c>
      <c r="E163" s="60" t="str">
        <f>IF('Indicadores x proyec'!F88/100&lt;&gt;0,'Indicadores x proyec'!F88/100,"-")</f>
        <v>-</v>
      </c>
      <c r="F163" s="60" t="str">
        <f>IF('Indicadores x proyec'!G88/100&lt;&gt;0,'Indicadores x proyec'!G88/100,"-")</f>
        <v>-</v>
      </c>
      <c r="G163" s="60" t="str">
        <f>IF('Indicadores x proyec'!H88/100&lt;&gt;0,'Indicadores x proyec'!H88/100,"-")</f>
        <v>-</v>
      </c>
      <c r="H163" s="58" t="str">
        <f>IF('Indicadores x proyec'!I88&lt;&gt;0,'Indicadores x proyec'!I88,"-")</f>
        <v>Anual</v>
      </c>
      <c r="I163" s="58" t="str">
        <f>IF('Indicadores x proyec'!J88&lt;&gt;0,'Indicadores x proyec'!J88,"-")</f>
        <v>-</v>
      </c>
      <c r="J163" s="33"/>
    </row>
    <row r="164" spans="1:10" ht="16.5" thickBot="1">
      <c r="A164" s="58">
        <v>2</v>
      </c>
      <c r="B164" s="70" t="str">
        <f>IF('18 Reconocimiento de la diversi'!I5&lt;&gt;0,'18 Reconocimiento de la diversi'!I5,"-")</f>
        <v>-</v>
      </c>
      <c r="C164" s="58" t="str">
        <f>IF('18 Reconocimiento de la diversi'!R5&lt;&gt;0,'18 Reconocimiento de la diversi'!R5,"-")</f>
        <v>-</v>
      </c>
      <c r="D164" s="58" t="str">
        <f>IF('18 Reconocimiento de la diversi'!S5&lt;&gt;0,'18 Reconocimiento de la diversi'!S5,"-")</f>
        <v>-</v>
      </c>
      <c r="E164" s="58" t="str">
        <f>IF('18 Reconocimiento de la diversi'!T5&lt;&gt;0,'18 Reconocimiento de la diversi'!T5,"-")</f>
        <v>-</v>
      </c>
      <c r="F164" s="58" t="str">
        <f>IF('18 Reconocimiento de la diversi'!U5&lt;&gt;0,'18 Reconocimiento de la diversi'!U5,"-")</f>
        <v>-</v>
      </c>
      <c r="G164" s="58" t="str">
        <f>IF('18 Reconocimiento de la diversi'!V5&lt;&gt;0,'18 Reconocimiento de la diversi'!V5,"-")</f>
        <v>-</v>
      </c>
      <c r="H164" s="58" t="str">
        <f>IF('18 Reconocimiento de la diversi'!W5&lt;&gt;0,'18 Reconocimiento de la diversi'!W5,"-")</f>
        <v>Anual</v>
      </c>
      <c r="I164" s="58" t="str">
        <f>IF('18 Reconocimiento de la diversi'!X5&lt;&gt;0,'18 Reconocimiento de la diversi'!X5,"-")</f>
        <v>-</v>
      </c>
      <c r="J164" s="33"/>
    </row>
    <row r="165" spans="1:10" ht="16.5" thickBot="1">
      <c r="A165" s="58">
        <v>3</v>
      </c>
      <c r="B165" s="70" t="str">
        <f>IF('Indicadores x proyec'!B90&lt;&gt;0,'Indicadores x proyec'!B90,"-")</f>
        <v>-</v>
      </c>
      <c r="C165" s="60" t="str">
        <f>IF('Indicadores x proyec'!D90/100&lt;&gt;0,'Indicadores x proyec'!D90/100,"-")</f>
        <v>-</v>
      </c>
      <c r="D165" s="60" t="str">
        <f>IF('Indicadores x proyec'!E90/100&lt;&gt;0,'Indicadores x proyec'!E90/100,"-")</f>
        <v>-</v>
      </c>
      <c r="E165" s="60" t="str">
        <f>IF('Indicadores x proyec'!F90/100&lt;&gt;0,'Indicadores x proyec'!F90/100,"-")</f>
        <v>-</v>
      </c>
      <c r="F165" s="60" t="str">
        <f>IF('Indicadores x proyec'!G90/100&lt;&gt;0,'Indicadores x proyec'!G90/100,"-")</f>
        <v>-</v>
      </c>
      <c r="G165" s="60" t="str">
        <f>IF('Indicadores x proyec'!H90/100&lt;&gt;0,'Indicadores x proyec'!H90/100,"-")</f>
        <v>-</v>
      </c>
      <c r="H165" s="58" t="str">
        <f>IF('Indicadores x proyec'!I90&lt;&gt;0,'Indicadores x proyec'!I90,"-")</f>
        <v>Anual</v>
      </c>
      <c r="I165" s="58" t="str">
        <f>IF('Indicadores x proyec'!J90&lt;&gt;0,'Indicadores x proyec'!J90,"-")</f>
        <v>-</v>
      </c>
      <c r="J165" s="33"/>
    </row>
    <row r="166" spans="1:10" ht="16.5" thickBot="1">
      <c r="A166" s="58">
        <v>4</v>
      </c>
      <c r="B166" s="70" t="str">
        <f>IF('18 Reconocimiento de la diversi'!I8&lt;&gt;0,'18 Reconocimiento de la diversi'!I8,"-")</f>
        <v>-</v>
      </c>
      <c r="C166" s="58" t="str">
        <f>IF('18 Reconocimiento de la diversi'!R8&lt;&gt;0,'18 Reconocimiento de la diversi'!R8,"-")</f>
        <v>-</v>
      </c>
      <c r="D166" s="58" t="str">
        <f>IF('18 Reconocimiento de la diversi'!S8&lt;&gt;0,'18 Reconocimiento de la diversi'!S8,"-")</f>
        <v>-</v>
      </c>
      <c r="E166" s="58" t="str">
        <f>IF('18 Reconocimiento de la diversi'!T8&lt;&gt;0,'18 Reconocimiento de la diversi'!T8,"-")</f>
        <v>-</v>
      </c>
      <c r="F166" s="58" t="str">
        <f>IF('18 Reconocimiento de la diversi'!U8&lt;&gt;0,'18 Reconocimiento de la diversi'!U8,"-")</f>
        <v>-</v>
      </c>
      <c r="G166" s="58" t="str">
        <f>IF('18 Reconocimiento de la diversi'!V8&lt;&gt;0,'18 Reconocimiento de la diversi'!V8,"-")</f>
        <v>-</v>
      </c>
      <c r="H166" s="58" t="str">
        <f>IF('18 Reconocimiento de la diversi'!W8&lt;&gt;0,'18 Reconocimiento de la diversi'!W8,"-")</f>
        <v>Anual</v>
      </c>
      <c r="I166" s="58" t="str">
        <f>IF('18 Reconocimiento de la diversi'!X8&lt;&gt;0,'18 Reconocimiento de la diversi'!X8,"-")</f>
        <v>-</v>
      </c>
      <c r="J166" s="33"/>
    </row>
    <row r="167" spans="1:10" ht="16.5" thickBot="1">
      <c r="A167" s="58">
        <v>5</v>
      </c>
      <c r="B167" s="70" t="str">
        <f>IF('18 Reconocimiento de la diversi'!I9&lt;&gt;0,'18 Reconocimiento de la diversi'!I9,"-")</f>
        <v>-</v>
      </c>
      <c r="C167" s="58" t="str">
        <f>IF('18 Reconocimiento de la diversi'!R9&lt;&gt;0,'18 Reconocimiento de la diversi'!R9,"-")</f>
        <v>-</v>
      </c>
      <c r="D167" s="58" t="str">
        <f>IF('18 Reconocimiento de la diversi'!S9&lt;&gt;0,'18 Reconocimiento de la diversi'!S9,"-")</f>
        <v>-</v>
      </c>
      <c r="E167" s="58" t="str">
        <f>IF('18 Reconocimiento de la diversi'!T9&lt;&gt;0,'18 Reconocimiento de la diversi'!T9,"-")</f>
        <v>-</v>
      </c>
      <c r="F167" s="58" t="str">
        <f>IF('18 Reconocimiento de la diversi'!U9&lt;&gt;0,'18 Reconocimiento de la diversi'!U9,"-")</f>
        <v>-</v>
      </c>
      <c r="G167" s="58" t="str">
        <f>IF('18 Reconocimiento de la diversi'!V9&lt;&gt;0,'18 Reconocimiento de la diversi'!V9,"-")</f>
        <v>-</v>
      </c>
      <c r="H167" s="58" t="str">
        <f>IF('18 Reconocimiento de la diversi'!W9&lt;&gt;0,'18 Reconocimiento de la diversi'!W9,"-")</f>
        <v>Anual</v>
      </c>
      <c r="I167" s="58" t="str">
        <f>IF('18 Reconocimiento de la diversi'!X9&lt;&gt;0,'18 Reconocimiento de la diversi'!X9,"-")</f>
        <v>-</v>
      </c>
      <c r="J167" s="33"/>
    </row>
    <row r="168" spans="1:10" ht="16.5" thickBot="1">
      <c r="A168" s="58">
        <v>6</v>
      </c>
      <c r="B168" s="70" t="str">
        <f>IF('18 Reconocimiento de la diversi'!I10&lt;&gt;0,'18 Reconocimiento de la diversi'!I10,"-")</f>
        <v>-</v>
      </c>
      <c r="C168" s="58" t="str">
        <f>IF('18 Reconocimiento de la diversi'!R10&lt;&gt;0,'18 Reconocimiento de la diversi'!R10,"-")</f>
        <v>-</v>
      </c>
      <c r="D168" s="58" t="str">
        <f>IF('18 Reconocimiento de la diversi'!S10&lt;&gt;0,'18 Reconocimiento de la diversi'!S10,"-")</f>
        <v>-</v>
      </c>
      <c r="E168" s="58" t="str">
        <f>IF('18 Reconocimiento de la diversi'!T10&lt;&gt;0,'18 Reconocimiento de la diversi'!T10,"-")</f>
        <v>-</v>
      </c>
      <c r="F168" s="58" t="str">
        <f>IF('18 Reconocimiento de la diversi'!U10&lt;&gt;0,'18 Reconocimiento de la diversi'!U10,"-")</f>
        <v>-</v>
      </c>
      <c r="G168" s="58" t="str">
        <f>IF('18 Reconocimiento de la diversi'!V10&lt;&gt;0,'18 Reconocimiento de la diversi'!V10,"-")</f>
        <v>-</v>
      </c>
      <c r="H168" s="58" t="str">
        <f>IF('18 Reconocimiento de la diversi'!W10&lt;&gt;0,'18 Reconocimiento de la diversi'!W10,"-")</f>
        <v>Anual</v>
      </c>
      <c r="I168" s="58" t="str">
        <f>IF('18 Reconocimiento de la diversi'!X10&lt;&gt;0,'18 Reconocimiento de la diversi'!X10,"-")</f>
        <v>-</v>
      </c>
      <c r="J168" s="33"/>
    </row>
    <row r="169" spans="1:10" ht="16.5" thickBot="1">
      <c r="A169" s="58">
        <v>7</v>
      </c>
      <c r="B169" s="70" t="str">
        <f>IF('18 Reconocimiento de la diversi'!I11&lt;&gt;0,'18 Reconocimiento de la diversi'!I11,"-")</f>
        <v>-</v>
      </c>
      <c r="C169" s="58" t="str">
        <f>IF('18 Reconocimiento de la diversi'!R11&lt;&gt;0,'18 Reconocimiento de la diversi'!R11,"-")</f>
        <v>-</v>
      </c>
      <c r="D169" s="58" t="str">
        <f>IF('18 Reconocimiento de la diversi'!S11&lt;&gt;0,'18 Reconocimiento de la diversi'!S11,"-")</f>
        <v>-</v>
      </c>
      <c r="E169" s="58" t="str">
        <f>IF('18 Reconocimiento de la diversi'!T11&lt;&gt;0,'18 Reconocimiento de la diversi'!T11,"-")</f>
        <v>-</v>
      </c>
      <c r="F169" s="58" t="str">
        <f>IF('18 Reconocimiento de la diversi'!U11&lt;&gt;0,'18 Reconocimiento de la diversi'!U11,"-")</f>
        <v>-</v>
      </c>
      <c r="G169" s="58" t="str">
        <f>IF('18 Reconocimiento de la diversi'!V11&lt;&gt;0,'18 Reconocimiento de la diversi'!V11,"-")</f>
        <v>-</v>
      </c>
      <c r="H169" s="58" t="str">
        <f>IF('18 Reconocimiento de la diversi'!W11&lt;&gt;0,'18 Reconocimiento de la diversi'!W11,"-")</f>
        <v>Anual</v>
      </c>
      <c r="I169" s="58" t="str">
        <f>IF('18 Reconocimiento de la diversi'!X11&lt;&gt;0,'18 Reconocimiento de la diversi'!X11,"-")</f>
        <v>-</v>
      </c>
      <c r="J169" s="33"/>
    </row>
    <row r="170" spans="1:10" ht="16.5" thickBot="1">
      <c r="A170" s="58">
        <v>8</v>
      </c>
      <c r="B170" s="70" t="str">
        <f>IF('18 Reconocimiento de la diversi'!I12&lt;&gt;0,'18 Reconocimiento de la diversi'!I12,"-")</f>
        <v>-</v>
      </c>
      <c r="C170" s="58" t="str">
        <f>IF('18 Reconocimiento de la diversi'!R12&lt;&gt;0,'18 Reconocimiento de la diversi'!R12,"-")</f>
        <v>-</v>
      </c>
      <c r="D170" s="58" t="str">
        <f>IF('18 Reconocimiento de la diversi'!S12&lt;&gt;0,'18 Reconocimiento de la diversi'!S12,"-")</f>
        <v>-</v>
      </c>
      <c r="E170" s="58" t="str">
        <f>IF('18 Reconocimiento de la diversi'!T12&lt;&gt;0,'18 Reconocimiento de la diversi'!T12,"-")</f>
        <v>-</v>
      </c>
      <c r="F170" s="58" t="str">
        <f>IF('18 Reconocimiento de la diversi'!U12&lt;&gt;0,'18 Reconocimiento de la diversi'!U12,"-")</f>
        <v>-</v>
      </c>
      <c r="G170" s="58" t="str">
        <f>IF('18 Reconocimiento de la diversi'!V12&lt;&gt;0,'18 Reconocimiento de la diversi'!V12,"-")</f>
        <v>-</v>
      </c>
      <c r="H170" s="58" t="str">
        <f>IF('18 Reconocimiento de la diversi'!W12&lt;&gt;0,'18 Reconocimiento de la diversi'!W12,"-")</f>
        <v>Anual</v>
      </c>
      <c r="I170" s="58" t="str">
        <f>IF('18 Reconocimiento de la diversi'!X12&lt;&gt;0,'18 Reconocimiento de la diversi'!X12,"-")</f>
        <v>-</v>
      </c>
      <c r="J170" s="33"/>
    </row>
    <row r="171" spans="1:10">
      <c r="A171" s="81"/>
      <c r="B171" s="72"/>
      <c r="C171" s="73"/>
      <c r="D171" s="73"/>
      <c r="E171" s="73"/>
      <c r="F171" s="73"/>
      <c r="G171" s="73"/>
      <c r="H171" s="73"/>
      <c r="I171" s="73"/>
      <c r="J171" s="73"/>
    </row>
    <row r="172" spans="1:10">
      <c r="A172" s="81"/>
      <c r="B172" s="72"/>
      <c r="C172" s="73"/>
      <c r="D172" s="73"/>
      <c r="E172" s="73"/>
      <c r="F172" s="73"/>
      <c r="G172" s="73"/>
      <c r="H172" s="73"/>
      <c r="I172" s="73"/>
      <c r="J172" s="73"/>
    </row>
    <row r="173" spans="1:10">
      <c r="A173" s="80"/>
      <c r="B173" s="68"/>
      <c r="C173" s="69"/>
      <c r="D173" s="69"/>
      <c r="E173" s="69"/>
      <c r="F173" s="69"/>
      <c r="G173" s="69"/>
      <c r="H173" s="69"/>
      <c r="I173" s="69"/>
      <c r="J173" s="69"/>
    </row>
    <row r="174" spans="1:10" ht="16.5">
      <c r="A174" s="133" t="s">
        <v>623</v>
      </c>
      <c r="B174" s="133"/>
      <c r="C174" s="133"/>
      <c r="D174" s="133"/>
      <c r="E174" s="133"/>
      <c r="F174" s="133"/>
      <c r="G174" s="133"/>
      <c r="H174" s="133"/>
      <c r="I174" s="133"/>
      <c r="J174" s="133"/>
    </row>
    <row r="175" spans="1:10">
      <c r="A175" s="134" t="s">
        <v>23</v>
      </c>
      <c r="B175" s="131" t="s">
        <v>24</v>
      </c>
      <c r="C175" s="131" t="s">
        <v>629</v>
      </c>
      <c r="D175" s="131">
        <v>2027</v>
      </c>
      <c r="E175" s="131">
        <v>2028</v>
      </c>
      <c r="F175" s="131">
        <v>2029</v>
      </c>
      <c r="G175" s="54" t="str">
        <f>TEXT($J$1,"mmmm")</f>
        <v>agosto</v>
      </c>
      <c r="H175" s="131" t="s">
        <v>25</v>
      </c>
      <c r="I175" s="131" t="s">
        <v>7</v>
      </c>
      <c r="J175" s="33"/>
    </row>
    <row r="176" spans="1:10" ht="16.5" thickBot="1">
      <c r="A176" s="135"/>
      <c r="B176" s="132"/>
      <c r="C176" s="132"/>
      <c r="D176" s="132"/>
      <c r="E176" s="132"/>
      <c r="F176" s="132"/>
      <c r="G176" s="55">
        <v>2030</v>
      </c>
      <c r="H176" s="132"/>
      <c r="I176" s="132"/>
      <c r="J176" s="33"/>
    </row>
    <row r="177" spans="1:10" ht="16.5" thickBot="1">
      <c r="A177" s="83">
        <v>1</v>
      </c>
      <c r="B177" s="84" t="str">
        <f>IF('Indicadores x proyec'!B96&lt;&gt;0,'Indicadores x proyec'!B96,"-")</f>
        <v>-</v>
      </c>
      <c r="C177" s="130">
        <f>IF('19 Constr cultura de paz '!R3&lt;&gt;0,'19 Constr cultura de paz '!R3,"-")</f>
        <v>5</v>
      </c>
      <c r="D177" s="130">
        <f>IF('19 Constr cultura de paz '!S3&lt;&gt;0,'19 Constr cultura de paz '!S3,"-")</f>
        <v>6</v>
      </c>
      <c r="E177" s="130">
        <f>IF('19 Constr cultura de paz '!T3&lt;&gt;0,'19 Constr cultura de paz '!T3,"-")</f>
        <v>7</v>
      </c>
      <c r="F177" s="130" t="str">
        <f>IF('19 Constr cultura de paz '!U3&lt;&gt;0,'19 Constr cultura de paz '!U3,"-")</f>
        <v>-</v>
      </c>
      <c r="G177" s="130">
        <f>IF('19 Constr cultura de paz '!V3&lt;&gt;0,'19 Constr cultura de paz '!V3,"-")</f>
        <v>9</v>
      </c>
      <c r="H177" s="83" t="str">
        <f>'19 Constr cultura de paz '!W3</f>
        <v>Anual</v>
      </c>
      <c r="I177" s="83" t="str">
        <f>IF('19 Constr cultura de paz '!X3&lt;&gt;0,'19 Constr cultura de paz '!X3,"-")</f>
        <v>-</v>
      </c>
      <c r="J177" s="33"/>
    </row>
    <row r="178" spans="1:10" ht="16.5" thickBot="1">
      <c r="A178" s="83">
        <v>2</v>
      </c>
      <c r="B178" s="84" t="str">
        <f>IF('19 Constr cultura de paz '!I4&lt;&gt;0,'19 Constr cultura de paz '!I4,"-")</f>
        <v>-</v>
      </c>
      <c r="C178" s="83" t="str">
        <f>IF('19 Constr cultura de paz '!R4&lt;&gt;0,'19 Constr cultura de paz '!R4,"-")</f>
        <v>-</v>
      </c>
      <c r="D178" s="83" t="str">
        <f>IF('19 Constr cultura de paz '!S4&lt;&gt;0,'19 Constr cultura de paz '!S4,"-")</f>
        <v>-</v>
      </c>
      <c r="E178" s="83" t="str">
        <f>IF('19 Constr cultura de paz '!T4&lt;&gt;0,'19 Constr cultura de paz '!T4,"-")</f>
        <v>-</v>
      </c>
      <c r="F178" s="83" t="str">
        <f>IF('19 Constr cultura de paz '!U4&lt;&gt;0,'19 Constr cultura de paz '!U4,"-")</f>
        <v>-</v>
      </c>
      <c r="G178" s="83" t="str">
        <f>IF('19 Constr cultura de paz '!V4&lt;&gt;0,'19 Constr cultura de paz '!V4,"-")</f>
        <v>-</v>
      </c>
      <c r="H178" s="83" t="str">
        <f>IF('19 Constr cultura de paz '!W4&lt;&gt;0,'19 Constr cultura de paz '!W4,"-")</f>
        <v xml:space="preserve">Anual </v>
      </c>
      <c r="I178" s="83" t="str">
        <f>IF('19 Constr cultura de paz '!X4&lt;&gt;0,'19 Constr cultura de paz '!X4,"-")</f>
        <v>-</v>
      </c>
      <c r="J178" s="33"/>
    </row>
    <row r="179" spans="1:10" ht="16.5" thickBot="1">
      <c r="A179" s="83">
        <v>3</v>
      </c>
      <c r="B179" s="84" t="str">
        <f>IF('19 Constr cultura de paz '!I5&lt;&gt;0,'19 Constr cultura de paz '!I5,"-")</f>
        <v>-</v>
      </c>
      <c r="C179" s="83" t="str">
        <f>IF('19 Constr cultura de paz '!R5&lt;&gt;0,'19 Constr cultura de paz '!R5,"-")</f>
        <v>-</v>
      </c>
      <c r="D179" s="83" t="str">
        <f>IF('19 Constr cultura de paz '!S5&lt;&gt;0,'19 Constr cultura de paz '!S5,"-")</f>
        <v>-</v>
      </c>
      <c r="E179" s="83" t="str">
        <f>IF('19 Constr cultura de paz '!T5&lt;&gt;0,'19 Constr cultura de paz '!T5,"-")</f>
        <v>-</v>
      </c>
      <c r="F179" s="83" t="str">
        <f>IF('19 Constr cultura de paz '!U5&lt;&gt;0,'19 Constr cultura de paz '!U5,"-")</f>
        <v>-</v>
      </c>
      <c r="G179" s="83" t="str">
        <f>IF('19 Constr cultura de paz '!V5&lt;&gt;0,'19 Constr cultura de paz '!V5,"-")</f>
        <v>-</v>
      </c>
      <c r="H179" s="83" t="str">
        <f>IF('19 Constr cultura de paz '!W5&lt;&gt;0,'19 Constr cultura de paz '!W5,"-")</f>
        <v xml:space="preserve">Anual </v>
      </c>
      <c r="I179" s="83" t="str">
        <f>IF('19 Constr cultura de paz '!X5&lt;&gt;0,'19 Constr cultura de paz '!X5,"-")</f>
        <v>-</v>
      </c>
      <c r="J179" s="33"/>
    </row>
    <row r="180" spans="1:10" ht="16.5" thickBot="1">
      <c r="A180" s="83">
        <v>4</v>
      </c>
      <c r="B180" s="84" t="str">
        <f>IF('19 Constr cultura de paz '!I6&lt;&gt;0,'19 Constr cultura de paz '!I6,"-")</f>
        <v>-</v>
      </c>
      <c r="C180" s="83" t="str">
        <f>IF('19 Constr cultura de paz '!R6&lt;&gt;0,'19 Constr cultura de paz '!R6,"-")</f>
        <v>-</v>
      </c>
      <c r="D180" s="83" t="str">
        <f>IF('19 Constr cultura de paz '!S6&lt;&gt;0,'19 Constr cultura de paz '!S6,"-")</f>
        <v>-</v>
      </c>
      <c r="E180" s="83" t="str">
        <f>IF('19 Constr cultura de paz '!T6&lt;&gt;0,'19 Constr cultura de paz '!T6,"-")</f>
        <v>-</v>
      </c>
      <c r="F180" s="83" t="str">
        <f>IF('19 Constr cultura de paz '!U6&lt;&gt;0,'19 Constr cultura de paz '!U6,"-")</f>
        <v>-</v>
      </c>
      <c r="G180" s="83" t="str">
        <f>IF('19 Constr cultura de paz '!V6&lt;&gt;0,'19 Constr cultura de paz '!V6,"-")</f>
        <v>-</v>
      </c>
      <c r="H180" s="83" t="str">
        <f>IF('19 Constr cultura de paz '!W6&lt;&gt;0,'19 Constr cultura de paz '!W6,"-")</f>
        <v xml:space="preserve">Anual </v>
      </c>
      <c r="I180" s="83" t="str">
        <f>IF('19 Constr cultura de paz '!X6&lt;&gt;0,'19 Constr cultura de paz '!X6,"-")</f>
        <v>-</v>
      </c>
      <c r="J180" s="33"/>
    </row>
    <row r="181" spans="1:10" ht="16.5" thickBot="1">
      <c r="A181" s="83">
        <v>5</v>
      </c>
      <c r="B181" s="84" t="str">
        <f>IF('Indicadores x proyec'!B98&lt;&gt;0,'Indicadores x proyec'!B98,"-")</f>
        <v>-</v>
      </c>
      <c r="C181" s="85" t="str">
        <f>IF('Indicadores x proyec'!D98/100&lt;&gt;0,'Indicadores x proyec'!D98/100,"-")</f>
        <v>-</v>
      </c>
      <c r="D181" s="85" t="str">
        <f>IF('Indicadores x proyec'!E98/100&lt;&gt;0,'Indicadores x proyec'!E98/100,"-")</f>
        <v>-</v>
      </c>
      <c r="E181" s="85" t="str">
        <f>IF('Indicadores x proyec'!F98/100&lt;&gt;0,'Indicadores x proyec'!F98/100,"-")</f>
        <v>-</v>
      </c>
      <c r="F181" s="85" t="str">
        <f>IF('Indicadores x proyec'!G98/100&lt;&gt;0,'Indicadores x proyec'!G98/100,"-")</f>
        <v>-</v>
      </c>
      <c r="G181" s="85" t="str">
        <f>IF('Indicadores x proyec'!H98/100&lt;&gt;0,'Indicadores x proyec'!H98/100,"-")</f>
        <v>-</v>
      </c>
      <c r="H181" s="83" t="str">
        <f>IF('Indicadores x proyec'!I98&lt;&gt;0,'Indicadores x proyec'!I98,"-")</f>
        <v xml:space="preserve">Anual </v>
      </c>
      <c r="I181" s="83" t="str">
        <f>IF('Indicadores x proyec'!J98&lt;&gt;0,'Indicadores x proyec'!J98,"-")</f>
        <v>-</v>
      </c>
      <c r="J181" s="33"/>
    </row>
    <row r="182" spans="1:10" ht="16.5" thickBot="1">
      <c r="A182" s="83">
        <v>6</v>
      </c>
      <c r="B182" s="84" t="str">
        <f>IF('19 Constr cultura de paz '!I9&lt;&gt;0,'19 Constr cultura de paz '!I9,"-")</f>
        <v>-</v>
      </c>
      <c r="C182" s="83" t="str">
        <f>IF('19 Constr cultura de paz '!R9&lt;&gt;0,'19 Constr cultura de paz '!R9,"-")</f>
        <v>-</v>
      </c>
      <c r="D182" s="83" t="str">
        <f>IF('19 Constr cultura de paz '!S9&lt;&gt;0,'19 Constr cultura de paz '!S9,"-")</f>
        <v>-</v>
      </c>
      <c r="E182" s="83" t="str">
        <f>IF('19 Constr cultura de paz '!T9&lt;&gt;0,'19 Constr cultura de paz '!T9,"-")</f>
        <v>-</v>
      </c>
      <c r="F182" s="83" t="str">
        <f>IF('19 Constr cultura de paz '!U9&lt;&gt;0,'19 Constr cultura de paz '!U9,"-")</f>
        <v>-</v>
      </c>
      <c r="G182" s="83" t="str">
        <f>IF('19 Constr cultura de paz '!V9&lt;&gt;0,'19 Constr cultura de paz '!V9,"-")</f>
        <v>-</v>
      </c>
      <c r="H182" s="83" t="str">
        <f>IF('19 Constr cultura de paz '!W9&lt;&gt;0,'19 Constr cultura de paz '!W9,"-")</f>
        <v xml:space="preserve">Anual </v>
      </c>
      <c r="I182" s="83" t="str">
        <f>IF('19 Constr cultura de paz '!X9&lt;&gt;0,'19 Constr cultura de paz '!X9,"-")</f>
        <v>-</v>
      </c>
      <c r="J182" s="33"/>
    </row>
    <row r="183" spans="1:10" ht="16.5" thickBot="1">
      <c r="A183" s="83">
        <v>7</v>
      </c>
      <c r="B183" s="84" t="str">
        <f>IF('19 Constr cultura de paz '!I10&lt;&gt;0,'19 Constr cultura de paz '!I10,"-")</f>
        <v>-</v>
      </c>
      <c r="C183" s="83" t="str">
        <f>IF('19 Constr cultura de paz '!R10&lt;&gt;0,'19 Constr cultura de paz '!R10,"-")</f>
        <v>-</v>
      </c>
      <c r="D183" s="83" t="str">
        <f>IF('19 Constr cultura de paz '!S10&lt;&gt;0,'19 Constr cultura de paz '!S10,"-")</f>
        <v>-</v>
      </c>
      <c r="E183" s="83" t="str">
        <f>IF('19 Constr cultura de paz '!T10&lt;&gt;0,'19 Constr cultura de paz '!T10,"-")</f>
        <v>-</v>
      </c>
      <c r="F183" s="83" t="str">
        <f>IF('19 Constr cultura de paz '!U10&lt;&gt;0,'19 Constr cultura de paz '!U10,"-")</f>
        <v>-</v>
      </c>
      <c r="G183" s="83" t="str">
        <f>IF('19 Constr cultura de paz '!V10&lt;&gt;0,'19 Constr cultura de paz '!V10,"-")</f>
        <v>-</v>
      </c>
      <c r="H183" s="83" t="str">
        <f>IF('19 Constr cultura de paz '!W10&lt;&gt;0,'19 Constr cultura de paz '!W10,"-")</f>
        <v xml:space="preserve">Anual </v>
      </c>
      <c r="I183" s="83" t="str">
        <f>IF('19 Constr cultura de paz '!X10&lt;&gt;0,'19 Constr cultura de paz '!X10,"-")</f>
        <v>-</v>
      </c>
      <c r="J183" s="33"/>
    </row>
    <row r="184" spans="1:10">
      <c r="A184" s="63"/>
      <c r="B184" s="82"/>
      <c r="C184" s="63"/>
      <c r="D184" s="63"/>
      <c r="E184" s="63"/>
      <c r="F184" s="63"/>
      <c r="G184" s="63"/>
      <c r="H184" s="63"/>
      <c r="I184" s="63"/>
      <c r="J184" s="63"/>
    </row>
    <row r="185" spans="1:10">
      <c r="A185" s="63"/>
      <c r="B185" s="82"/>
      <c r="C185" s="61"/>
      <c r="D185" s="61"/>
      <c r="E185" s="61"/>
      <c r="F185" s="61"/>
      <c r="G185" s="61"/>
      <c r="H185" s="61"/>
      <c r="I185" s="61"/>
      <c r="J185" s="61"/>
    </row>
    <row r="186" spans="1:10">
      <c r="A186" s="78"/>
      <c r="B186" s="72"/>
      <c r="C186" s="73"/>
      <c r="D186" s="73"/>
      <c r="E186" s="73"/>
      <c r="F186" s="73"/>
      <c r="G186" s="73"/>
      <c r="H186" s="73"/>
      <c r="I186" s="73"/>
      <c r="J186" s="73"/>
    </row>
    <row r="187" spans="1:10" ht="16.5">
      <c r="A187" s="133" t="s">
        <v>624</v>
      </c>
      <c r="B187" s="133"/>
      <c r="C187" s="133"/>
      <c r="D187" s="133"/>
      <c r="E187" s="133"/>
      <c r="F187" s="133"/>
      <c r="G187" s="133"/>
      <c r="H187" s="133"/>
      <c r="I187" s="133"/>
      <c r="J187" s="133"/>
    </row>
    <row r="188" spans="1:10">
      <c r="A188" s="134" t="s">
        <v>23</v>
      </c>
      <c r="B188" s="131" t="s">
        <v>24</v>
      </c>
      <c r="C188" s="131" t="s">
        <v>629</v>
      </c>
      <c r="D188" s="131">
        <v>2027</v>
      </c>
      <c r="E188" s="131">
        <v>2028</v>
      </c>
      <c r="F188" s="131">
        <v>2029</v>
      </c>
      <c r="G188" s="54" t="str">
        <f>TEXT($J$1,"mmmm")</f>
        <v>agosto</v>
      </c>
      <c r="H188" s="131" t="s">
        <v>25</v>
      </c>
      <c r="I188" s="131" t="s">
        <v>7</v>
      </c>
      <c r="J188" s="33"/>
    </row>
    <row r="189" spans="1:10" ht="16.5" thickBot="1">
      <c r="A189" s="135"/>
      <c r="B189" s="132"/>
      <c r="C189" s="132"/>
      <c r="D189" s="132"/>
      <c r="E189" s="132"/>
      <c r="F189" s="132"/>
      <c r="G189" s="55">
        <v>2030</v>
      </c>
      <c r="H189" s="132"/>
      <c r="I189" s="132"/>
      <c r="J189" s="33"/>
    </row>
    <row r="190" spans="1:10" ht="16.5" thickBot="1">
      <c r="A190" s="58">
        <v>1</v>
      </c>
      <c r="B190" s="59" t="str">
        <f>IF('20 Retribución social '!I3&lt;&gt;0,'20 Retribución social '!I3,"-")</f>
        <v>-</v>
      </c>
      <c r="C190" s="58" t="str">
        <f>IF('20 Retribución social '!R3&lt;&gt;0,'20 Retribución social '!R3,"-")</f>
        <v>-</v>
      </c>
      <c r="D190" s="58" t="str">
        <f>IF('20 Retribución social '!S3&lt;&gt;0,'20 Retribución social '!S3,"-")</f>
        <v>-</v>
      </c>
      <c r="E190" s="58" t="str">
        <f>IF('20 Retribución social '!T3&lt;&gt;0,'20 Retribución social '!T3,"-")</f>
        <v>-</v>
      </c>
      <c r="F190" s="58" t="str">
        <f>IF('20 Retribución social '!U3&lt;&gt;0,'20 Retribución social '!U3,"-")</f>
        <v>-</v>
      </c>
      <c r="G190" s="58" t="str">
        <f>IF('20 Retribución social '!V3&lt;&gt;0,'20 Retribución social '!V3,"-")</f>
        <v>-</v>
      </c>
      <c r="H190" s="58" t="str">
        <f>IF('20 Retribución social '!W3&lt;&gt;0,'20 Retribución social '!W3,"-")</f>
        <v>Anual</v>
      </c>
      <c r="I190" s="58" t="str">
        <f>IF('20 Retribución social '!X3&lt;&gt;0,'20 Retribución social '!X3,"-")</f>
        <v>-</v>
      </c>
      <c r="J190" s="33"/>
    </row>
    <row r="191" spans="1:10" ht="16.5" thickBot="1">
      <c r="A191" s="58">
        <v>2</v>
      </c>
      <c r="B191" s="59" t="str">
        <f>IF('20 Retribución social '!I4&lt;&gt;0,'20 Retribución social '!I4,"-")</f>
        <v>-</v>
      </c>
      <c r="C191" s="58" t="str">
        <f>IF('20 Retribución social '!R4&lt;&gt;0,'20 Retribución social '!R4,"-")</f>
        <v>-</v>
      </c>
      <c r="D191" s="58" t="str">
        <f>IF('20 Retribución social '!S4&lt;&gt;0,'20 Retribución social '!S4,"-")</f>
        <v>-</v>
      </c>
      <c r="E191" s="58" t="str">
        <f>IF('20 Retribución social '!T4&lt;&gt;0,'20 Retribución social '!T4,"-")</f>
        <v>-</v>
      </c>
      <c r="F191" s="58" t="str">
        <f>IF('20 Retribución social '!U4&lt;&gt;0,'20 Retribución social '!U4,"-")</f>
        <v>-</v>
      </c>
      <c r="G191" s="58" t="str">
        <f>IF('20 Retribución social '!V4&lt;&gt;0,'20 Retribución social '!V4,"-")</f>
        <v>-</v>
      </c>
      <c r="H191" s="58" t="str">
        <f>IF('20 Retribución social '!W4&lt;&gt;0,'20 Retribución social '!W4,"-")</f>
        <v>Anual</v>
      </c>
      <c r="I191" s="58" t="str">
        <f>IF('20 Retribución social '!X4&lt;&gt;0,'20 Retribución social '!X4,"-")</f>
        <v>-</v>
      </c>
      <c r="J191" s="33"/>
    </row>
    <row r="192" spans="1:10" ht="16.5" thickBot="1">
      <c r="A192" s="58">
        <v>3</v>
      </c>
      <c r="B192" s="59" t="str">
        <f>IF('20 Retribución social '!I5&lt;&gt;0,'20 Retribución social '!I5,"-")</f>
        <v>-</v>
      </c>
      <c r="C192" s="58" t="str">
        <f>IF('20 Retribución social '!R5&lt;&gt;0,'20 Retribución social '!R5,"-")</f>
        <v>-</v>
      </c>
      <c r="D192" s="58" t="str">
        <f>IF('20 Retribución social '!S5&lt;&gt;0,'20 Retribución social '!S5,"-")</f>
        <v>-</v>
      </c>
      <c r="E192" s="58" t="str">
        <f>IF('20 Retribución social '!T5&lt;&gt;0,'20 Retribución social '!T5,"-")</f>
        <v>-</v>
      </c>
      <c r="F192" s="58" t="str">
        <f>IF('20 Retribución social '!U5&lt;&gt;0,'20 Retribución social '!U5,"-")</f>
        <v>-</v>
      </c>
      <c r="G192" s="58" t="str">
        <f>IF('20 Retribución social '!V5&lt;&gt;0,'20 Retribución social '!V5,"-")</f>
        <v>-</v>
      </c>
      <c r="H192" s="58" t="str">
        <f>IF('20 Retribución social '!W5&lt;&gt;0,'20 Retribución social '!W5,"-")</f>
        <v>Anual</v>
      </c>
      <c r="I192" s="58" t="str">
        <f>IF('20 Retribución social '!X5&lt;&gt;0,'20 Retribución social '!X5,"-")</f>
        <v>-</v>
      </c>
      <c r="J192" s="33"/>
    </row>
    <row r="193" spans="1:10" ht="16.5" thickBot="1">
      <c r="A193" s="58">
        <v>4</v>
      </c>
      <c r="B193" s="59" t="str">
        <f>IF('20 Retribución social '!I6&lt;&gt;0,'20 Retribución social '!I6,"-")</f>
        <v>-</v>
      </c>
      <c r="C193" s="58" t="str">
        <f>IF('20 Retribución social '!R6&lt;&gt;0,'20 Retribución social '!R6,"-")</f>
        <v>-</v>
      </c>
      <c r="D193" s="58" t="str">
        <f>IF('20 Retribución social '!S6&lt;&gt;0,'20 Retribución social '!S6,"-")</f>
        <v>-</v>
      </c>
      <c r="E193" s="58" t="str">
        <f>IF('20 Retribución social '!T6&lt;&gt;0,'20 Retribución social '!T6,"-")</f>
        <v>-</v>
      </c>
      <c r="F193" s="58" t="str">
        <f>IF('20 Retribución social '!U6&lt;&gt;0,'20 Retribución social '!U6,"-")</f>
        <v>-</v>
      </c>
      <c r="G193" s="58" t="str">
        <f>IF('20 Retribución social '!V6&lt;&gt;0,'20 Retribución social '!V6,"-")</f>
        <v>-</v>
      </c>
      <c r="H193" s="58" t="str">
        <f>IF('20 Retribución social '!W6&lt;&gt;0,'20 Retribución social '!W6,"-")</f>
        <v>Anual</v>
      </c>
      <c r="I193" s="58" t="str">
        <f>IF('20 Retribución social '!X6&lt;&gt;0,'20 Retribución social '!X6,"-")</f>
        <v>-</v>
      </c>
      <c r="J193" s="33"/>
    </row>
    <row r="194" spans="1:10" ht="16.5" thickBot="1">
      <c r="A194" s="58">
        <v>5</v>
      </c>
      <c r="B194" s="59" t="str">
        <f>IF('20 Retribución social '!I7&lt;&gt;0,'20 Retribución social '!I7,"-")</f>
        <v>-</v>
      </c>
      <c r="C194" s="58" t="str">
        <f>IF('20 Retribución social '!R7&lt;&gt;0,'20 Retribución social '!R7,"-")</f>
        <v>-</v>
      </c>
      <c r="D194" s="58" t="str">
        <f>IF('20 Retribución social '!S7&lt;&gt;0,'20 Retribución social '!S7,"-")</f>
        <v>-</v>
      </c>
      <c r="E194" s="58" t="str">
        <f>IF('20 Retribución social '!T7&lt;&gt;0,'20 Retribución social '!T7,"-")</f>
        <v>-</v>
      </c>
      <c r="F194" s="58" t="str">
        <f>IF('20 Retribución social '!U7&lt;&gt;0,'20 Retribución social '!U7,"-")</f>
        <v>-</v>
      </c>
      <c r="G194" s="58" t="str">
        <f>IF('20 Retribución social '!V7&lt;&gt;0,'20 Retribución social '!V7,"-")</f>
        <v>-</v>
      </c>
      <c r="H194" s="58" t="str">
        <f>IF('20 Retribución social '!W7&lt;&gt;0,'20 Retribución social '!W7,"-")</f>
        <v>Anual</v>
      </c>
      <c r="I194" s="58" t="str">
        <f>IF('20 Retribución social '!X7&lt;&gt;0,'20 Retribución social '!X7,"-")</f>
        <v>-</v>
      </c>
      <c r="J194" s="33"/>
    </row>
    <row r="195" spans="1:10" ht="16.5" thickBot="1">
      <c r="A195" s="58">
        <v>6</v>
      </c>
      <c r="B195" s="59" t="str">
        <f>IF('20 Retribución social '!I8&lt;&gt;0,'20 Retribución social '!I8,"-")</f>
        <v>-</v>
      </c>
      <c r="C195" s="58" t="str">
        <f>IF('20 Retribución social '!R8&lt;&gt;0,'20 Retribución social '!R8,"-")</f>
        <v>-</v>
      </c>
      <c r="D195" s="58" t="str">
        <f>IF('20 Retribución social '!S8&lt;&gt;0,'20 Retribución social '!S8,"-")</f>
        <v>-</v>
      </c>
      <c r="E195" s="58" t="str">
        <f>IF('20 Retribución social '!T8&lt;&gt;0,'20 Retribución social '!T8,"-")</f>
        <v>-</v>
      </c>
      <c r="F195" s="58" t="str">
        <f>IF('20 Retribución social '!U8&lt;&gt;0,'20 Retribución social '!U8,"-")</f>
        <v>-</v>
      </c>
      <c r="G195" s="58" t="str">
        <f>IF('20 Retribución social '!V8&lt;&gt;0,'20 Retribución social '!V8,"-")</f>
        <v>-</v>
      </c>
      <c r="H195" s="58" t="str">
        <f>IF('20 Retribución social '!W8&lt;&gt;0,'20 Retribución social '!W8,"-")</f>
        <v>Anual</v>
      </c>
      <c r="I195" s="58" t="str">
        <f>IF('20 Retribución social '!X8&lt;&gt;0,'20 Retribución social '!X8,"-")</f>
        <v>-</v>
      </c>
      <c r="J195" s="33"/>
    </row>
    <row r="196" spans="1:10" ht="16.5" thickBot="1">
      <c r="A196" s="58">
        <v>7</v>
      </c>
      <c r="B196" s="59" t="str">
        <f>IF('Indicadores x proyec'!B104&lt;&gt;0,'Indicadores x proyec'!B104,"-")</f>
        <v>-</v>
      </c>
      <c r="C196" s="60" t="str">
        <f>IF('Indicadores x proyec'!D104/100&lt;&gt;0,'Indicadores x proyec'!D104/100,"-")</f>
        <v>-</v>
      </c>
      <c r="D196" s="60" t="str">
        <f>IF('Indicadores x proyec'!E104/100&lt;&gt;0,'Indicadores x proyec'!E104/100,"-")</f>
        <v>-</v>
      </c>
      <c r="E196" s="60" t="str">
        <f>IF('Indicadores x proyec'!F104/100&lt;&gt;0,'Indicadores x proyec'!F104/100,"-")</f>
        <v>-</v>
      </c>
      <c r="F196" s="60" t="str">
        <f>IF('Indicadores x proyec'!G104/100&lt;&gt;0,'Indicadores x proyec'!G104/100,"-")</f>
        <v>-</v>
      </c>
      <c r="G196" s="60" t="str">
        <f>IF('Indicadores x proyec'!H104/100&lt;&gt;0,'Indicadores x proyec'!H104/100,"-")</f>
        <v>-</v>
      </c>
      <c r="H196" s="58" t="str">
        <f>IF('Indicadores x proyec'!I104&lt;&gt;0,'Indicadores x proyec'!I104,"-")</f>
        <v>Anual</v>
      </c>
      <c r="I196" s="58" t="str">
        <f>IF('Indicadores x proyec'!J104&lt;&gt;0,'Indicadores x proyec'!J104,"-")</f>
        <v>-</v>
      </c>
      <c r="J196" s="33"/>
    </row>
    <row r="197" spans="1:10" ht="16.5" thickBot="1">
      <c r="A197" s="58">
        <v>8</v>
      </c>
      <c r="B197" s="59" t="str">
        <f>IF('20 Retribución social '!I11&lt;&gt;0,'20 Retribución social '!I11,"-")</f>
        <v>-</v>
      </c>
      <c r="C197" s="58" t="str">
        <f>IF('20 Retribución social '!R11&lt;&gt;0,'20 Retribución social '!R11,"-")</f>
        <v>-</v>
      </c>
      <c r="D197" s="58" t="str">
        <f>IF('20 Retribución social '!S11&lt;&gt;0,'20 Retribución social '!S11,"-")</f>
        <v>-</v>
      </c>
      <c r="E197" s="58" t="str">
        <f>IF('20 Retribución social '!T11&lt;&gt;0,'20 Retribución social '!T11,"-")</f>
        <v>-</v>
      </c>
      <c r="F197" s="58" t="str">
        <f>IF('20 Retribución social '!U11&lt;&gt;0,'20 Retribución social '!U11,"-")</f>
        <v>-</v>
      </c>
      <c r="G197" s="58" t="str">
        <f>IF('20 Retribución social '!V11&lt;&gt;0,'20 Retribución social '!V11,"-")</f>
        <v>-</v>
      </c>
      <c r="H197" s="58" t="str">
        <f>IF('20 Retribución social '!W11&lt;&gt;0,'20 Retribución social '!W11,"-")</f>
        <v>Anual</v>
      </c>
      <c r="I197" s="58" t="str">
        <f>IF('20 Retribución social '!X11&lt;&gt;0,'20 Retribución social '!X11,"-")</f>
        <v>-</v>
      </c>
      <c r="J197" s="33"/>
    </row>
    <row r="198" spans="1:10" ht="16.5" thickBot="1">
      <c r="A198" s="58">
        <v>9</v>
      </c>
      <c r="B198" s="59" t="str">
        <f>IF('20 Retribución social '!I12&lt;&gt;0,'20 Retribución social '!I12,"-")</f>
        <v>-</v>
      </c>
      <c r="C198" s="58" t="str">
        <f>IF('20 Retribución social '!R12&lt;&gt;0,'20 Retribución social '!R12,"-")</f>
        <v>-</v>
      </c>
      <c r="D198" s="58" t="str">
        <f>IF('20 Retribución social '!S12&lt;&gt;0,'20 Retribución social '!S12,"-")</f>
        <v>-</v>
      </c>
      <c r="E198" s="58" t="str">
        <f>IF('20 Retribución social '!T12&lt;&gt;0,'20 Retribución social '!T12,"-")</f>
        <v>-</v>
      </c>
      <c r="F198" s="58" t="str">
        <f>IF('20 Retribución social '!U12&lt;&gt;0,'20 Retribución social '!U12,"-")</f>
        <v>-</v>
      </c>
      <c r="G198" s="58" t="str">
        <f>IF('20 Retribución social '!V12&lt;&gt;0,'20 Retribución social '!V12,"-")</f>
        <v>-</v>
      </c>
      <c r="H198" s="58" t="str">
        <f>IF('20 Retribución social '!W12&lt;&gt;0,'20 Retribución social '!W12,"-")</f>
        <v>Anual</v>
      </c>
      <c r="I198" s="58" t="str">
        <f>IF('20 Retribución social '!X12&lt;&gt;0,'20 Retribución social '!X12,"-")</f>
        <v>-</v>
      </c>
      <c r="J198" s="33"/>
    </row>
    <row r="199" spans="1:10" ht="16.5" thickBot="1">
      <c r="A199" s="58">
        <v>10</v>
      </c>
      <c r="B199" s="59" t="str">
        <f>IF('20 Retribución social '!I13&lt;&gt;0,'20 Retribución social '!I13,"-")</f>
        <v>-</v>
      </c>
      <c r="C199" s="58" t="str">
        <f>IF('20 Retribución social '!R13&lt;&gt;0,'20 Retribución social '!R13,"-")</f>
        <v>-</v>
      </c>
      <c r="D199" s="58" t="str">
        <f>IF('20 Retribución social '!S13&lt;&gt;0,'20 Retribución social '!S13,"-")</f>
        <v>-</v>
      </c>
      <c r="E199" s="58" t="str">
        <f>IF('20 Retribución social '!T13&lt;&gt;0,'20 Retribución social '!T13,"-")</f>
        <v>-</v>
      </c>
      <c r="F199" s="58" t="str">
        <f>IF('20 Retribución social '!U13&lt;&gt;0,'20 Retribución social '!U13,"-")</f>
        <v>-</v>
      </c>
      <c r="G199" s="58" t="str">
        <f>IF('20 Retribución social '!V13&lt;&gt;0,'20 Retribución social '!V13,"-")</f>
        <v>-</v>
      </c>
      <c r="H199" s="58" t="str">
        <f>IF('20 Retribución social '!W13&lt;&gt;0,'20 Retribución social '!W13,"-")</f>
        <v>Anual</v>
      </c>
      <c r="I199" s="58" t="str">
        <f>IF('20 Retribución social '!X13&lt;&gt;0,'20 Retribución social '!X13,"-")</f>
        <v>-</v>
      </c>
      <c r="J199" s="33"/>
    </row>
    <row r="200" spans="1:10">
      <c r="A200" s="63"/>
      <c r="B200" s="82"/>
      <c r="C200" s="63"/>
      <c r="D200" s="63"/>
      <c r="E200" s="63"/>
      <c r="F200" s="63"/>
      <c r="G200" s="63"/>
      <c r="H200" s="63"/>
      <c r="I200" s="63"/>
      <c r="J200" s="63"/>
    </row>
    <row r="201" spans="1:10">
      <c r="A201" s="81"/>
      <c r="B201" s="72"/>
      <c r="C201" s="73"/>
      <c r="D201" s="73"/>
      <c r="E201" s="73"/>
      <c r="F201" s="73"/>
      <c r="G201" s="73"/>
      <c r="H201" s="73"/>
      <c r="I201" s="73"/>
      <c r="J201" s="73"/>
    </row>
    <row r="202" spans="1:10">
      <c r="A202" s="81"/>
      <c r="B202" s="72"/>
      <c r="C202" s="73"/>
      <c r="D202" s="73"/>
      <c r="E202" s="73"/>
      <c r="F202" s="73"/>
      <c r="G202" s="73"/>
      <c r="H202" s="73"/>
      <c r="I202" s="73"/>
      <c r="J202" s="73"/>
    </row>
    <row r="203" spans="1:10" ht="16.5">
      <c r="A203" s="133" t="s">
        <v>625</v>
      </c>
      <c r="B203" s="133"/>
      <c r="C203" s="133"/>
      <c r="D203" s="133"/>
      <c r="E203" s="133"/>
      <c r="F203" s="133"/>
      <c r="G203" s="133"/>
      <c r="H203" s="133"/>
      <c r="I203" s="133"/>
      <c r="J203" s="133"/>
    </row>
    <row r="204" spans="1:10">
      <c r="A204" s="134" t="s">
        <v>23</v>
      </c>
      <c r="B204" s="131" t="s">
        <v>24</v>
      </c>
      <c r="C204" s="131" t="s">
        <v>629</v>
      </c>
      <c r="D204" s="131">
        <v>2027</v>
      </c>
      <c r="E204" s="131">
        <v>2028</v>
      </c>
      <c r="F204" s="131">
        <v>2029</v>
      </c>
      <c r="G204" s="54" t="str">
        <f>TEXT($J$1,"mmmm")</f>
        <v>agosto</v>
      </c>
      <c r="H204" s="131" t="s">
        <v>25</v>
      </c>
      <c r="I204" s="131" t="s">
        <v>7</v>
      </c>
      <c r="J204" s="33"/>
    </row>
    <row r="205" spans="1:10" ht="16.5" thickBot="1">
      <c r="A205" s="135"/>
      <c r="B205" s="132"/>
      <c r="C205" s="132"/>
      <c r="D205" s="132"/>
      <c r="E205" s="132"/>
      <c r="F205" s="132"/>
      <c r="G205" s="55">
        <v>2030</v>
      </c>
      <c r="H205" s="132"/>
      <c r="I205" s="132"/>
      <c r="J205" s="33"/>
    </row>
    <row r="206" spans="1:10" ht="16.5" thickBot="1">
      <c r="A206" s="83">
        <v>1</v>
      </c>
      <c r="B206" s="86" t="str">
        <f>IF('21 Comunicación universitaria'!I3&lt;&gt;0,'21 Comunicación universitaria'!I3,"-")</f>
        <v>-</v>
      </c>
      <c r="C206" s="87" t="str">
        <f>IF('21 Comunicación universitaria'!R3&lt;&gt;0,'21 Comunicación universitaria'!R3,"-")</f>
        <v>-</v>
      </c>
      <c r="D206" s="87" t="str">
        <f>IF('21 Comunicación universitaria'!S3&lt;&gt;0,'21 Comunicación universitaria'!S3,"-")</f>
        <v>-</v>
      </c>
      <c r="E206" s="87" t="str">
        <f>IF('21 Comunicación universitaria'!T3&lt;&gt;0,'21 Comunicación universitaria'!T3,"-")</f>
        <v>-</v>
      </c>
      <c r="F206" s="87" t="str">
        <f>IF('21 Comunicación universitaria'!U3&lt;&gt;0,'21 Comunicación universitaria'!U3,"-")</f>
        <v>-</v>
      </c>
      <c r="G206" s="87" t="str">
        <f>IF('21 Comunicación universitaria'!V3&lt;&gt;0,'21 Comunicación universitaria'!V3,"-")</f>
        <v>-</v>
      </c>
      <c r="H206" s="87" t="str">
        <f>IF('21 Comunicación universitaria'!W3&lt;&gt;0,'21 Comunicación universitaria'!W3,"-")</f>
        <v xml:space="preserve">Anual </v>
      </c>
      <c r="I206" s="87" t="str">
        <f>IF('21 Comunicación universitaria'!X3&lt;&gt;0,'21 Comunicación universitaria'!X3,"-")</f>
        <v>-</v>
      </c>
      <c r="J206" s="33"/>
    </row>
    <row r="207" spans="1:10">
      <c r="A207" s="63"/>
      <c r="B207" s="71"/>
      <c r="C207" s="61"/>
      <c r="D207" s="61"/>
      <c r="E207" s="61"/>
      <c r="F207" s="61"/>
      <c r="G207" s="61"/>
      <c r="H207" s="61"/>
      <c r="I207" s="61"/>
      <c r="J207" s="61"/>
    </row>
    <row r="208" spans="1:10">
      <c r="A208" s="81"/>
      <c r="B208" s="72"/>
      <c r="C208" s="73"/>
      <c r="D208" s="73"/>
      <c r="E208" s="73"/>
      <c r="F208" s="73"/>
      <c r="G208" s="73"/>
      <c r="H208" s="73"/>
      <c r="I208" s="73"/>
      <c r="J208" s="73"/>
    </row>
    <row r="209" spans="1:13">
      <c r="A209" s="80"/>
      <c r="B209" s="68"/>
      <c r="C209" s="69"/>
      <c r="D209" s="69"/>
      <c r="E209" s="69"/>
      <c r="F209" s="69"/>
      <c r="G209" s="69"/>
      <c r="H209" s="69"/>
      <c r="I209" s="69"/>
      <c r="J209" s="69"/>
    </row>
    <row r="210" spans="1:13" ht="16.5">
      <c r="A210" s="133" t="s">
        <v>626</v>
      </c>
      <c r="B210" s="133"/>
      <c r="C210" s="133"/>
      <c r="D210" s="133"/>
      <c r="E210" s="133"/>
      <c r="F210" s="133"/>
      <c r="G210" s="133"/>
      <c r="H210" s="133"/>
      <c r="I210" s="133"/>
      <c r="J210" s="133"/>
    </row>
    <row r="211" spans="1:13">
      <c r="A211" s="134" t="s">
        <v>23</v>
      </c>
      <c r="B211" s="131" t="s">
        <v>24</v>
      </c>
      <c r="C211" s="131" t="s">
        <v>629</v>
      </c>
      <c r="D211" s="131">
        <v>2027</v>
      </c>
      <c r="E211" s="131">
        <v>2028</v>
      </c>
      <c r="F211" s="131">
        <v>2029</v>
      </c>
      <c r="G211" s="54" t="str">
        <f>TEXT($J$1,"mmmm")</f>
        <v>agosto</v>
      </c>
      <c r="H211" s="131" t="s">
        <v>25</v>
      </c>
      <c r="I211" s="131" t="s">
        <v>7</v>
      </c>
      <c r="J211" s="33"/>
    </row>
    <row r="212" spans="1:13" ht="16.5" thickBot="1">
      <c r="A212" s="135"/>
      <c r="B212" s="132"/>
      <c r="C212" s="132"/>
      <c r="D212" s="132"/>
      <c r="E212" s="132"/>
      <c r="F212" s="132"/>
      <c r="G212" s="55">
        <v>2030</v>
      </c>
      <c r="H212" s="132"/>
      <c r="I212" s="132"/>
      <c r="J212" s="33"/>
    </row>
    <row r="213" spans="1:13" ht="16.5" thickBot="1">
      <c r="A213" s="58">
        <v>1</v>
      </c>
      <c r="B213" s="70" t="str">
        <f>IF('22 Sostenibilidad ambiental '!I3&lt;&gt;0,'22 Sostenibilidad ambiental '!I3,"-")</f>
        <v>-</v>
      </c>
      <c r="C213" s="58" t="str">
        <f>IF('22 Sostenibilidad ambiental '!R3&lt;&gt;0,'22 Sostenibilidad ambiental '!R3,"-")</f>
        <v>-</v>
      </c>
      <c r="D213" s="58" t="str">
        <f>IF('22 Sostenibilidad ambiental '!S3&lt;&gt;0,'22 Sostenibilidad ambiental '!S3,"-")</f>
        <v>-</v>
      </c>
      <c r="E213" s="58" t="str">
        <f>IF('22 Sostenibilidad ambiental '!T3&lt;&gt;0,'22 Sostenibilidad ambiental '!T3,"-")</f>
        <v>-</v>
      </c>
      <c r="F213" s="58" t="str">
        <f>IF('22 Sostenibilidad ambiental '!U3&lt;&gt;0,'22 Sostenibilidad ambiental '!U3,"-")</f>
        <v>-</v>
      </c>
      <c r="G213" s="58" t="str">
        <f>IF('22 Sostenibilidad ambiental '!V3&lt;&gt;0,'22 Sostenibilidad ambiental '!V3,"-")</f>
        <v>-</v>
      </c>
      <c r="H213" s="58" t="str">
        <f>IF('22 Sostenibilidad ambiental '!W3&lt;&gt;0,'22 Sostenibilidad ambiental '!W3,"-")</f>
        <v>Anual</v>
      </c>
      <c r="I213" s="58" t="str">
        <f>IF('22 Sostenibilidad ambiental '!X3&lt;&gt;0,'22 Sostenibilidad ambiental '!X3,"-")</f>
        <v>-</v>
      </c>
      <c r="J213" s="33"/>
    </row>
    <row r="214" spans="1:13" ht="16.5" thickBot="1">
      <c r="A214" s="58">
        <v>2</v>
      </c>
      <c r="B214" s="70" t="str">
        <f>IF('22 Sostenibilidad ambiental '!I4&lt;&gt;0,'22 Sostenibilidad ambiental '!I4,"-")</f>
        <v>-</v>
      </c>
      <c r="C214" s="58" t="str">
        <f>IF('22 Sostenibilidad ambiental '!R4&lt;&gt;0,'22 Sostenibilidad ambiental '!R4,"-")</f>
        <v>-</v>
      </c>
      <c r="D214" s="58" t="str">
        <f>IF('22 Sostenibilidad ambiental '!S4&lt;&gt;0,'22 Sostenibilidad ambiental '!S4,"-")</f>
        <v>-</v>
      </c>
      <c r="E214" s="58" t="str">
        <f>IF('22 Sostenibilidad ambiental '!T4&lt;&gt;0,'22 Sostenibilidad ambiental '!T4,"-")</f>
        <v>-</v>
      </c>
      <c r="F214" s="58" t="str">
        <f>IF('22 Sostenibilidad ambiental '!U4&lt;&gt;0,'22 Sostenibilidad ambiental '!U4,"-")</f>
        <v>-</v>
      </c>
      <c r="G214" s="58" t="str">
        <f>IF('22 Sostenibilidad ambiental '!V4&lt;&gt;0,'22 Sostenibilidad ambiental '!V4,"-")</f>
        <v>-</v>
      </c>
      <c r="H214" s="58" t="str">
        <f>IF('22 Sostenibilidad ambiental '!W4&lt;&gt;0,'22 Sostenibilidad ambiental '!W4,"-")</f>
        <v>Anual</v>
      </c>
      <c r="I214" s="58" t="str">
        <f>IF('22 Sostenibilidad ambiental '!X4&lt;&gt;0,'22 Sostenibilidad ambiental '!X4,"-")</f>
        <v>-</v>
      </c>
      <c r="J214" s="33"/>
    </row>
    <row r="215" spans="1:13" ht="27.75" thickBot="1">
      <c r="A215" s="58">
        <v>3</v>
      </c>
      <c r="B215" s="70" t="str">
        <f>IF('22 Sostenibilidad ambiental '!I5&lt;&gt;0,'22 Sostenibilidad ambiental '!I5,"-")</f>
        <v>-</v>
      </c>
      <c r="C215" s="58" t="str">
        <f>IF('22 Sostenibilidad ambiental '!R5&lt;&gt;0,'22 Sostenibilidad ambiental '!R5,"-")</f>
        <v>-</v>
      </c>
      <c r="D215" s="58" t="str">
        <f>IF('22 Sostenibilidad ambiental '!S5&lt;&gt;0,'22 Sostenibilidad ambiental '!S5,"-")</f>
        <v>-</v>
      </c>
      <c r="E215" s="58" t="str">
        <f>IF('22 Sostenibilidad ambiental '!T5&lt;&gt;0,'22 Sostenibilidad ambiental '!T5,"-")</f>
        <v>-</v>
      </c>
      <c r="F215" s="58" t="str">
        <f>IF('22 Sostenibilidad ambiental '!U5&lt;&gt;0,'22 Sostenibilidad ambiental '!U5,"-")</f>
        <v>-</v>
      </c>
      <c r="G215" s="58" t="str">
        <f>IF('22 Sostenibilidad ambiental '!V5&lt;&gt;0,'22 Sostenibilidad ambiental '!V5,"-")</f>
        <v>-</v>
      </c>
      <c r="H215" s="58" t="str">
        <f>IF('22 Sostenibilidad ambiental '!W5&lt;&gt;0,'22 Sostenibilidad ambiental '!W5,"-")</f>
        <v>Anual</v>
      </c>
      <c r="I215" s="58" t="str">
        <f>IF('22 Sostenibilidad ambiental '!X5&lt;&gt;0,'22 Sostenibilidad ambiental '!X5,"-")</f>
        <v>-</v>
      </c>
      <c r="J215" s="33"/>
      <c r="K215" s="41"/>
      <c r="L215" s="41"/>
      <c r="M215" s="41"/>
    </row>
    <row r="216" spans="1:13" ht="16.5" thickBot="1">
      <c r="A216" s="58">
        <v>4</v>
      </c>
      <c r="B216" s="70" t="str">
        <f>IF('22 Sostenibilidad ambiental '!I6&lt;&gt;0,'22 Sostenibilidad ambiental '!I6,"-")</f>
        <v>-</v>
      </c>
      <c r="C216" s="58" t="str">
        <f>IF('22 Sostenibilidad ambiental '!R6&lt;&gt;0,'22 Sostenibilidad ambiental '!R6,"-")</f>
        <v>-</v>
      </c>
      <c r="D216" s="58" t="str">
        <f>IF('22 Sostenibilidad ambiental '!S6&lt;&gt;0,'22 Sostenibilidad ambiental '!S6,"-")</f>
        <v>-</v>
      </c>
      <c r="E216" s="58" t="str">
        <f>IF('22 Sostenibilidad ambiental '!T6&lt;&gt;0,'22 Sostenibilidad ambiental '!T6,"-")</f>
        <v>-</v>
      </c>
      <c r="F216" s="58" t="str">
        <f>IF('22 Sostenibilidad ambiental '!U6&lt;&gt;0,'22 Sostenibilidad ambiental '!U6,"-")</f>
        <v>-</v>
      </c>
      <c r="G216" s="58" t="str">
        <f>IF('22 Sostenibilidad ambiental '!V6&lt;&gt;0,'22 Sostenibilidad ambiental '!V6,"-")</f>
        <v>-</v>
      </c>
      <c r="H216" s="58" t="str">
        <f>IF('22 Sostenibilidad ambiental '!W6&lt;&gt;0,'22 Sostenibilidad ambiental '!W6,"-")</f>
        <v>Anual</v>
      </c>
      <c r="I216" s="58" t="str">
        <f>IF('22 Sostenibilidad ambiental '!X6&lt;&gt;0,'22 Sostenibilidad ambiental '!X6,"-")</f>
        <v>-</v>
      </c>
      <c r="J216" s="33"/>
    </row>
    <row r="217" spans="1:13" ht="16.5" thickBot="1">
      <c r="A217" s="58">
        <v>5</v>
      </c>
      <c r="B217" s="70" t="str">
        <f>IF('22 Sostenibilidad ambiental '!I7&lt;&gt;0,'22 Sostenibilidad ambiental '!I7,"-")</f>
        <v>-</v>
      </c>
      <c r="C217" s="58" t="str">
        <f>IF('22 Sostenibilidad ambiental '!R7&lt;&gt;0,'22 Sostenibilidad ambiental '!R7,"-")</f>
        <v>-</v>
      </c>
      <c r="D217" s="58" t="str">
        <f>IF('22 Sostenibilidad ambiental '!S7&lt;&gt;0,'22 Sostenibilidad ambiental '!S7,"-")</f>
        <v>-</v>
      </c>
      <c r="E217" s="58" t="str">
        <f>IF('22 Sostenibilidad ambiental '!T7&lt;&gt;0,'22 Sostenibilidad ambiental '!T7,"-")</f>
        <v>-</v>
      </c>
      <c r="F217" s="58" t="str">
        <f>IF('22 Sostenibilidad ambiental '!U7&lt;&gt;0,'22 Sostenibilidad ambiental '!U7,"-")</f>
        <v>-</v>
      </c>
      <c r="G217" s="58" t="str">
        <f>IF('22 Sostenibilidad ambiental '!V7&lt;&gt;0,'22 Sostenibilidad ambiental '!V7,"-")</f>
        <v>-</v>
      </c>
      <c r="H217" s="58" t="str">
        <f>IF('22 Sostenibilidad ambiental '!W7&lt;&gt;0,'22 Sostenibilidad ambiental '!W7,"-")</f>
        <v>Anual</v>
      </c>
      <c r="I217" s="58" t="str">
        <f>IF('22 Sostenibilidad ambiental '!X7&lt;&gt;0,'22 Sostenibilidad ambiental '!X7,"-")</f>
        <v>-</v>
      </c>
      <c r="J217" s="33"/>
    </row>
    <row r="218" spans="1:13" ht="16.5" thickBot="1">
      <c r="A218" s="58">
        <v>6</v>
      </c>
      <c r="B218" s="70" t="str">
        <f>IF('22 Sostenibilidad ambiental '!I8&lt;&gt;0,'22 Sostenibilidad ambiental '!I8,"-")</f>
        <v>-</v>
      </c>
      <c r="C218" s="58" t="str">
        <f>IF('22 Sostenibilidad ambiental '!R8&lt;&gt;0,'22 Sostenibilidad ambiental '!R8,"-")</f>
        <v>-</v>
      </c>
      <c r="D218" s="58" t="str">
        <f>IF('22 Sostenibilidad ambiental '!S8&lt;&gt;0,'22 Sostenibilidad ambiental '!S8,"-")</f>
        <v>-</v>
      </c>
      <c r="E218" s="58" t="str">
        <f>IF('22 Sostenibilidad ambiental '!T8&lt;&gt;0,'22 Sostenibilidad ambiental '!T8,"-")</f>
        <v>-</v>
      </c>
      <c r="F218" s="58" t="str">
        <f>IF('22 Sostenibilidad ambiental '!U8&lt;&gt;0,'22 Sostenibilidad ambiental '!U8,"-")</f>
        <v>-</v>
      </c>
      <c r="G218" s="58" t="str">
        <f>IF('22 Sostenibilidad ambiental '!V8&lt;&gt;0,'22 Sostenibilidad ambiental '!V8,"-")</f>
        <v>-</v>
      </c>
      <c r="H218" s="58" t="str">
        <f>IF('22 Sostenibilidad ambiental '!W8&lt;&gt;0,'22 Sostenibilidad ambiental '!W8,"-")</f>
        <v>Anual</v>
      </c>
      <c r="I218" s="58" t="str">
        <f>IF('22 Sostenibilidad ambiental '!X8&lt;&gt;0,'22 Sostenibilidad ambiental '!X8,"-")</f>
        <v>-</v>
      </c>
      <c r="J218" s="33"/>
    </row>
    <row r="219" spans="1:13" ht="16.5" thickBot="1">
      <c r="A219" s="58">
        <v>7</v>
      </c>
      <c r="B219" s="70" t="str">
        <f>IF('22 Sostenibilidad ambiental '!I9&lt;&gt;0,'22 Sostenibilidad ambiental '!I9,"-")</f>
        <v>-</v>
      </c>
      <c r="C219" s="58" t="str">
        <f>IF('22 Sostenibilidad ambiental '!R9&lt;&gt;0,'22 Sostenibilidad ambiental '!R9,"-")</f>
        <v>-</v>
      </c>
      <c r="D219" s="58" t="str">
        <f>IF('22 Sostenibilidad ambiental '!S9&lt;&gt;0,'22 Sostenibilidad ambiental '!S9,"-")</f>
        <v>-</v>
      </c>
      <c r="E219" s="58" t="str">
        <f>IF('22 Sostenibilidad ambiental '!T9&lt;&gt;0,'22 Sostenibilidad ambiental '!T9,"-")</f>
        <v>-</v>
      </c>
      <c r="F219" s="58" t="str">
        <f>IF('22 Sostenibilidad ambiental '!U9&lt;&gt;0,'22 Sostenibilidad ambiental '!U9,"-")</f>
        <v>-</v>
      </c>
      <c r="G219" s="58" t="str">
        <f>IF('22 Sostenibilidad ambiental '!V9&lt;&gt;0,'22 Sostenibilidad ambiental '!V9,"-")</f>
        <v>-</v>
      </c>
      <c r="H219" s="58" t="str">
        <f>IF('22 Sostenibilidad ambiental '!W9&lt;&gt;0,'22 Sostenibilidad ambiental '!W9,"-")</f>
        <v>Anual</v>
      </c>
      <c r="I219" s="58" t="str">
        <f>IF('22 Sostenibilidad ambiental '!X9&lt;&gt;0,'22 Sostenibilidad ambiental '!X9,"-")</f>
        <v>-</v>
      </c>
      <c r="J219" s="33"/>
    </row>
    <row r="220" spans="1:13" ht="16.5" thickBot="1">
      <c r="A220" s="58">
        <v>8</v>
      </c>
      <c r="B220" s="70" t="str">
        <f>IF('22 Sostenibilidad ambiental '!I10&lt;&gt;0,'22 Sostenibilidad ambiental '!I10,"-")</f>
        <v>-</v>
      </c>
      <c r="C220" s="58" t="str">
        <f>IF('22 Sostenibilidad ambiental '!R10&lt;&gt;0,'22 Sostenibilidad ambiental '!R10,"-")</f>
        <v>-</v>
      </c>
      <c r="D220" s="58" t="str">
        <f>IF('22 Sostenibilidad ambiental '!S10&lt;&gt;0,'22 Sostenibilidad ambiental '!S10,"-")</f>
        <v>-</v>
      </c>
      <c r="E220" s="58" t="str">
        <f>IF('22 Sostenibilidad ambiental '!T10&lt;&gt;0,'22 Sostenibilidad ambiental '!T10,"-")</f>
        <v>-</v>
      </c>
      <c r="F220" s="58" t="str">
        <f>IF('22 Sostenibilidad ambiental '!U10&lt;&gt;0,'22 Sostenibilidad ambiental '!U10,"-")</f>
        <v>-</v>
      </c>
      <c r="G220" s="58" t="str">
        <f>IF('22 Sostenibilidad ambiental '!V10&lt;&gt;0,'22 Sostenibilidad ambiental '!V10,"-")</f>
        <v>-</v>
      </c>
      <c r="H220" s="58" t="str">
        <f>IF('22 Sostenibilidad ambiental '!W10&lt;&gt;0,'22 Sostenibilidad ambiental '!W10,"-")</f>
        <v>Anual</v>
      </c>
      <c r="I220" s="58" t="str">
        <f>IF('22 Sostenibilidad ambiental '!X10&lt;&gt;0,'22 Sostenibilidad ambiental '!X10,"-")</f>
        <v>-</v>
      </c>
      <c r="J220" s="33"/>
    </row>
    <row r="221" spans="1:13" ht="16.5" thickBot="1">
      <c r="A221" s="58">
        <v>9</v>
      </c>
      <c r="B221" s="70" t="str">
        <f>IF('22 Sostenibilidad ambiental '!I11&lt;&gt;0,'22 Sostenibilidad ambiental '!I11,"-")</f>
        <v>-</v>
      </c>
      <c r="C221" s="58" t="str">
        <f>IF('22 Sostenibilidad ambiental '!R11&lt;&gt;0,'22 Sostenibilidad ambiental '!R11,"-")</f>
        <v>-</v>
      </c>
      <c r="D221" s="58" t="str">
        <f>IF('22 Sostenibilidad ambiental '!S11&lt;&gt;0,'22 Sostenibilidad ambiental '!S11,"-")</f>
        <v>-</v>
      </c>
      <c r="E221" s="58" t="str">
        <f>IF('22 Sostenibilidad ambiental '!T11&lt;&gt;0,'22 Sostenibilidad ambiental '!T11,"-")</f>
        <v>-</v>
      </c>
      <c r="F221" s="58" t="str">
        <f>IF('22 Sostenibilidad ambiental '!U11&lt;&gt;0,'22 Sostenibilidad ambiental '!U11,"-")</f>
        <v>-</v>
      </c>
      <c r="G221" s="58" t="str">
        <f>IF('22 Sostenibilidad ambiental '!V11&lt;&gt;0,'22 Sostenibilidad ambiental '!V11,"-")</f>
        <v>-</v>
      </c>
      <c r="H221" s="58" t="str">
        <f>IF('22 Sostenibilidad ambiental '!W11&lt;&gt;0,'22 Sostenibilidad ambiental '!W11,"-")</f>
        <v>Anual</v>
      </c>
      <c r="I221" s="58" t="str">
        <f>IF('22 Sostenibilidad ambiental '!X11&lt;&gt;0,'22 Sostenibilidad ambiental '!X11,"-")</f>
        <v>-</v>
      </c>
      <c r="J221" s="33"/>
    </row>
    <row r="222" spans="1:13" ht="16.5" thickBot="1">
      <c r="A222" s="58">
        <v>10</v>
      </c>
      <c r="B222" s="70" t="str">
        <f>IF('22 Sostenibilidad ambiental '!I12&lt;&gt;0,'22 Sostenibilidad ambiental '!I12,"-")</f>
        <v>-</v>
      </c>
      <c r="C222" s="58" t="str">
        <f>IF('22 Sostenibilidad ambiental '!R12&lt;&gt;0,'22 Sostenibilidad ambiental '!R12,"-")</f>
        <v>-</v>
      </c>
      <c r="D222" s="58" t="str">
        <f>IF('22 Sostenibilidad ambiental '!S12&lt;&gt;0,'22 Sostenibilidad ambiental '!S12,"-")</f>
        <v>-</v>
      </c>
      <c r="E222" s="58" t="str">
        <f>IF('22 Sostenibilidad ambiental '!T12&lt;&gt;0,'22 Sostenibilidad ambiental '!T12,"-")</f>
        <v>-</v>
      </c>
      <c r="F222" s="58" t="str">
        <f>IF('22 Sostenibilidad ambiental '!U12&lt;&gt;0,'22 Sostenibilidad ambiental '!U12,"-")</f>
        <v>-</v>
      </c>
      <c r="G222" s="58" t="str">
        <f>IF('22 Sostenibilidad ambiental '!V12&lt;&gt;0,'22 Sostenibilidad ambiental '!V12,"-")</f>
        <v>-</v>
      </c>
      <c r="H222" s="58" t="str">
        <f>IF('22 Sostenibilidad ambiental '!W12&lt;&gt;0,'22 Sostenibilidad ambiental '!W12,"-")</f>
        <v>Anual</v>
      </c>
      <c r="I222" s="58" t="str">
        <f>IF('22 Sostenibilidad ambiental '!X12&lt;&gt;0,'22 Sostenibilidad ambiental '!X12,"-")</f>
        <v>-</v>
      </c>
      <c r="J222" s="33"/>
    </row>
    <row r="223" spans="1:13" ht="16.5" thickBot="1">
      <c r="A223" s="58">
        <v>11</v>
      </c>
      <c r="B223" s="70" t="str">
        <f>IF('22 Sostenibilidad ambiental '!I13&lt;&gt;0,'22 Sostenibilidad ambiental '!I13,"-")</f>
        <v>-</v>
      </c>
      <c r="C223" s="58" t="str">
        <f>IF('22 Sostenibilidad ambiental '!R13&lt;&gt;0,'22 Sostenibilidad ambiental '!R13,"-")</f>
        <v>-</v>
      </c>
      <c r="D223" s="58" t="str">
        <f>IF('22 Sostenibilidad ambiental '!S13&lt;&gt;0,'22 Sostenibilidad ambiental '!S13,"-")</f>
        <v>-</v>
      </c>
      <c r="E223" s="58" t="str">
        <f>IF('22 Sostenibilidad ambiental '!T13&lt;&gt;0,'22 Sostenibilidad ambiental '!T13,"-")</f>
        <v>-</v>
      </c>
      <c r="F223" s="58" t="str">
        <f>IF('22 Sostenibilidad ambiental '!U13&lt;&gt;0,'22 Sostenibilidad ambiental '!U13,"-")</f>
        <v>-</v>
      </c>
      <c r="G223" s="58" t="str">
        <f>IF('22 Sostenibilidad ambiental '!V13&lt;&gt;0,'22 Sostenibilidad ambiental '!V13,"-")</f>
        <v>-</v>
      </c>
      <c r="H223" s="58" t="str">
        <f>IF('22 Sostenibilidad ambiental '!W13&lt;&gt;0,'22 Sostenibilidad ambiental '!W13,"-")</f>
        <v>Anual</v>
      </c>
      <c r="I223" s="58" t="str">
        <f>IF('22 Sostenibilidad ambiental '!X13&lt;&gt;0,'22 Sostenibilidad ambiental '!X13,"-")</f>
        <v>-</v>
      </c>
      <c r="J223" s="33"/>
    </row>
    <row r="224" spans="1:13" ht="16.5" thickBot="1">
      <c r="A224" s="58">
        <v>12</v>
      </c>
      <c r="B224" s="70" t="str">
        <f>IF('22 Sostenibilidad ambiental '!I14&lt;&gt;0,'22 Sostenibilidad ambiental '!I14,"-")</f>
        <v>-</v>
      </c>
      <c r="C224" s="58" t="str">
        <f>IF('22 Sostenibilidad ambiental '!R14&lt;&gt;0,'22 Sostenibilidad ambiental '!R14,"-")</f>
        <v>-</v>
      </c>
      <c r="D224" s="58" t="str">
        <f>IF('22 Sostenibilidad ambiental '!S14&lt;&gt;0,'22 Sostenibilidad ambiental '!S14,"-")</f>
        <v>-</v>
      </c>
      <c r="E224" s="58" t="str">
        <f>IF('22 Sostenibilidad ambiental '!T14&lt;&gt;0,'22 Sostenibilidad ambiental '!T14,"-")</f>
        <v>-</v>
      </c>
      <c r="F224" s="58" t="str">
        <f>IF('22 Sostenibilidad ambiental '!U14&lt;&gt;0,'22 Sostenibilidad ambiental '!U14,"-")</f>
        <v>-</v>
      </c>
      <c r="G224" s="58" t="str">
        <f>IF('22 Sostenibilidad ambiental '!V14&lt;&gt;0,'22 Sostenibilidad ambiental '!V14,"-")</f>
        <v>-</v>
      </c>
      <c r="H224" s="58" t="str">
        <f>IF('22 Sostenibilidad ambiental '!W14&lt;&gt;0,'22 Sostenibilidad ambiental '!W14,"-")</f>
        <v>Anual</v>
      </c>
      <c r="I224" s="58" t="str">
        <f>IF('22 Sostenibilidad ambiental '!X14&lt;&gt;0,'22 Sostenibilidad ambiental '!X14,"-")</f>
        <v>-</v>
      </c>
      <c r="J224" s="33"/>
    </row>
  </sheetData>
  <sheetProtection algorithmName="SHA-512" hashValue="eQ8ZqslFzfMu7fDPQS9TmSRV5hdcZ6PVdWCXRvJP253HgNigjsEqp/dwUt/v8pm2hMNdmjL/d5MvAqZwZcUmyw==" saltValue="2/odgTKXM8t0v03lNVMpXQ==" spinCount="100000" sheet="1" formatCells="0" formatColumns="0" formatRows="0"/>
  <mergeCells count="164">
    <mergeCell ref="F1:I1"/>
    <mergeCell ref="A4:J4"/>
    <mergeCell ref="A5:J5"/>
    <mergeCell ref="A6:A7"/>
    <mergeCell ref="B6:B7"/>
    <mergeCell ref="C6:C7"/>
    <mergeCell ref="D6:D7"/>
    <mergeCell ref="E6:E7"/>
    <mergeCell ref="H6:H7"/>
    <mergeCell ref="I6:I7"/>
    <mergeCell ref="F6:F7"/>
    <mergeCell ref="A70:A71"/>
    <mergeCell ref="B70:B71"/>
    <mergeCell ref="C70:C71"/>
    <mergeCell ref="D70:D71"/>
    <mergeCell ref="E70:E71"/>
    <mergeCell ref="H70:H71"/>
    <mergeCell ref="I70:I71"/>
    <mergeCell ref="A78:A79"/>
    <mergeCell ref="B78:B79"/>
    <mergeCell ref="C78:C79"/>
    <mergeCell ref="D78:D79"/>
    <mergeCell ref="E78:E79"/>
    <mergeCell ref="H78:H79"/>
    <mergeCell ref="I78:I79"/>
    <mergeCell ref="F70:F71"/>
    <mergeCell ref="F78:F79"/>
    <mergeCell ref="A153:J153"/>
    <mergeCell ref="A174:J174"/>
    <mergeCell ref="I140:I141"/>
    <mergeCell ref="F140:F141"/>
    <mergeCell ref="A115:A116"/>
    <mergeCell ref="B115:B116"/>
    <mergeCell ref="C115:C116"/>
    <mergeCell ref="D115:D116"/>
    <mergeCell ref="E115:E116"/>
    <mergeCell ref="H115:H116"/>
    <mergeCell ref="I115:I116"/>
    <mergeCell ref="A124:A125"/>
    <mergeCell ref="B124:B125"/>
    <mergeCell ref="C124:C125"/>
    <mergeCell ref="D124:D125"/>
    <mergeCell ref="E124:E125"/>
    <mergeCell ref="H124:H125"/>
    <mergeCell ref="I124:I125"/>
    <mergeCell ref="A132:A133"/>
    <mergeCell ref="B132:B133"/>
    <mergeCell ref="C132:C133"/>
    <mergeCell ref="D132:D133"/>
    <mergeCell ref="E132:E133"/>
    <mergeCell ref="H132:H133"/>
    <mergeCell ref="A140:A141"/>
    <mergeCell ref="B140:B141"/>
    <mergeCell ref="C140:C141"/>
    <mergeCell ref="D140:D141"/>
    <mergeCell ref="E140:E141"/>
    <mergeCell ref="H140:H141"/>
    <mergeCell ref="A139:J139"/>
    <mergeCell ref="I154:I155"/>
    <mergeCell ref="A161:A162"/>
    <mergeCell ref="B161:B162"/>
    <mergeCell ref="C161:C162"/>
    <mergeCell ref="D161:D162"/>
    <mergeCell ref="E161:E162"/>
    <mergeCell ref="H161:H162"/>
    <mergeCell ref="I161:I162"/>
    <mergeCell ref="F154:F155"/>
    <mergeCell ref="F161:F162"/>
    <mergeCell ref="A160:J160"/>
    <mergeCell ref="A154:A155"/>
    <mergeCell ref="B154:B155"/>
    <mergeCell ref="C154:C155"/>
    <mergeCell ref="D154:D155"/>
    <mergeCell ref="E154:E155"/>
    <mergeCell ref="H154:H155"/>
    <mergeCell ref="A204:A205"/>
    <mergeCell ref="B204:B205"/>
    <mergeCell ref="C204:C205"/>
    <mergeCell ref="D204:D205"/>
    <mergeCell ref="E204:E205"/>
    <mergeCell ref="H204:H205"/>
    <mergeCell ref="I204:I205"/>
    <mergeCell ref="A211:A212"/>
    <mergeCell ref="B211:B212"/>
    <mergeCell ref="C211:C212"/>
    <mergeCell ref="D211:D212"/>
    <mergeCell ref="E211:E212"/>
    <mergeCell ref="H211:H212"/>
    <mergeCell ref="I211:I212"/>
    <mergeCell ref="A210:J210"/>
    <mergeCell ref="F204:F205"/>
    <mergeCell ref="F211:F212"/>
    <mergeCell ref="A36:J36"/>
    <mergeCell ref="A37:A38"/>
    <mergeCell ref="B37:B38"/>
    <mergeCell ref="C37:C38"/>
    <mergeCell ref="D37:D38"/>
    <mergeCell ref="E37:E38"/>
    <mergeCell ref="H37:H38"/>
    <mergeCell ref="I37:I38"/>
    <mergeCell ref="F37:F38"/>
    <mergeCell ref="A49:J49"/>
    <mergeCell ref="A62:J62"/>
    <mergeCell ref="A69:J69"/>
    <mergeCell ref="A77:J77"/>
    <mergeCell ref="A88:J88"/>
    <mergeCell ref="A99:J99"/>
    <mergeCell ref="A50:A51"/>
    <mergeCell ref="B50:B51"/>
    <mergeCell ref="C50:C51"/>
    <mergeCell ref="D50:D51"/>
    <mergeCell ref="E50:E51"/>
    <mergeCell ref="H50:H51"/>
    <mergeCell ref="I50:I51"/>
    <mergeCell ref="A63:A64"/>
    <mergeCell ref="B63:B64"/>
    <mergeCell ref="C63:C64"/>
    <mergeCell ref="D63:D64"/>
    <mergeCell ref="E63:E64"/>
    <mergeCell ref="H63:H64"/>
    <mergeCell ref="I63:I64"/>
    <mergeCell ref="A89:A90"/>
    <mergeCell ref="B89:B90"/>
    <mergeCell ref="F50:F51"/>
    <mergeCell ref="F63:F64"/>
    <mergeCell ref="A187:J187"/>
    <mergeCell ref="A203:J203"/>
    <mergeCell ref="A175:A176"/>
    <mergeCell ref="B175:B176"/>
    <mergeCell ref="C175:C176"/>
    <mergeCell ref="D175:D176"/>
    <mergeCell ref="E175:E176"/>
    <mergeCell ref="H175:H176"/>
    <mergeCell ref="I175:I176"/>
    <mergeCell ref="A188:A189"/>
    <mergeCell ref="B188:B189"/>
    <mergeCell ref="C188:C189"/>
    <mergeCell ref="D188:D189"/>
    <mergeCell ref="E188:E189"/>
    <mergeCell ref="H188:H189"/>
    <mergeCell ref="I188:I189"/>
    <mergeCell ref="F175:F176"/>
    <mergeCell ref="F188:F189"/>
    <mergeCell ref="F115:F116"/>
    <mergeCell ref="F124:F125"/>
    <mergeCell ref="F132:F133"/>
    <mergeCell ref="A114:J114"/>
    <mergeCell ref="A123:J123"/>
    <mergeCell ref="A131:J131"/>
    <mergeCell ref="I132:I133"/>
    <mergeCell ref="C89:C90"/>
    <mergeCell ref="D89:D90"/>
    <mergeCell ref="E89:E90"/>
    <mergeCell ref="H89:H90"/>
    <mergeCell ref="I89:I90"/>
    <mergeCell ref="A100:A101"/>
    <mergeCell ref="B100:B101"/>
    <mergeCell ref="C100:C101"/>
    <mergeCell ref="D100:D101"/>
    <mergeCell ref="E100:E101"/>
    <mergeCell ref="H100:H101"/>
    <mergeCell ref="I100:I101"/>
    <mergeCell ref="F89:F90"/>
    <mergeCell ref="F100:F101"/>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9DCB-7600-4108-B4E5-6DEE5E95BA85}">
  <sheetPr>
    <tabColor theme="7" tint="0.39997558519241921"/>
  </sheetPr>
  <dimension ref="A1:Q2"/>
  <sheetViews>
    <sheetView workbookViewId="0">
      <selection activeCell="K3" sqref="K3"/>
    </sheetView>
  </sheetViews>
  <sheetFormatPr baseColWidth="10" defaultRowHeight="15"/>
  <cols>
    <col min="1" max="1" width="24.28515625" customWidth="1"/>
    <col min="2" max="2" width="14.28515625" customWidth="1"/>
    <col min="3" max="3" width="17.85546875" customWidth="1"/>
    <col min="4" max="4" width="30.140625" customWidth="1"/>
    <col min="5" max="5" width="30.5703125" customWidth="1"/>
    <col min="16" max="16" width="18" customWidth="1"/>
    <col min="17" max="17" width="28.28515625" customWidth="1"/>
  </cols>
  <sheetData>
    <row r="1" spans="1:17" s="102" customFormat="1" ht="18" customHeight="1">
      <c r="A1" s="255" t="s">
        <v>461</v>
      </c>
      <c r="B1" s="256" t="s">
        <v>1</v>
      </c>
      <c r="C1" s="255" t="s">
        <v>2</v>
      </c>
      <c r="D1" s="257" t="s">
        <v>462</v>
      </c>
      <c r="E1" s="257" t="s">
        <v>463</v>
      </c>
      <c r="F1" s="258"/>
      <c r="G1" s="258"/>
      <c r="H1" s="258"/>
      <c r="I1" s="258"/>
      <c r="J1" s="259"/>
      <c r="K1" s="260"/>
      <c r="L1" s="260"/>
      <c r="M1" s="260"/>
      <c r="N1" s="260"/>
      <c r="O1" s="261"/>
      <c r="P1" s="255" t="s">
        <v>6</v>
      </c>
      <c r="Q1" s="255" t="s">
        <v>7</v>
      </c>
    </row>
    <row r="2" spans="1:17" s="102" customFormat="1" ht="30.75" customHeight="1">
      <c r="A2" s="255"/>
      <c r="B2" s="256"/>
      <c r="C2" s="255"/>
      <c r="D2" s="257"/>
      <c r="E2" s="257"/>
      <c r="F2" s="101" t="s">
        <v>629</v>
      </c>
      <c r="G2" s="101">
        <v>2027</v>
      </c>
      <c r="H2" s="101">
        <v>2028</v>
      </c>
      <c r="I2" s="101">
        <v>2029</v>
      </c>
      <c r="J2" s="101">
        <v>2030</v>
      </c>
      <c r="K2" s="103" t="s">
        <v>629</v>
      </c>
      <c r="L2" s="103">
        <v>2027</v>
      </c>
      <c r="M2" s="103">
        <v>2028</v>
      </c>
      <c r="N2" s="103">
        <v>2029</v>
      </c>
      <c r="O2" s="103">
        <v>2030</v>
      </c>
      <c r="P2" s="255"/>
      <c r="Q2" s="255"/>
    </row>
  </sheetData>
  <mergeCells count="9">
    <mergeCell ref="A1:A2"/>
    <mergeCell ref="P1:P2"/>
    <mergeCell ref="Q1:Q2"/>
    <mergeCell ref="B1:B2"/>
    <mergeCell ref="C1:C2"/>
    <mergeCell ref="D1:D2"/>
    <mergeCell ref="E1:E2"/>
    <mergeCell ref="F1:J1"/>
    <mergeCell ref="K1:O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15CE8D4EE593409BDCE415CE32770F" ma:contentTypeVersion="4" ma:contentTypeDescription="Create a new document." ma:contentTypeScope="" ma:versionID="1141aab4366d9f2f8b93940be8aef0e3">
  <xsd:schema xmlns:xsd="http://www.w3.org/2001/XMLSchema" xmlns:xs="http://www.w3.org/2001/XMLSchema" xmlns:p="http://schemas.microsoft.com/office/2006/metadata/properties" xmlns:ns2="826b5299-3477-45c0-9bb9-f2248f77d05e" targetNamespace="http://schemas.microsoft.com/office/2006/metadata/properties" ma:root="true" ma:fieldsID="f6c9999e3e96f55249ddaaa059398729" ns2:_="">
    <xsd:import namespace="826b5299-3477-45c0-9bb9-f2248f77d05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6b5299-3477-45c0-9bb9-f2248f77d0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2C18B6-D4B4-4AE2-B12D-13A59A58CA5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F36C623-9015-4322-B164-5C16E91A11DC}">
  <ds:schemaRefs>
    <ds:schemaRef ds:uri="http://schemas.microsoft.com/sharepoint/v3/contenttype/forms"/>
  </ds:schemaRefs>
</ds:datastoreItem>
</file>

<file path=customXml/itemProps3.xml><?xml version="1.0" encoding="utf-8"?>
<ds:datastoreItem xmlns:ds="http://schemas.openxmlformats.org/officeDocument/2006/customXml" ds:itemID="{A52DB22A-E13B-4B14-82A3-84F1433996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6b5299-3477-45c0-9bb9-f2248f77d0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2 EstudiantadoEstProf</vt:lpstr>
      <vt:lpstr>Hoja1</vt:lpstr>
      <vt:lpstr>3 Est avanzados excelencia</vt:lpstr>
      <vt:lpstr>4 Investigación abierta</vt:lpstr>
      <vt:lpstr>5 Innovación, desarrollo tec</vt:lpstr>
      <vt:lpstr>6 Dif y divulga de la ciencia</vt:lpstr>
      <vt:lpstr>7 Cultura desarrollo integral</vt:lpstr>
      <vt:lpstr>8 Deporte universitario</vt:lpstr>
      <vt:lpstr>9 Fortalecimiento docente</vt:lpstr>
      <vt:lpstr>10 Dignificación las y los trab</vt:lpstr>
      <vt:lpstr>11 Gestión administrativa</vt:lpstr>
      <vt:lpstr>12 Fortalecimiento tecnológico</vt:lpstr>
      <vt:lpstr>13 Gobernanza</vt:lpstr>
      <vt:lpstr>16 Manejo recursos universitari</vt:lpstr>
      <vt:lpstr>18 Reconocimiento de la diversi</vt:lpstr>
      <vt:lpstr>19 Constr cultura de paz </vt:lpstr>
      <vt:lpstr>20 Retribución social </vt:lpstr>
      <vt:lpstr>21 Comunicación universitaria</vt:lpstr>
      <vt:lpstr>22 Sostenibilidad ambiental </vt:lpstr>
      <vt:lpstr>Indicadores x proyec</vt:lpstr>
      <vt:lpstr>Apertura programática</vt:lpstr>
      <vt:lpstr>Metas adicionales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Ana Lorena Maya Gomez</cp:lastModifiedBy>
  <cp:revision/>
  <cp:lastPrinted>2026-03-23T17:42:29Z</cp:lastPrinted>
  <dcterms:created xsi:type="dcterms:W3CDTF">2021-09-21T23:50:05Z</dcterms:created>
  <dcterms:modified xsi:type="dcterms:W3CDTF">2026-09-22T17:20:16Z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0x0101005315CE8D4EE593409BDCE415CE32770F</vt:lpwstr>
  </property>
</Properties>
</file>