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yectos\plataformaFI\Plan\"/>
    </mc:Choice>
  </mc:AlternateContent>
  <xr:revisionPtr revIDLastSave="0" documentId="13_ncr:1_{20A602C1-E543-43DA-9DEF-F76895CA9BDA}" xr6:coauthVersionLast="47" xr6:coauthVersionMax="47" xr10:uidLastSave="{00000000-0000-0000-0000-000000000000}"/>
  <bookViews>
    <workbookView xWindow="-28920" yWindow="-120" windowWidth="29040" windowHeight="15720" tabRatio="732" firstSheet="13" activeTab="15" xr2:uid="{00000000-000D-0000-FFFF-FFFF00000000}"/>
  </bookViews>
  <sheets>
    <sheet name="2 EstudiantadoEstProf" sheetId="1" r:id="rId1"/>
    <sheet name="Hoja1" sheetId="2" state="hidden" r:id="rId2"/>
    <sheet name="3 Est avanzados excelencia" sheetId="3" r:id="rId3"/>
    <sheet name="4 Investigación abierta" sheetId="4" r:id="rId4"/>
    <sheet name="5 Innovación, desarrollo tec" sheetId="5" r:id="rId5"/>
    <sheet name="6 Dif y divulga de la ciencia" sheetId="6" r:id="rId6"/>
    <sheet name="7 Cultura desarrollo integral" sheetId="7" r:id="rId7"/>
    <sheet name="8 Deporte universitario" sheetId="8" r:id="rId8"/>
    <sheet name="9 Fortalecimiento docente" sheetId="9" r:id="rId9"/>
    <sheet name="10 Dignificación las y los trab" sheetId="10" r:id="rId10"/>
    <sheet name="11 Gestión administrativa" sheetId="11" r:id="rId11"/>
    <sheet name="12 Fortalecimiento tecnológico" sheetId="12" r:id="rId12"/>
    <sheet name="13 Gobernanza" sheetId="13" r:id="rId13"/>
    <sheet name="16 Manejo recursos universitari" sheetId="14" r:id="rId14"/>
    <sheet name="18 Reconocimiento de la diversi" sheetId="15" r:id="rId15"/>
    <sheet name="19 Constr cultura de paz " sheetId="16" r:id="rId16"/>
    <sheet name="20 Retribución social " sheetId="17" r:id="rId17"/>
    <sheet name="21 Comunicación universitaria" sheetId="18" r:id="rId18"/>
    <sheet name="22 Sostenibilidad ambiental " sheetId="19" r:id="rId19"/>
    <sheet name="Indicadores x proyec" sheetId="20" state="hidden" r:id="rId20"/>
    <sheet name="Apertura programática" sheetId="21" r:id="rId21"/>
    <sheet name="Metas adicionales" sheetId="22" r:id="rId22"/>
  </sheets>
  <definedNames>
    <definedName name="_xlnm._FilterDatabase" localSheetId="16" hidden="1">'20 Retribución social '!$A$1:$X$13</definedName>
    <definedName name="_xlnm._FilterDatabase" localSheetId="21" hidden="1">'Metas adicionales'!$A$2:$Q$11</definedName>
    <definedName name="_Toc82616607" localSheetId="0">'2 EstudiantadoEstProf'!#REF!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22" l="1"/>
  <c r="N11" i="22"/>
  <c r="M11" i="22"/>
  <c r="L11" i="22"/>
  <c r="K11" i="22"/>
  <c r="O10" i="22"/>
  <c r="N10" i="22"/>
  <c r="M10" i="22"/>
  <c r="L10" i="22"/>
  <c r="K10" i="22"/>
  <c r="O9" i="22"/>
  <c r="N9" i="22"/>
  <c r="M9" i="22"/>
  <c r="L9" i="22"/>
  <c r="K9" i="22"/>
  <c r="O8" i="22"/>
  <c r="N8" i="22"/>
  <c r="M8" i="22"/>
  <c r="L8" i="22"/>
  <c r="K8" i="22"/>
  <c r="O7" i="22"/>
  <c r="N7" i="22"/>
  <c r="M7" i="22"/>
  <c r="L7" i="22"/>
  <c r="K7" i="22"/>
  <c r="O6" i="22"/>
  <c r="N6" i="22"/>
  <c r="M6" i="22"/>
  <c r="L6" i="22"/>
  <c r="K6" i="22"/>
  <c r="O5" i="22"/>
  <c r="N5" i="22"/>
  <c r="M5" i="22"/>
  <c r="L5" i="22"/>
  <c r="K5" i="22"/>
  <c r="O4" i="22"/>
  <c r="N4" i="22"/>
  <c r="M4" i="22"/>
  <c r="L4" i="22"/>
  <c r="K4" i="22"/>
  <c r="O3" i="22"/>
  <c r="N3" i="22"/>
  <c r="M3" i="22"/>
  <c r="L3" i="22"/>
  <c r="K3" i="22"/>
  <c r="I224" i="21"/>
  <c r="H224" i="21"/>
  <c r="B224" i="21"/>
  <c r="I223" i="21"/>
  <c r="H223" i="21"/>
  <c r="B223" i="21"/>
  <c r="I222" i="21"/>
  <c r="H222" i="21"/>
  <c r="B222" i="21"/>
  <c r="I221" i="21"/>
  <c r="H221" i="21"/>
  <c r="B221" i="21"/>
  <c r="I220" i="21"/>
  <c r="H220" i="21"/>
  <c r="B220" i="21"/>
  <c r="I219" i="21"/>
  <c r="H219" i="21"/>
  <c r="B219" i="21"/>
  <c r="I218" i="21"/>
  <c r="H218" i="21"/>
  <c r="B218" i="21"/>
  <c r="I217" i="21"/>
  <c r="H217" i="21"/>
  <c r="B217" i="21"/>
  <c r="I216" i="21"/>
  <c r="H216" i="21"/>
  <c r="B216" i="21"/>
  <c r="I215" i="21"/>
  <c r="H215" i="21"/>
  <c r="B215" i="21"/>
  <c r="I214" i="21"/>
  <c r="H214" i="21"/>
  <c r="B214" i="21"/>
  <c r="I213" i="21"/>
  <c r="H213" i="21"/>
  <c r="B213" i="21"/>
  <c r="G211" i="21"/>
  <c r="I206" i="21"/>
  <c r="H206" i="21"/>
  <c r="G206" i="21"/>
  <c r="F206" i="21"/>
  <c r="E206" i="21"/>
  <c r="D206" i="21"/>
  <c r="C206" i="21"/>
  <c r="B206" i="21"/>
  <c r="G204" i="21"/>
  <c r="I199" i="21"/>
  <c r="H199" i="21"/>
  <c r="G199" i="21"/>
  <c r="F199" i="21"/>
  <c r="E199" i="21"/>
  <c r="D199" i="21"/>
  <c r="C199" i="21"/>
  <c r="B199" i="21"/>
  <c r="I198" i="21"/>
  <c r="H198" i="21"/>
  <c r="G198" i="21"/>
  <c r="F198" i="21"/>
  <c r="E198" i="21"/>
  <c r="B198" i="21"/>
  <c r="I197" i="21"/>
  <c r="H197" i="21"/>
  <c r="B197" i="21"/>
  <c r="I195" i="21"/>
  <c r="H195" i="21"/>
  <c r="B195" i="21"/>
  <c r="I194" i="21"/>
  <c r="H194" i="21"/>
  <c r="B194" i="21"/>
  <c r="I193" i="21"/>
  <c r="H193" i="21"/>
  <c r="B193" i="21"/>
  <c r="I192" i="21"/>
  <c r="H192" i="21"/>
  <c r="B192" i="21"/>
  <c r="I191" i="21"/>
  <c r="H191" i="21"/>
  <c r="B191" i="21"/>
  <c r="I190" i="21"/>
  <c r="H190" i="21"/>
  <c r="B190" i="21"/>
  <c r="G188" i="21"/>
  <c r="I183" i="21"/>
  <c r="H183" i="21"/>
  <c r="B183" i="21"/>
  <c r="I182" i="21"/>
  <c r="H182" i="21"/>
  <c r="B182" i="21"/>
  <c r="I180" i="21"/>
  <c r="H180" i="21"/>
  <c r="B180" i="21"/>
  <c r="I179" i="21"/>
  <c r="H179" i="21"/>
  <c r="B179" i="21"/>
  <c r="I178" i="21"/>
  <c r="H178" i="21"/>
  <c r="B178" i="21"/>
  <c r="I177" i="21"/>
  <c r="H177" i="21"/>
  <c r="G175" i="21"/>
  <c r="I170" i="21"/>
  <c r="H170" i="21"/>
  <c r="B170" i="21"/>
  <c r="I169" i="21"/>
  <c r="H169" i="21"/>
  <c r="B169" i="21"/>
  <c r="I168" i="21"/>
  <c r="H168" i="21"/>
  <c r="B168" i="21"/>
  <c r="I167" i="21"/>
  <c r="H167" i="21"/>
  <c r="G167" i="21"/>
  <c r="F167" i="21"/>
  <c r="E167" i="21"/>
  <c r="D167" i="21"/>
  <c r="C167" i="21"/>
  <c r="B167" i="21"/>
  <c r="I166" i="21"/>
  <c r="H166" i="21"/>
  <c r="G166" i="21"/>
  <c r="F166" i="21"/>
  <c r="E166" i="21"/>
  <c r="D166" i="21"/>
  <c r="C166" i="21"/>
  <c r="B166" i="21"/>
  <c r="I164" i="21"/>
  <c r="H164" i="21"/>
  <c r="B164" i="21"/>
  <c r="G161" i="21"/>
  <c r="I156" i="21"/>
  <c r="H156" i="21"/>
  <c r="G156" i="21"/>
  <c r="F156" i="21"/>
  <c r="E156" i="21"/>
  <c r="D156" i="21"/>
  <c r="C156" i="21"/>
  <c r="B156" i="21"/>
  <c r="G154" i="21"/>
  <c r="I149" i="21"/>
  <c r="H149" i="21"/>
  <c r="G149" i="21"/>
  <c r="F149" i="21"/>
  <c r="E149" i="21"/>
  <c r="D149" i="21"/>
  <c r="C149" i="21"/>
  <c r="B149" i="21"/>
  <c r="I148" i="21"/>
  <c r="H148" i="21"/>
  <c r="B148" i="21"/>
  <c r="I147" i="21"/>
  <c r="H147" i="21"/>
  <c r="B147" i="21"/>
  <c r="I146" i="21"/>
  <c r="H146" i="21"/>
  <c r="B146" i="21"/>
  <c r="I145" i="21"/>
  <c r="H145" i="21"/>
  <c r="B145" i="21"/>
  <c r="I144" i="21"/>
  <c r="H144" i="21"/>
  <c r="B144" i="21"/>
  <c r="I143" i="21"/>
  <c r="H143" i="21"/>
  <c r="B143" i="21"/>
  <c r="I142" i="21"/>
  <c r="H142" i="21"/>
  <c r="B142" i="21"/>
  <c r="G140" i="21"/>
  <c r="I135" i="21"/>
  <c r="H135" i="21"/>
  <c r="B135" i="21"/>
  <c r="I134" i="21"/>
  <c r="H134" i="21"/>
  <c r="B134" i="21"/>
  <c r="G132" i="21"/>
  <c r="I127" i="21"/>
  <c r="H127" i="21"/>
  <c r="G127" i="21"/>
  <c r="F127" i="21"/>
  <c r="E127" i="21"/>
  <c r="D127" i="21"/>
  <c r="C127" i="21"/>
  <c r="B127" i="21"/>
  <c r="I126" i="21"/>
  <c r="H126" i="21"/>
  <c r="G126" i="21"/>
  <c r="F126" i="21"/>
  <c r="E126" i="21"/>
  <c r="D126" i="21"/>
  <c r="C126" i="21"/>
  <c r="B126" i="21"/>
  <c r="G124" i="21"/>
  <c r="I119" i="21"/>
  <c r="H119" i="21"/>
  <c r="B119" i="21"/>
  <c r="I118" i="21"/>
  <c r="H118" i="21"/>
  <c r="B118" i="21"/>
  <c r="I117" i="21"/>
  <c r="H117" i="21"/>
  <c r="B117" i="21"/>
  <c r="G115" i="21"/>
  <c r="I111" i="21"/>
  <c r="H111" i="21"/>
  <c r="G111" i="21"/>
  <c r="F111" i="21"/>
  <c r="E111" i="21"/>
  <c r="D111" i="21"/>
  <c r="C111" i="21"/>
  <c r="B111" i="21"/>
  <c r="I110" i="21"/>
  <c r="H110" i="21"/>
  <c r="G110" i="21"/>
  <c r="F110" i="21"/>
  <c r="E110" i="21"/>
  <c r="D110" i="21"/>
  <c r="C110" i="21"/>
  <c r="B110" i="21"/>
  <c r="I109" i="21"/>
  <c r="H109" i="21"/>
  <c r="I108" i="21"/>
  <c r="H108" i="21"/>
  <c r="F108" i="21"/>
  <c r="E108" i="21"/>
  <c r="D108" i="21"/>
  <c r="C108" i="21"/>
  <c r="B108" i="21"/>
  <c r="I107" i="21"/>
  <c r="H107" i="21"/>
  <c r="B107" i="21"/>
  <c r="G100" i="21"/>
  <c r="I95" i="21"/>
  <c r="H95" i="21"/>
  <c r="B95" i="21"/>
  <c r="I91" i="21"/>
  <c r="H91" i="21"/>
  <c r="G91" i="21"/>
  <c r="F91" i="21"/>
  <c r="E91" i="21"/>
  <c r="D91" i="21"/>
  <c r="C91" i="21"/>
  <c r="B91" i="21"/>
  <c r="G89" i="21"/>
  <c r="I85" i="21"/>
  <c r="H85" i="21"/>
  <c r="B85" i="21"/>
  <c r="I84" i="21"/>
  <c r="H84" i="21"/>
  <c r="B84" i="21"/>
  <c r="I83" i="21"/>
  <c r="H83" i="21"/>
  <c r="B83" i="21"/>
  <c r="I82" i="21"/>
  <c r="H82" i="21"/>
  <c r="B82" i="21"/>
  <c r="I81" i="21"/>
  <c r="H81" i="21"/>
  <c r="B81" i="21"/>
  <c r="I80" i="21"/>
  <c r="H80" i="21"/>
  <c r="B80" i="21"/>
  <c r="G78" i="21"/>
  <c r="I74" i="21"/>
  <c r="H74" i="21"/>
  <c r="B74" i="21"/>
  <c r="I73" i="21"/>
  <c r="H73" i="21"/>
  <c r="B73" i="21"/>
  <c r="I72" i="21"/>
  <c r="H72" i="21"/>
  <c r="B72" i="21"/>
  <c r="G70" i="21"/>
  <c r="I66" i="21"/>
  <c r="H66" i="21"/>
  <c r="G66" i="21"/>
  <c r="F66" i="21"/>
  <c r="E66" i="21"/>
  <c r="D66" i="21"/>
  <c r="C66" i="21"/>
  <c r="B66" i="21"/>
  <c r="I65" i="21"/>
  <c r="H65" i="21"/>
  <c r="G65" i="21"/>
  <c r="F65" i="21"/>
  <c r="E65" i="21"/>
  <c r="D65" i="21"/>
  <c r="C65" i="21"/>
  <c r="B65" i="21"/>
  <c r="G63" i="21"/>
  <c r="B59" i="21"/>
  <c r="I58" i="21"/>
  <c r="H58" i="21"/>
  <c r="B58" i="21"/>
  <c r="I57" i="21"/>
  <c r="H57" i="21"/>
  <c r="G57" i="21"/>
  <c r="F57" i="21"/>
  <c r="E57" i="21"/>
  <c r="D57" i="21"/>
  <c r="C57" i="21"/>
  <c r="B57" i="21"/>
  <c r="I56" i="21"/>
  <c r="H56" i="21"/>
  <c r="B56" i="21"/>
  <c r="I52" i="21"/>
  <c r="H52" i="21"/>
  <c r="B52" i="21"/>
  <c r="G50" i="21"/>
  <c r="I44" i="21"/>
  <c r="H44" i="21"/>
  <c r="B44" i="21"/>
  <c r="I43" i="21"/>
  <c r="H43" i="21"/>
  <c r="B43" i="21"/>
  <c r="I42" i="21"/>
  <c r="H42" i="21"/>
  <c r="B42" i="21"/>
  <c r="I41" i="21"/>
  <c r="H41" i="21"/>
  <c r="B41" i="21"/>
  <c r="I40" i="21"/>
  <c r="H40" i="21"/>
  <c r="B40" i="21"/>
  <c r="I39" i="21"/>
  <c r="H39" i="21"/>
  <c r="B39" i="21"/>
  <c r="G37" i="21"/>
  <c r="I33" i="21"/>
  <c r="H33" i="21"/>
  <c r="B33" i="21"/>
  <c r="I32" i="21"/>
  <c r="H32" i="21"/>
  <c r="B32" i="21"/>
  <c r="I31" i="21"/>
  <c r="H31" i="21"/>
  <c r="B31" i="21"/>
  <c r="I30" i="21"/>
  <c r="H30" i="21"/>
  <c r="B30" i="21"/>
  <c r="I28" i="21"/>
  <c r="H28" i="21"/>
  <c r="B28" i="21"/>
  <c r="I25" i="21"/>
  <c r="H25" i="21"/>
  <c r="B25" i="21"/>
  <c r="I23" i="21"/>
  <c r="H23" i="21"/>
  <c r="B23" i="21"/>
  <c r="I22" i="21"/>
  <c r="H22" i="21"/>
  <c r="B22" i="21"/>
  <c r="I21" i="21"/>
  <c r="H21" i="21"/>
  <c r="B21" i="21"/>
  <c r="I20" i="21"/>
  <c r="H20" i="21"/>
  <c r="B20" i="21"/>
  <c r="I19" i="21"/>
  <c r="H19" i="21"/>
  <c r="B19" i="21"/>
  <c r="I18" i="21"/>
  <c r="H18" i="21"/>
  <c r="G18" i="21"/>
  <c r="F18" i="21"/>
  <c r="E18" i="21"/>
  <c r="D18" i="21"/>
  <c r="C18" i="21"/>
  <c r="B18" i="21"/>
  <c r="I17" i="21"/>
  <c r="H17" i="21"/>
  <c r="G17" i="21"/>
  <c r="B17" i="21"/>
  <c r="I16" i="21"/>
  <c r="H16" i="21"/>
  <c r="B16" i="21"/>
  <c r="I14" i="21"/>
  <c r="H14" i="21"/>
  <c r="B14" i="21"/>
  <c r="I13" i="21"/>
  <c r="H13" i="21"/>
  <c r="B13" i="21"/>
  <c r="I9" i="21"/>
  <c r="H9" i="21"/>
  <c r="B9" i="21"/>
  <c r="I8" i="21"/>
  <c r="H8" i="21"/>
  <c r="B8" i="21"/>
  <c r="G6" i="21"/>
  <c r="J104" i="20" a="1"/>
  <c r="J105" i="20" s="1"/>
  <c r="J104" i="20"/>
  <c r="I196" i="21" s="1"/>
  <c r="I104" i="20" a="1"/>
  <c r="I105" i="20" s="1"/>
  <c r="I104" i="20"/>
  <c r="H196" i="21" s="1"/>
  <c r="C104" i="20" a="1"/>
  <c r="C104" i="20"/>
  <c r="B104" i="20" a="1"/>
  <c r="B105" i="20" s="1"/>
  <c r="B104" i="20"/>
  <c r="B196" i="21" s="1"/>
  <c r="J98" i="20" a="1"/>
  <c r="J99" i="20" s="1"/>
  <c r="J98" i="20"/>
  <c r="I181" i="21" s="1"/>
  <c r="I98" i="20" a="1"/>
  <c r="I99" i="20" s="1"/>
  <c r="I98" i="20"/>
  <c r="H181" i="21" s="1"/>
  <c r="C98" i="20" a="1"/>
  <c r="C98" i="20"/>
  <c r="B98" i="20" a="1"/>
  <c r="B99" i="20" s="1"/>
  <c r="B98" i="20"/>
  <c r="B181" i="21" s="1"/>
  <c r="J96" i="20" a="1"/>
  <c r="J96" i="20"/>
  <c r="I96" i="20" a="1"/>
  <c r="I96" i="20"/>
  <c r="C96" i="20" a="1"/>
  <c r="C96" i="20"/>
  <c r="B96" i="20" a="1"/>
  <c r="B96" i="20"/>
  <c r="B177" i="21" s="1"/>
  <c r="J90" i="20" a="1"/>
  <c r="J91" i="20" s="1"/>
  <c r="J90" i="20"/>
  <c r="I165" i="21" s="1"/>
  <c r="I90" i="20" a="1"/>
  <c r="I91" i="20" s="1"/>
  <c r="I90" i="20"/>
  <c r="H165" i="21" s="1"/>
  <c r="C90" i="20" a="1"/>
  <c r="C90" i="20"/>
  <c r="B90" i="20" a="1"/>
  <c r="B91" i="20" s="1"/>
  <c r="B90" i="20"/>
  <c r="B165" i="21" s="1"/>
  <c r="J88" i="20" a="1"/>
  <c r="J89" i="20" s="1"/>
  <c r="J88" i="20"/>
  <c r="I163" i="21" s="1"/>
  <c r="I88" i="20" a="1"/>
  <c r="I89" i="20" s="1"/>
  <c r="I88" i="20"/>
  <c r="H163" i="21" s="1"/>
  <c r="D88" i="20" a="1"/>
  <c r="D89" i="20" s="1"/>
  <c r="D88" i="20"/>
  <c r="C163" i="21" s="1"/>
  <c r="C88" i="20" a="1"/>
  <c r="C88" i="20"/>
  <c r="B88" i="20" a="1"/>
  <c r="B89" i="20" s="1"/>
  <c r="B88" i="20"/>
  <c r="B163" i="21" s="1"/>
  <c r="J82" i="20"/>
  <c r="I82" i="20"/>
  <c r="C82" i="20"/>
  <c r="B82" i="20"/>
  <c r="J80" i="20"/>
  <c r="I80" i="20"/>
  <c r="C80" i="20"/>
  <c r="B80" i="20"/>
  <c r="J78" i="20"/>
  <c r="I78" i="20"/>
  <c r="C78" i="20"/>
  <c r="B78" i="20"/>
  <c r="J72" i="20"/>
  <c r="I72" i="20"/>
  <c r="C72" i="20"/>
  <c r="B72" i="20"/>
  <c r="B109" i="21" s="1"/>
  <c r="J70" i="20"/>
  <c r="I106" i="21" s="1"/>
  <c r="I70" i="20"/>
  <c r="H106" i="21" s="1"/>
  <c r="C70" i="20"/>
  <c r="B70" i="20" a="1"/>
  <c r="J68" i="20"/>
  <c r="I105" i="21" s="1"/>
  <c r="I68" i="20"/>
  <c r="H105" i="21" s="1"/>
  <c r="C68" i="20"/>
  <c r="B68" i="20" a="1"/>
  <c r="B69" i="20" s="1"/>
  <c r="B68" i="20"/>
  <c r="B105" i="21" s="1"/>
  <c r="J66" i="20"/>
  <c r="I104" i="21" s="1"/>
  <c r="I66" i="20"/>
  <c r="H104" i="21" s="1"/>
  <c r="C66" i="20"/>
  <c r="B66" i="20" a="1"/>
  <c r="B67" i="20" s="1"/>
  <c r="B66" i="20"/>
  <c r="B104" i="21" s="1"/>
  <c r="J64" i="20"/>
  <c r="I103" i="21" s="1"/>
  <c r="I64" i="20"/>
  <c r="H103" i="21" s="1"/>
  <c r="C64" i="20"/>
  <c r="B64" i="20" a="1"/>
  <c r="B65" i="20" s="1"/>
  <c r="B64" i="20"/>
  <c r="B103" i="21" s="1"/>
  <c r="J62" i="20"/>
  <c r="I102" i="21" s="1"/>
  <c r="I62" i="20"/>
  <c r="H102" i="21" s="1"/>
  <c r="C62" i="20"/>
  <c r="B62" i="20" a="1"/>
  <c r="B63" i="20" s="1"/>
  <c r="B62" i="20"/>
  <c r="B102" i="21" s="1"/>
  <c r="J56" i="20"/>
  <c r="I94" i="21" s="1"/>
  <c r="I56" i="20"/>
  <c r="H94" i="21" s="1"/>
  <c r="C56" i="20"/>
  <c r="B56" i="20"/>
  <c r="B94" i="21" s="1"/>
  <c r="J54" i="20"/>
  <c r="I93" i="21" s="1"/>
  <c r="I54" i="20"/>
  <c r="H93" i="21" s="1"/>
  <c r="C54" i="20"/>
  <c r="B54" i="20"/>
  <c r="B93" i="21" s="1"/>
  <c r="J52" i="20"/>
  <c r="I92" i="21" s="1"/>
  <c r="I52" i="20"/>
  <c r="H92" i="21" s="1"/>
  <c r="C52" i="20"/>
  <c r="B52" i="20"/>
  <c r="B92" i="21" s="1"/>
  <c r="J46" i="20"/>
  <c r="I59" i="21" s="1"/>
  <c r="I46" i="20"/>
  <c r="H59" i="21" s="1"/>
  <c r="C46" i="20"/>
  <c r="B46" i="20"/>
  <c r="J44" i="20"/>
  <c r="I44" i="20"/>
  <c r="C44" i="20"/>
  <c r="B44" i="20"/>
  <c r="J42" i="20"/>
  <c r="I55" i="21" s="1"/>
  <c r="I42" i="20"/>
  <c r="H55" i="21" s="1"/>
  <c r="C42" i="20"/>
  <c r="B42" i="20"/>
  <c r="B55" i="21" s="1"/>
  <c r="J40" i="20"/>
  <c r="I54" i="21" s="1"/>
  <c r="I40" i="20"/>
  <c r="H54" i="21" s="1"/>
  <c r="C40" i="20"/>
  <c r="B40" i="20"/>
  <c r="B54" i="21" s="1"/>
  <c r="J38" i="20"/>
  <c r="I53" i="21" s="1"/>
  <c r="I38" i="20"/>
  <c r="H53" i="21" s="1"/>
  <c r="C38" i="20"/>
  <c r="B38" i="20"/>
  <c r="B53" i="21" s="1"/>
  <c r="J32" i="20"/>
  <c r="I45" i="21" s="1"/>
  <c r="I32" i="20"/>
  <c r="H45" i="21" s="1"/>
  <c r="C32" i="20"/>
  <c r="B32" i="20"/>
  <c r="B45" i="21" s="1"/>
  <c r="J26" i="20"/>
  <c r="I29" i="21" s="1"/>
  <c r="I26" i="20"/>
  <c r="H29" i="21" s="1"/>
  <c r="C26" i="20"/>
  <c r="B26" i="20"/>
  <c r="B29" i="21" s="1"/>
  <c r="J22" i="20"/>
  <c r="I27" i="21" s="1"/>
  <c r="I22" i="20"/>
  <c r="H27" i="21" s="1"/>
  <c r="C22" i="20"/>
  <c r="B22" i="20"/>
  <c r="B27" i="21" s="1"/>
  <c r="J20" i="20"/>
  <c r="I26" i="21" s="1"/>
  <c r="I20" i="20"/>
  <c r="H26" i="21" s="1"/>
  <c r="C20" i="20"/>
  <c r="B20" i="20"/>
  <c r="B26" i="21" s="1"/>
  <c r="J18" i="20"/>
  <c r="I24" i="21" s="1"/>
  <c r="I18" i="20"/>
  <c r="H24" i="21" s="1"/>
  <c r="C18" i="20"/>
  <c r="B18" i="20"/>
  <c r="B24" i="21" s="1"/>
  <c r="J16" i="20"/>
  <c r="I16" i="20"/>
  <c r="C16" i="20"/>
  <c r="B16" i="20"/>
  <c r="J14" i="20"/>
  <c r="I15" i="21" s="1"/>
  <c r="I14" i="20"/>
  <c r="H15" i="21" s="1"/>
  <c r="C14" i="20"/>
  <c r="B14" i="20"/>
  <c r="B15" i="21" s="1"/>
  <c r="J12" i="20"/>
  <c r="I12" i="21" s="1"/>
  <c r="I12" i="20"/>
  <c r="H12" i="21" s="1"/>
  <c r="C12" i="20"/>
  <c r="B12" i="20"/>
  <c r="B12" i="21" s="1"/>
  <c r="J10" i="20"/>
  <c r="I11" i="21" s="1"/>
  <c r="I10" i="20"/>
  <c r="C10" i="20"/>
  <c r="B10" i="20"/>
  <c r="B11" i="21" s="1"/>
  <c r="J8" i="20"/>
  <c r="I10" i="21" s="1"/>
  <c r="I8" i="20"/>
  <c r="C8" i="20"/>
  <c r="B8" i="20"/>
  <c r="B10" i="21" s="1"/>
  <c r="V14" i="19"/>
  <c r="G224" i="21" s="1"/>
  <c r="U14" i="19"/>
  <c r="F224" i="21" s="1"/>
  <c r="T14" i="19"/>
  <c r="E224" i="21" s="1"/>
  <c r="S14" i="19"/>
  <c r="D224" i="21" s="1"/>
  <c r="R14" i="19"/>
  <c r="C224" i="21" s="1"/>
  <c r="V13" i="19"/>
  <c r="G223" i="21" s="1"/>
  <c r="U13" i="19"/>
  <c r="F223" i="21" s="1"/>
  <c r="T13" i="19"/>
  <c r="E223" i="21" s="1"/>
  <c r="S13" i="19"/>
  <c r="D223" i="21" s="1"/>
  <c r="R13" i="19"/>
  <c r="C223" i="21" s="1"/>
  <c r="V12" i="19"/>
  <c r="G222" i="21" s="1"/>
  <c r="U12" i="19"/>
  <c r="F222" i="21" s="1"/>
  <c r="T12" i="19"/>
  <c r="E222" i="21" s="1"/>
  <c r="S12" i="19"/>
  <c r="D222" i="21" s="1"/>
  <c r="R12" i="19"/>
  <c r="C222" i="21" s="1"/>
  <c r="V11" i="19"/>
  <c r="G221" i="21" s="1"/>
  <c r="U11" i="19"/>
  <c r="F221" i="21" s="1"/>
  <c r="T11" i="19"/>
  <c r="E221" i="21" s="1"/>
  <c r="S11" i="19"/>
  <c r="D221" i="21" s="1"/>
  <c r="R11" i="19"/>
  <c r="C221" i="21" s="1"/>
  <c r="V10" i="19"/>
  <c r="G220" i="21" s="1"/>
  <c r="U10" i="19"/>
  <c r="F220" i="21" s="1"/>
  <c r="T10" i="19"/>
  <c r="E220" i="21" s="1"/>
  <c r="S10" i="19"/>
  <c r="D220" i="21" s="1"/>
  <c r="R10" i="19"/>
  <c r="C220" i="21" s="1"/>
  <c r="V9" i="19"/>
  <c r="G219" i="21" s="1"/>
  <c r="U9" i="19"/>
  <c r="F219" i="21" s="1"/>
  <c r="T9" i="19"/>
  <c r="E219" i="21" s="1"/>
  <c r="S9" i="19"/>
  <c r="D219" i="21" s="1"/>
  <c r="R9" i="19"/>
  <c r="C219" i="21" s="1"/>
  <c r="V8" i="19"/>
  <c r="G218" i="21" s="1"/>
  <c r="U8" i="19"/>
  <c r="F218" i="21" s="1"/>
  <c r="T8" i="19"/>
  <c r="E218" i="21" s="1"/>
  <c r="S8" i="19"/>
  <c r="D218" i="21" s="1"/>
  <c r="R8" i="19"/>
  <c r="C218" i="21" s="1"/>
  <c r="V7" i="19"/>
  <c r="G217" i="21" s="1"/>
  <c r="U7" i="19"/>
  <c r="F217" i="21" s="1"/>
  <c r="T7" i="19"/>
  <c r="E217" i="21" s="1"/>
  <c r="S7" i="19"/>
  <c r="D217" i="21" s="1"/>
  <c r="R7" i="19"/>
  <c r="C217" i="21" s="1"/>
  <c r="V6" i="19"/>
  <c r="G216" i="21" s="1"/>
  <c r="U6" i="19"/>
  <c r="F216" i="21" s="1"/>
  <c r="T6" i="19"/>
  <c r="E216" i="21" s="1"/>
  <c r="S6" i="19"/>
  <c r="D216" i="21" s="1"/>
  <c r="R6" i="19"/>
  <c r="C216" i="21" s="1"/>
  <c r="V5" i="19"/>
  <c r="G215" i="21" s="1"/>
  <c r="U5" i="19"/>
  <c r="F215" i="21" s="1"/>
  <c r="T5" i="19"/>
  <c r="E215" i="21" s="1"/>
  <c r="S5" i="19"/>
  <c r="D215" i="21" s="1"/>
  <c r="R5" i="19"/>
  <c r="C215" i="21" s="1"/>
  <c r="V4" i="19"/>
  <c r="G214" i="21" s="1"/>
  <c r="U4" i="19"/>
  <c r="F214" i="21" s="1"/>
  <c r="T4" i="19"/>
  <c r="E214" i="21" s="1"/>
  <c r="S4" i="19"/>
  <c r="D214" i="21" s="1"/>
  <c r="R4" i="19"/>
  <c r="C214" i="21" s="1"/>
  <c r="V3" i="19"/>
  <c r="G213" i="21" s="1"/>
  <c r="U3" i="19"/>
  <c r="F213" i="21" s="1"/>
  <c r="T3" i="19"/>
  <c r="E213" i="21" s="1"/>
  <c r="S3" i="19"/>
  <c r="D213" i="21" s="1"/>
  <c r="R3" i="19"/>
  <c r="C213" i="21" s="1"/>
  <c r="V3" i="18"/>
  <c r="U3" i="18"/>
  <c r="T3" i="18"/>
  <c r="S3" i="18"/>
  <c r="R3" i="18"/>
  <c r="V13" i="17"/>
  <c r="U13" i="17"/>
  <c r="T13" i="17"/>
  <c r="S13" i="17"/>
  <c r="R13" i="17"/>
  <c r="V12" i="17"/>
  <c r="U12" i="17"/>
  <c r="T12" i="17"/>
  <c r="S12" i="17"/>
  <c r="D198" i="21" s="1"/>
  <c r="R12" i="17"/>
  <c r="C198" i="21" s="1"/>
  <c r="V11" i="17"/>
  <c r="G197" i="21" s="1"/>
  <c r="U11" i="17"/>
  <c r="F197" i="21" s="1"/>
  <c r="T11" i="17"/>
  <c r="E197" i="21" s="1"/>
  <c r="S11" i="17"/>
  <c r="D197" i="21" s="1"/>
  <c r="R11" i="17"/>
  <c r="C197" i="21" s="1"/>
  <c r="V9" i="17"/>
  <c r="H104" i="20" s="1" a="1"/>
  <c r="U9" i="17"/>
  <c r="G104" i="20" s="1" a="1"/>
  <c r="T9" i="17"/>
  <c r="F104" i="20" s="1" a="1"/>
  <c r="S9" i="17"/>
  <c r="E104" i="20" s="1" a="1"/>
  <c r="R9" i="17"/>
  <c r="D104" i="20" s="1" a="1"/>
  <c r="V8" i="17"/>
  <c r="G195" i="21" s="1"/>
  <c r="U8" i="17"/>
  <c r="F195" i="21" s="1"/>
  <c r="T8" i="17"/>
  <c r="E195" i="21" s="1"/>
  <c r="S8" i="17"/>
  <c r="D195" i="21" s="1"/>
  <c r="R8" i="17"/>
  <c r="C195" i="21" s="1"/>
  <c r="V7" i="17"/>
  <c r="G194" i="21" s="1"/>
  <c r="U7" i="17"/>
  <c r="F194" i="21" s="1"/>
  <c r="T7" i="17"/>
  <c r="E194" i="21" s="1"/>
  <c r="S7" i="17"/>
  <c r="D194" i="21" s="1"/>
  <c r="R7" i="17"/>
  <c r="C194" i="21" s="1"/>
  <c r="V6" i="17"/>
  <c r="G193" i="21" s="1"/>
  <c r="U6" i="17"/>
  <c r="F193" i="21" s="1"/>
  <c r="T6" i="17"/>
  <c r="E193" i="21" s="1"/>
  <c r="S6" i="17"/>
  <c r="D193" i="21" s="1"/>
  <c r="R6" i="17"/>
  <c r="C193" i="21" s="1"/>
  <c r="V5" i="17"/>
  <c r="G192" i="21" s="1"/>
  <c r="U5" i="17"/>
  <c r="F192" i="21" s="1"/>
  <c r="T5" i="17"/>
  <c r="E192" i="21" s="1"/>
  <c r="S5" i="17"/>
  <c r="D192" i="21" s="1"/>
  <c r="R5" i="17"/>
  <c r="C192" i="21" s="1"/>
  <c r="V4" i="17"/>
  <c r="G191" i="21" s="1"/>
  <c r="U4" i="17"/>
  <c r="F191" i="21" s="1"/>
  <c r="T4" i="17"/>
  <c r="E191" i="21" s="1"/>
  <c r="S4" i="17"/>
  <c r="D191" i="21" s="1"/>
  <c r="R4" i="17"/>
  <c r="C191" i="21" s="1"/>
  <c r="V3" i="17"/>
  <c r="G190" i="21" s="1"/>
  <c r="U3" i="17"/>
  <c r="F190" i="21" s="1"/>
  <c r="T3" i="17"/>
  <c r="E190" i="21" s="1"/>
  <c r="S3" i="17"/>
  <c r="D190" i="21" s="1"/>
  <c r="R3" i="17"/>
  <c r="C190" i="21" s="1"/>
  <c r="V12" i="15"/>
  <c r="G170" i="21" s="1"/>
  <c r="U12" i="15"/>
  <c r="F170" i="21" s="1"/>
  <c r="T12" i="15"/>
  <c r="E170" i="21" s="1"/>
  <c r="S12" i="15"/>
  <c r="D170" i="21" s="1"/>
  <c r="R12" i="15"/>
  <c r="C170" i="21" s="1"/>
  <c r="V11" i="15"/>
  <c r="G169" i="21" s="1"/>
  <c r="U11" i="15"/>
  <c r="F169" i="21" s="1"/>
  <c r="T11" i="15"/>
  <c r="E169" i="21" s="1"/>
  <c r="S11" i="15"/>
  <c r="D169" i="21" s="1"/>
  <c r="R11" i="15"/>
  <c r="C169" i="21" s="1"/>
  <c r="V10" i="15"/>
  <c r="G168" i="21" s="1"/>
  <c r="U10" i="15"/>
  <c r="F168" i="21" s="1"/>
  <c r="T10" i="15"/>
  <c r="E168" i="21" s="1"/>
  <c r="S10" i="15"/>
  <c r="D168" i="21" s="1"/>
  <c r="R10" i="15"/>
  <c r="C168" i="21" s="1"/>
  <c r="V9" i="15"/>
  <c r="U9" i="15"/>
  <c r="T9" i="15"/>
  <c r="S9" i="15"/>
  <c r="R9" i="15"/>
  <c r="V8" i="15"/>
  <c r="U8" i="15"/>
  <c r="T8" i="15"/>
  <c r="S8" i="15"/>
  <c r="R8" i="15"/>
  <c r="V6" i="15"/>
  <c r="H90" i="20" s="1" a="1"/>
  <c r="U6" i="15"/>
  <c r="G90" i="20" s="1" a="1"/>
  <c r="T6" i="15"/>
  <c r="F90" i="20" s="1" a="1"/>
  <c r="S6" i="15"/>
  <c r="E90" i="20" s="1" a="1"/>
  <c r="R6" i="15"/>
  <c r="D90" i="20" s="1" a="1"/>
  <c r="V5" i="15"/>
  <c r="G164" i="21" s="1"/>
  <c r="U5" i="15"/>
  <c r="F164" i="21" s="1"/>
  <c r="T5" i="15"/>
  <c r="E164" i="21" s="1"/>
  <c r="S5" i="15"/>
  <c r="D164" i="21" s="1"/>
  <c r="R5" i="15"/>
  <c r="C164" i="21" s="1"/>
  <c r="V3" i="15"/>
  <c r="H88" i="20" s="1" a="1"/>
  <c r="U3" i="15"/>
  <c r="G88" i="20" s="1" a="1"/>
  <c r="T3" i="15"/>
  <c r="F88" i="20" s="1" a="1"/>
  <c r="S3" i="15"/>
  <c r="E88" i="20" s="1" a="1"/>
  <c r="R3" i="15"/>
  <c r="V3" i="14"/>
  <c r="U3" i="14"/>
  <c r="T3" i="14"/>
  <c r="S3" i="14"/>
  <c r="R3" i="14"/>
  <c r="V10" i="13"/>
  <c r="U10" i="13"/>
  <c r="T10" i="13"/>
  <c r="S10" i="13"/>
  <c r="R10" i="13"/>
  <c r="V9" i="13"/>
  <c r="G148" i="21" s="1"/>
  <c r="U9" i="13"/>
  <c r="F148" i="21" s="1"/>
  <c r="T9" i="13"/>
  <c r="E148" i="21" s="1"/>
  <c r="S9" i="13"/>
  <c r="D148" i="21" s="1"/>
  <c r="R9" i="13"/>
  <c r="C148" i="21" s="1"/>
  <c r="V8" i="13"/>
  <c r="G147" i="21" s="1"/>
  <c r="U8" i="13"/>
  <c r="F147" i="21" s="1"/>
  <c r="T8" i="13"/>
  <c r="E147" i="21" s="1"/>
  <c r="S8" i="13"/>
  <c r="D147" i="21" s="1"/>
  <c r="R8" i="13"/>
  <c r="C147" i="21" s="1"/>
  <c r="V7" i="13"/>
  <c r="G146" i="21" s="1"/>
  <c r="U7" i="13"/>
  <c r="F146" i="21" s="1"/>
  <c r="T7" i="13"/>
  <c r="E146" i="21" s="1"/>
  <c r="S7" i="13"/>
  <c r="D146" i="21" s="1"/>
  <c r="R7" i="13"/>
  <c r="C146" i="21" s="1"/>
  <c r="V6" i="13"/>
  <c r="G145" i="21" s="1"/>
  <c r="U6" i="13"/>
  <c r="F145" i="21" s="1"/>
  <c r="T6" i="13"/>
  <c r="E145" i="21" s="1"/>
  <c r="S6" i="13"/>
  <c r="D145" i="21" s="1"/>
  <c r="R6" i="13"/>
  <c r="C145" i="21" s="1"/>
  <c r="V5" i="13"/>
  <c r="G144" i="21" s="1"/>
  <c r="U5" i="13"/>
  <c r="F144" i="21" s="1"/>
  <c r="T5" i="13"/>
  <c r="E144" i="21" s="1"/>
  <c r="S5" i="13"/>
  <c r="D144" i="21" s="1"/>
  <c r="R5" i="13"/>
  <c r="C144" i="21" s="1"/>
  <c r="V4" i="13"/>
  <c r="G143" i="21" s="1"/>
  <c r="U4" i="13"/>
  <c r="F143" i="21" s="1"/>
  <c r="T4" i="13"/>
  <c r="E143" i="21" s="1"/>
  <c r="S4" i="13"/>
  <c r="D143" i="21" s="1"/>
  <c r="R4" i="13"/>
  <c r="C143" i="21" s="1"/>
  <c r="V3" i="13"/>
  <c r="G142" i="21" s="1"/>
  <c r="U3" i="13"/>
  <c r="F142" i="21" s="1"/>
  <c r="T3" i="13"/>
  <c r="E142" i="21" s="1"/>
  <c r="S3" i="13"/>
  <c r="D142" i="21" s="1"/>
  <c r="R3" i="13"/>
  <c r="C142" i="21" s="1"/>
  <c r="V4" i="12"/>
  <c r="G135" i="21" s="1"/>
  <c r="U4" i="12"/>
  <c r="F135" i="21" s="1"/>
  <c r="T4" i="12"/>
  <c r="E135" i="21" s="1"/>
  <c r="S4" i="12"/>
  <c r="D135" i="21" s="1"/>
  <c r="R4" i="12"/>
  <c r="C135" i="21" s="1"/>
  <c r="V3" i="12"/>
  <c r="G134" i="21" s="1"/>
  <c r="U3" i="12"/>
  <c r="F134" i="21" s="1"/>
  <c r="T3" i="12"/>
  <c r="E134" i="21" s="1"/>
  <c r="S3" i="12"/>
  <c r="D134" i="21" s="1"/>
  <c r="R3" i="12"/>
  <c r="C134" i="21" s="1"/>
  <c r="V4" i="11"/>
  <c r="U4" i="11"/>
  <c r="T4" i="11"/>
  <c r="S4" i="11"/>
  <c r="R4" i="11"/>
  <c r="V3" i="11"/>
  <c r="U3" i="11"/>
  <c r="T3" i="11"/>
  <c r="S3" i="11"/>
  <c r="R3" i="11"/>
  <c r="V7" i="10"/>
  <c r="H82" i="20" s="1"/>
  <c r="G119" i="21" s="1"/>
  <c r="U7" i="10"/>
  <c r="G82" i="20" s="1"/>
  <c r="F119" i="21" s="1"/>
  <c r="T7" i="10"/>
  <c r="F82" i="20" s="1"/>
  <c r="E119" i="21" s="1"/>
  <c r="S7" i="10"/>
  <c r="E82" i="20" s="1"/>
  <c r="D119" i="21" s="1"/>
  <c r="R7" i="10"/>
  <c r="D82" i="20" s="1"/>
  <c r="C119" i="21" s="1"/>
  <c r="M6" i="10"/>
  <c r="R5" i="10" s="1"/>
  <c r="D80" i="20" s="1"/>
  <c r="C118" i="21" s="1"/>
  <c r="V5" i="10"/>
  <c r="H80" i="20" s="1"/>
  <c r="G118" i="21" s="1"/>
  <c r="U5" i="10"/>
  <c r="G80" i="20" s="1"/>
  <c r="F118" i="21" s="1"/>
  <c r="T5" i="10"/>
  <c r="F80" i="20" s="1"/>
  <c r="E118" i="21" s="1"/>
  <c r="S5" i="10"/>
  <c r="E80" i="20" s="1"/>
  <c r="D118" i="21" s="1"/>
  <c r="M4" i="10"/>
  <c r="V3" i="10"/>
  <c r="H78" i="20" s="1"/>
  <c r="G117" i="21" s="1"/>
  <c r="U3" i="10"/>
  <c r="G78" i="20" s="1"/>
  <c r="F117" i="21" s="1"/>
  <c r="T3" i="10"/>
  <c r="F78" i="20" s="1"/>
  <c r="E117" i="21" s="1"/>
  <c r="S3" i="10"/>
  <c r="E78" i="20" s="1"/>
  <c r="D117" i="21" s="1"/>
  <c r="R3" i="10"/>
  <c r="D78" i="20" s="1"/>
  <c r="C117" i="21" s="1"/>
  <c r="V18" i="9"/>
  <c r="U18" i="9"/>
  <c r="T18" i="9"/>
  <c r="S18" i="9"/>
  <c r="R18" i="9"/>
  <c r="V17" i="9"/>
  <c r="U17" i="9"/>
  <c r="T17" i="9"/>
  <c r="S17" i="9"/>
  <c r="R17" i="9"/>
  <c r="V15" i="9"/>
  <c r="H72" i="20" s="1"/>
  <c r="G109" i="21" s="1"/>
  <c r="U15" i="9"/>
  <c r="G72" i="20" s="1"/>
  <c r="F109" i="21" s="1"/>
  <c r="T15" i="9"/>
  <c r="F72" i="20" s="1"/>
  <c r="E109" i="21" s="1"/>
  <c r="S15" i="9"/>
  <c r="E72" i="20" s="1"/>
  <c r="D109" i="21" s="1"/>
  <c r="R15" i="9"/>
  <c r="D72" i="20" s="1"/>
  <c r="C109" i="21" s="1"/>
  <c r="V14" i="9"/>
  <c r="G108" i="21" s="1"/>
  <c r="U14" i="9"/>
  <c r="T14" i="9"/>
  <c r="S14" i="9"/>
  <c r="R14" i="9"/>
  <c r="V13" i="9"/>
  <c r="G107" i="21" s="1"/>
  <c r="U13" i="9"/>
  <c r="F107" i="21" s="1"/>
  <c r="T13" i="9"/>
  <c r="E107" i="21" s="1"/>
  <c r="S13" i="9"/>
  <c r="D107" i="21" s="1"/>
  <c r="R13" i="9"/>
  <c r="C107" i="21" s="1"/>
  <c r="M12" i="9"/>
  <c r="R11" i="9" s="1"/>
  <c r="D70" i="20" s="1"/>
  <c r="C106" i="21" s="1"/>
  <c r="V11" i="9"/>
  <c r="H70" i="20" s="1"/>
  <c r="G106" i="21" s="1"/>
  <c r="U11" i="9"/>
  <c r="G70" i="20" s="1"/>
  <c r="F106" i="21" s="1"/>
  <c r="T11" i="9"/>
  <c r="F70" i="20" s="1"/>
  <c r="E106" i="21" s="1"/>
  <c r="S11" i="9"/>
  <c r="E70" i="20" s="1"/>
  <c r="D106" i="21" s="1"/>
  <c r="V9" i="9"/>
  <c r="H68" i="20" s="1"/>
  <c r="G105" i="21" s="1"/>
  <c r="U9" i="9"/>
  <c r="G68" i="20" s="1"/>
  <c r="F105" i="21" s="1"/>
  <c r="T9" i="9"/>
  <c r="F68" i="20" s="1"/>
  <c r="E105" i="21" s="1"/>
  <c r="S9" i="9"/>
  <c r="E68" i="20" s="1"/>
  <c r="D105" i="21" s="1"/>
  <c r="R9" i="9"/>
  <c r="D68" i="20" s="1"/>
  <c r="C105" i="21" s="1"/>
  <c r="M8" i="9"/>
  <c r="V7" i="9"/>
  <c r="H66" i="20" s="1"/>
  <c r="G104" i="21" s="1"/>
  <c r="U7" i="9"/>
  <c r="G66" i="20" s="1"/>
  <c r="F104" i="21" s="1"/>
  <c r="T7" i="9"/>
  <c r="F66" i="20" s="1"/>
  <c r="E104" i="21" s="1"/>
  <c r="S7" i="9"/>
  <c r="E66" i="20" s="1"/>
  <c r="D104" i="21" s="1"/>
  <c r="R7" i="9"/>
  <c r="D66" i="20" s="1"/>
  <c r="C104" i="21" s="1"/>
  <c r="M6" i="9"/>
  <c r="V5" i="9"/>
  <c r="H64" i="20" s="1"/>
  <c r="G103" i="21" s="1"/>
  <c r="U5" i="9"/>
  <c r="G64" i="20" s="1"/>
  <c r="F103" i="21" s="1"/>
  <c r="T5" i="9"/>
  <c r="F64" i="20" s="1"/>
  <c r="E103" i="21" s="1"/>
  <c r="S5" i="9"/>
  <c r="E64" i="20" s="1"/>
  <c r="D103" i="21" s="1"/>
  <c r="R5" i="9"/>
  <c r="D64" i="20" s="1"/>
  <c r="C103" i="21" s="1"/>
  <c r="V3" i="9"/>
  <c r="H62" i="20" s="1"/>
  <c r="G102" i="21" s="1"/>
  <c r="U3" i="9"/>
  <c r="G62" i="20" s="1"/>
  <c r="F102" i="21" s="1"/>
  <c r="T3" i="9"/>
  <c r="F62" i="20" s="1"/>
  <c r="E102" i="21" s="1"/>
  <c r="S3" i="9"/>
  <c r="E62" i="20" s="1"/>
  <c r="D102" i="21" s="1"/>
  <c r="R3" i="9"/>
  <c r="D62" i="20" s="1"/>
  <c r="C102" i="21" s="1"/>
  <c r="V10" i="8"/>
  <c r="G95" i="21" s="1"/>
  <c r="U10" i="8"/>
  <c r="F95" i="21" s="1"/>
  <c r="T10" i="8"/>
  <c r="E95" i="21" s="1"/>
  <c r="S10" i="8"/>
  <c r="D95" i="21" s="1"/>
  <c r="R10" i="8"/>
  <c r="C95" i="21" s="1"/>
  <c r="M9" i="8"/>
  <c r="V8" i="8"/>
  <c r="H56" i="20" s="1"/>
  <c r="G94" i="21" s="1"/>
  <c r="U8" i="8"/>
  <c r="G56" i="20" s="1"/>
  <c r="F94" i="21" s="1"/>
  <c r="T8" i="8"/>
  <c r="F56" i="20" s="1"/>
  <c r="E94" i="21" s="1"/>
  <c r="S8" i="8"/>
  <c r="E56" i="20" s="1"/>
  <c r="D94" i="21" s="1"/>
  <c r="R8" i="8"/>
  <c r="D56" i="20" s="1"/>
  <c r="C94" i="21" s="1"/>
  <c r="V6" i="8"/>
  <c r="H54" i="20" s="1"/>
  <c r="G93" i="21" s="1"/>
  <c r="U6" i="8"/>
  <c r="G54" i="20" s="1"/>
  <c r="F93" i="21" s="1"/>
  <c r="T6" i="8"/>
  <c r="F54" i="20" s="1"/>
  <c r="E93" i="21" s="1"/>
  <c r="S6" i="8"/>
  <c r="E54" i="20" s="1"/>
  <c r="D93" i="21" s="1"/>
  <c r="R6" i="8"/>
  <c r="D54" i="20" s="1"/>
  <c r="C93" i="21" s="1"/>
  <c r="V4" i="8"/>
  <c r="H52" i="20" s="1"/>
  <c r="G92" i="21" s="1"/>
  <c r="U4" i="8"/>
  <c r="G52" i="20" s="1"/>
  <c r="F92" i="21" s="1"/>
  <c r="T4" i="8"/>
  <c r="F52" i="20" s="1"/>
  <c r="E92" i="21" s="1"/>
  <c r="S4" i="8"/>
  <c r="E52" i="20" s="1"/>
  <c r="D92" i="21" s="1"/>
  <c r="R4" i="8"/>
  <c r="D52" i="20" s="1"/>
  <c r="C92" i="21" s="1"/>
  <c r="V3" i="8"/>
  <c r="U3" i="8"/>
  <c r="T3" i="8"/>
  <c r="S3" i="8"/>
  <c r="R3" i="8"/>
  <c r="V8" i="7"/>
  <c r="G85" i="21" s="1"/>
  <c r="U8" i="7"/>
  <c r="F85" i="21" s="1"/>
  <c r="T8" i="7"/>
  <c r="E85" i="21" s="1"/>
  <c r="S8" i="7"/>
  <c r="D85" i="21" s="1"/>
  <c r="R8" i="7"/>
  <c r="C85" i="21" s="1"/>
  <c r="V7" i="7"/>
  <c r="G84" i="21" s="1"/>
  <c r="U7" i="7"/>
  <c r="F84" i="21" s="1"/>
  <c r="T7" i="7"/>
  <c r="E84" i="21" s="1"/>
  <c r="S7" i="7"/>
  <c r="D84" i="21" s="1"/>
  <c r="R7" i="7"/>
  <c r="C84" i="21" s="1"/>
  <c r="V6" i="7"/>
  <c r="G83" i="21" s="1"/>
  <c r="U6" i="7"/>
  <c r="F83" i="21" s="1"/>
  <c r="T6" i="7"/>
  <c r="E83" i="21" s="1"/>
  <c r="S6" i="7"/>
  <c r="D83" i="21" s="1"/>
  <c r="R6" i="7"/>
  <c r="C83" i="21" s="1"/>
  <c r="V5" i="7"/>
  <c r="G82" i="21" s="1"/>
  <c r="U5" i="7"/>
  <c r="F82" i="21" s="1"/>
  <c r="T5" i="7"/>
  <c r="E82" i="21" s="1"/>
  <c r="S5" i="7"/>
  <c r="D82" i="21" s="1"/>
  <c r="R5" i="7"/>
  <c r="C82" i="21" s="1"/>
  <c r="V4" i="7"/>
  <c r="G81" i="21" s="1"/>
  <c r="U4" i="7"/>
  <c r="F81" i="21" s="1"/>
  <c r="T4" i="7"/>
  <c r="E81" i="21" s="1"/>
  <c r="S4" i="7"/>
  <c r="D81" i="21" s="1"/>
  <c r="R4" i="7"/>
  <c r="C81" i="21" s="1"/>
  <c r="V3" i="7"/>
  <c r="G80" i="21" s="1"/>
  <c r="U3" i="7"/>
  <c r="F80" i="21" s="1"/>
  <c r="T3" i="7"/>
  <c r="E80" i="21" s="1"/>
  <c r="S3" i="7"/>
  <c r="D80" i="21" s="1"/>
  <c r="R3" i="7"/>
  <c r="C80" i="21" s="1"/>
  <c r="V5" i="6"/>
  <c r="G74" i="21" s="1"/>
  <c r="U5" i="6"/>
  <c r="F74" i="21" s="1"/>
  <c r="T5" i="6"/>
  <c r="E74" i="21" s="1"/>
  <c r="S5" i="6"/>
  <c r="D74" i="21" s="1"/>
  <c r="R5" i="6"/>
  <c r="C74" i="21" s="1"/>
  <c r="V4" i="6"/>
  <c r="G73" i="21" s="1"/>
  <c r="U4" i="6"/>
  <c r="F73" i="21" s="1"/>
  <c r="T4" i="6"/>
  <c r="E73" i="21" s="1"/>
  <c r="S4" i="6"/>
  <c r="D73" i="21" s="1"/>
  <c r="R4" i="6"/>
  <c r="C73" i="21" s="1"/>
  <c r="V3" i="6"/>
  <c r="G72" i="21" s="1"/>
  <c r="U3" i="6"/>
  <c r="F72" i="21" s="1"/>
  <c r="T3" i="6"/>
  <c r="E72" i="21" s="1"/>
  <c r="S3" i="6"/>
  <c r="D72" i="21" s="1"/>
  <c r="R3" i="6"/>
  <c r="C72" i="21" s="1"/>
  <c r="V4" i="5"/>
  <c r="U4" i="5"/>
  <c r="T4" i="5"/>
  <c r="S4" i="5"/>
  <c r="R4" i="5"/>
  <c r="V3" i="5"/>
  <c r="U3" i="5"/>
  <c r="T3" i="5"/>
  <c r="S3" i="5"/>
  <c r="R3" i="5"/>
  <c r="V14" i="4"/>
  <c r="H46" i="20" s="1"/>
  <c r="G59" i="21" s="1"/>
  <c r="U14" i="4"/>
  <c r="G46" i="20" s="1"/>
  <c r="F59" i="21" s="1"/>
  <c r="T14" i="4"/>
  <c r="F46" i="20" s="1"/>
  <c r="E59" i="21" s="1"/>
  <c r="S14" i="4"/>
  <c r="E46" i="20" s="1"/>
  <c r="D59" i="21" s="1"/>
  <c r="R14" i="4"/>
  <c r="D46" i="20" s="1"/>
  <c r="C59" i="21" s="1"/>
  <c r="V12" i="4"/>
  <c r="H44" i="20" s="1"/>
  <c r="G58" i="21" s="1"/>
  <c r="U12" i="4"/>
  <c r="G44" i="20" s="1"/>
  <c r="F58" i="21" s="1"/>
  <c r="T12" i="4"/>
  <c r="F44" i="20" s="1"/>
  <c r="E58" i="21" s="1"/>
  <c r="S12" i="4"/>
  <c r="E44" i="20" s="1"/>
  <c r="D58" i="21" s="1"/>
  <c r="R12" i="4"/>
  <c r="D44" i="20" s="1"/>
  <c r="C58" i="21" s="1"/>
  <c r="V11" i="4"/>
  <c r="U11" i="4"/>
  <c r="T11" i="4"/>
  <c r="S11" i="4"/>
  <c r="R11" i="4"/>
  <c r="V10" i="4"/>
  <c r="G56" i="21" s="1"/>
  <c r="U10" i="4"/>
  <c r="F56" i="21" s="1"/>
  <c r="T10" i="4"/>
  <c r="E56" i="21" s="1"/>
  <c r="S10" i="4"/>
  <c r="D56" i="21" s="1"/>
  <c r="R10" i="4"/>
  <c r="C56" i="21" s="1"/>
  <c r="M9" i="4"/>
  <c r="V8" i="4"/>
  <c r="H42" i="20" s="1"/>
  <c r="G55" i="21" s="1"/>
  <c r="U8" i="4"/>
  <c r="G42" i="20" s="1"/>
  <c r="F55" i="21" s="1"/>
  <c r="T8" i="4"/>
  <c r="F42" i="20" s="1"/>
  <c r="E55" i="21" s="1"/>
  <c r="S8" i="4"/>
  <c r="E42" i="20" s="1"/>
  <c r="D55" i="21" s="1"/>
  <c r="R8" i="4"/>
  <c r="D42" i="20" s="1"/>
  <c r="C55" i="21" s="1"/>
  <c r="V6" i="4"/>
  <c r="H40" i="20" s="1"/>
  <c r="G54" i="21" s="1"/>
  <c r="U6" i="4"/>
  <c r="G40" i="20" s="1"/>
  <c r="F54" i="21" s="1"/>
  <c r="T6" i="4"/>
  <c r="F40" i="20" s="1"/>
  <c r="E54" i="21" s="1"/>
  <c r="S6" i="4"/>
  <c r="E40" i="20" s="1"/>
  <c r="D54" i="21" s="1"/>
  <c r="R6" i="4"/>
  <c r="D40" i="20" s="1"/>
  <c r="C54" i="21" s="1"/>
  <c r="V4" i="4"/>
  <c r="H38" i="20" s="1"/>
  <c r="G53" i="21" s="1"/>
  <c r="U4" i="4"/>
  <c r="G38" i="20" s="1"/>
  <c r="F53" i="21" s="1"/>
  <c r="T4" i="4"/>
  <c r="F38" i="20" s="1"/>
  <c r="E53" i="21" s="1"/>
  <c r="S4" i="4"/>
  <c r="E38" i="20" s="1"/>
  <c r="D53" i="21" s="1"/>
  <c r="R4" i="4"/>
  <c r="D38" i="20" s="1"/>
  <c r="C53" i="21" s="1"/>
  <c r="V3" i="4"/>
  <c r="G52" i="21" s="1"/>
  <c r="U3" i="4"/>
  <c r="F52" i="21" s="1"/>
  <c r="T3" i="4"/>
  <c r="E52" i="21" s="1"/>
  <c r="S3" i="4"/>
  <c r="D52" i="21" s="1"/>
  <c r="R3" i="4"/>
  <c r="C52" i="21" s="1"/>
  <c r="V9" i="3"/>
  <c r="H32" i="20" s="1"/>
  <c r="G45" i="21" s="1"/>
  <c r="U9" i="3"/>
  <c r="G32" i="20" s="1"/>
  <c r="F45" i="21" s="1"/>
  <c r="T9" i="3"/>
  <c r="F32" i="20" s="1"/>
  <c r="E45" i="21" s="1"/>
  <c r="S9" i="3"/>
  <c r="E32" i="20" s="1"/>
  <c r="D45" i="21" s="1"/>
  <c r="R9" i="3"/>
  <c r="D32" i="20" s="1"/>
  <c r="C45" i="21" s="1"/>
  <c r="V8" i="3"/>
  <c r="G44" i="21" s="1"/>
  <c r="U8" i="3"/>
  <c r="F44" i="21" s="1"/>
  <c r="T8" i="3"/>
  <c r="E44" i="21" s="1"/>
  <c r="S8" i="3"/>
  <c r="D44" i="21" s="1"/>
  <c r="R8" i="3"/>
  <c r="C44" i="21" s="1"/>
  <c r="V7" i="3"/>
  <c r="G43" i="21" s="1"/>
  <c r="U7" i="3"/>
  <c r="F43" i="21" s="1"/>
  <c r="T7" i="3"/>
  <c r="E43" i="21" s="1"/>
  <c r="S7" i="3"/>
  <c r="D43" i="21" s="1"/>
  <c r="R7" i="3"/>
  <c r="C43" i="21" s="1"/>
  <c r="V6" i="3"/>
  <c r="G42" i="21" s="1"/>
  <c r="U6" i="3"/>
  <c r="F42" i="21" s="1"/>
  <c r="T6" i="3"/>
  <c r="E42" i="21" s="1"/>
  <c r="S6" i="3"/>
  <c r="D42" i="21" s="1"/>
  <c r="R6" i="3"/>
  <c r="C42" i="21" s="1"/>
  <c r="V5" i="3"/>
  <c r="G41" i="21" s="1"/>
  <c r="U5" i="3"/>
  <c r="F41" i="21" s="1"/>
  <c r="T5" i="3"/>
  <c r="E41" i="21" s="1"/>
  <c r="S5" i="3"/>
  <c r="D41" i="21" s="1"/>
  <c r="R5" i="3"/>
  <c r="C41" i="21" s="1"/>
  <c r="V4" i="3"/>
  <c r="G40" i="21" s="1"/>
  <c r="U4" i="3"/>
  <c r="F40" i="21" s="1"/>
  <c r="T4" i="3"/>
  <c r="E40" i="21" s="1"/>
  <c r="S4" i="3"/>
  <c r="D40" i="21" s="1"/>
  <c r="R4" i="3"/>
  <c r="C40" i="21" s="1"/>
  <c r="V3" i="3"/>
  <c r="G39" i="21" s="1"/>
  <c r="U3" i="3"/>
  <c r="F39" i="21" s="1"/>
  <c r="T3" i="3"/>
  <c r="E39" i="21" s="1"/>
  <c r="S3" i="3"/>
  <c r="D39" i="21" s="1"/>
  <c r="R3" i="3"/>
  <c r="C39" i="21" s="1"/>
  <c r="C20" i="2"/>
  <c r="B20" i="2"/>
  <c r="D19" i="2"/>
  <c r="D18" i="2"/>
  <c r="D17" i="2"/>
  <c r="D16" i="2"/>
  <c r="D15" i="2"/>
  <c r="D14" i="2"/>
  <c r="D13" i="2"/>
  <c r="D12" i="2"/>
  <c r="D11" i="2"/>
  <c r="D10" i="2"/>
  <c r="D9" i="2"/>
  <c r="D8" i="2"/>
  <c r="D7" i="2"/>
  <c r="D6" i="2"/>
  <c r="D5" i="2"/>
  <c r="D4" i="2"/>
  <c r="D3" i="2"/>
  <c r="D2" i="2"/>
  <c r="V39" i="1"/>
  <c r="G33" i="21" s="1"/>
  <c r="U39" i="1"/>
  <c r="F33" i="21" s="1"/>
  <c r="T39" i="1"/>
  <c r="E33" i="21" s="1"/>
  <c r="S39" i="1"/>
  <c r="D33" i="21" s="1"/>
  <c r="R39" i="1"/>
  <c r="C33" i="21" s="1"/>
  <c r="V38" i="1"/>
  <c r="G32" i="21" s="1"/>
  <c r="U38" i="1"/>
  <c r="F32" i="21" s="1"/>
  <c r="T38" i="1"/>
  <c r="E32" i="21" s="1"/>
  <c r="S38" i="1"/>
  <c r="D32" i="21" s="1"/>
  <c r="R38" i="1"/>
  <c r="C32" i="21" s="1"/>
  <c r="V37" i="1"/>
  <c r="G31" i="21" s="1"/>
  <c r="U37" i="1"/>
  <c r="F31" i="21" s="1"/>
  <c r="T37" i="1"/>
  <c r="E31" i="21" s="1"/>
  <c r="S37" i="1"/>
  <c r="D31" i="21" s="1"/>
  <c r="R37" i="1"/>
  <c r="C31" i="21" s="1"/>
  <c r="V36" i="1"/>
  <c r="G30" i="21" s="1"/>
  <c r="U36" i="1"/>
  <c r="F30" i="21" s="1"/>
  <c r="T36" i="1"/>
  <c r="E30" i="21" s="1"/>
  <c r="S36" i="1"/>
  <c r="D30" i="21" s="1"/>
  <c r="R36" i="1"/>
  <c r="C30" i="21" s="1"/>
  <c r="M35" i="1"/>
  <c r="R34" i="1" s="1"/>
  <c r="D26" i="20" s="1"/>
  <c r="C29" i="21" s="1"/>
  <c r="V34" i="1"/>
  <c r="H26" i="20" s="1"/>
  <c r="G29" i="21" s="1"/>
  <c r="U34" i="1"/>
  <c r="G26" i="20" s="1"/>
  <c r="F29" i="21" s="1"/>
  <c r="T34" i="1"/>
  <c r="F26" i="20" s="1"/>
  <c r="E29" i="21" s="1"/>
  <c r="S34" i="1"/>
  <c r="E26" i="20" s="1"/>
  <c r="D29" i="21" s="1"/>
  <c r="V33" i="1"/>
  <c r="G28" i="21" s="1"/>
  <c r="U33" i="1"/>
  <c r="F28" i="21" s="1"/>
  <c r="T33" i="1"/>
  <c r="E28" i="21" s="1"/>
  <c r="S33" i="1"/>
  <c r="D28" i="21" s="1"/>
  <c r="R33" i="1"/>
  <c r="C28" i="21" s="1"/>
  <c r="V29" i="1"/>
  <c r="U29" i="1"/>
  <c r="T29" i="1"/>
  <c r="S29" i="1"/>
  <c r="R29" i="1"/>
  <c r="M29" i="1"/>
  <c r="V27" i="1"/>
  <c r="H20" i="20" s="1"/>
  <c r="G26" i="21" s="1"/>
  <c r="U27" i="1"/>
  <c r="G20" i="20" s="1"/>
  <c r="F26" i="21" s="1"/>
  <c r="T27" i="1"/>
  <c r="F20" i="20" s="1"/>
  <c r="E26" i="21" s="1"/>
  <c r="S27" i="1"/>
  <c r="E20" i="20" s="1"/>
  <c r="D26" i="21" s="1"/>
  <c r="R27" i="1"/>
  <c r="D20" i="20" s="1"/>
  <c r="C26" i="21" s="1"/>
  <c r="V26" i="1"/>
  <c r="G25" i="21" s="1"/>
  <c r="U26" i="1"/>
  <c r="F25" i="21" s="1"/>
  <c r="T26" i="1"/>
  <c r="E25" i="21" s="1"/>
  <c r="S26" i="1"/>
  <c r="D25" i="21" s="1"/>
  <c r="R26" i="1"/>
  <c r="C25" i="21" s="1"/>
  <c r="V24" i="1"/>
  <c r="H18" i="20" s="1"/>
  <c r="G24" i="21" s="1"/>
  <c r="U24" i="1"/>
  <c r="G18" i="20" s="1"/>
  <c r="F24" i="21" s="1"/>
  <c r="T24" i="1"/>
  <c r="F18" i="20" s="1"/>
  <c r="E24" i="21" s="1"/>
  <c r="S24" i="1"/>
  <c r="E18" i="20" s="1"/>
  <c r="D24" i="21" s="1"/>
  <c r="R24" i="1"/>
  <c r="D18" i="20" s="1"/>
  <c r="C24" i="21" s="1"/>
  <c r="V23" i="1"/>
  <c r="G23" i="21" s="1"/>
  <c r="U23" i="1"/>
  <c r="F23" i="21" s="1"/>
  <c r="T23" i="1"/>
  <c r="E23" i="21" s="1"/>
  <c r="S23" i="1"/>
  <c r="D23" i="21" s="1"/>
  <c r="M23" i="1"/>
  <c r="R23" i="1" s="1"/>
  <c r="C23" i="21" s="1"/>
  <c r="V22" i="1"/>
  <c r="G22" i="21" s="1"/>
  <c r="U22" i="1"/>
  <c r="F22" i="21" s="1"/>
  <c r="T22" i="1"/>
  <c r="E22" i="21" s="1"/>
  <c r="S22" i="1"/>
  <c r="D22" i="21" s="1"/>
  <c r="R22" i="1"/>
  <c r="C22" i="21" s="1"/>
  <c r="V21" i="1"/>
  <c r="G21" i="21" s="1"/>
  <c r="U21" i="1"/>
  <c r="F21" i="21" s="1"/>
  <c r="T21" i="1"/>
  <c r="E21" i="21" s="1"/>
  <c r="S21" i="1"/>
  <c r="D21" i="21" s="1"/>
  <c r="R21" i="1"/>
  <c r="C21" i="21" s="1"/>
  <c r="V20" i="1"/>
  <c r="G20" i="21" s="1"/>
  <c r="U20" i="1"/>
  <c r="F20" i="21" s="1"/>
  <c r="T20" i="1"/>
  <c r="E20" i="21" s="1"/>
  <c r="S20" i="1"/>
  <c r="D20" i="21" s="1"/>
  <c r="R20" i="1"/>
  <c r="C20" i="21" s="1"/>
  <c r="V18" i="1"/>
  <c r="H16" i="20" s="1"/>
  <c r="G19" i="21" s="1"/>
  <c r="U18" i="1"/>
  <c r="G16" i="20" s="1"/>
  <c r="F19" i="21" s="1"/>
  <c r="T18" i="1"/>
  <c r="F16" i="20" s="1"/>
  <c r="E19" i="21" s="1"/>
  <c r="S18" i="1"/>
  <c r="E16" i="20" s="1"/>
  <c r="D19" i="21" s="1"/>
  <c r="R18" i="1"/>
  <c r="D16" i="20" s="1"/>
  <c r="C19" i="21" s="1"/>
  <c r="V17" i="1"/>
  <c r="U17" i="1"/>
  <c r="T17" i="1"/>
  <c r="S17" i="1"/>
  <c r="R17" i="1"/>
  <c r="V16" i="1"/>
  <c r="U16" i="1"/>
  <c r="F17" i="21" s="1"/>
  <c r="T16" i="1"/>
  <c r="E17" i="21" s="1"/>
  <c r="S16" i="1"/>
  <c r="D17" i="21" s="1"/>
  <c r="R16" i="1"/>
  <c r="C17" i="21" s="1"/>
  <c r="V15" i="1"/>
  <c r="G16" i="21" s="1"/>
  <c r="U15" i="1"/>
  <c r="F16" i="21" s="1"/>
  <c r="T15" i="1"/>
  <c r="E16" i="21" s="1"/>
  <c r="S15" i="1"/>
  <c r="D16" i="21" s="1"/>
  <c r="R15" i="1"/>
  <c r="C16" i="21" s="1"/>
  <c r="V13" i="1"/>
  <c r="H14" i="20" s="1"/>
  <c r="G15" i="21" s="1"/>
  <c r="U13" i="1"/>
  <c r="G14" i="20" s="1"/>
  <c r="F15" i="21" s="1"/>
  <c r="T13" i="1"/>
  <c r="F14" i="20" s="1"/>
  <c r="E15" i="21" s="1"/>
  <c r="S13" i="1"/>
  <c r="E14" i="20" s="1"/>
  <c r="D15" i="21" s="1"/>
  <c r="R13" i="1"/>
  <c r="D14" i="20" s="1"/>
  <c r="C15" i="21" s="1"/>
  <c r="V12" i="1"/>
  <c r="G14" i="21" s="1"/>
  <c r="U12" i="1"/>
  <c r="F14" i="21" s="1"/>
  <c r="T12" i="1"/>
  <c r="E14" i="21" s="1"/>
  <c r="S12" i="1"/>
  <c r="D14" i="21" s="1"/>
  <c r="R12" i="1"/>
  <c r="C14" i="21" s="1"/>
  <c r="V11" i="1"/>
  <c r="G13" i="21" s="1"/>
  <c r="U11" i="1"/>
  <c r="F13" i="21" s="1"/>
  <c r="T11" i="1"/>
  <c r="E13" i="21" s="1"/>
  <c r="S11" i="1"/>
  <c r="D13" i="21" s="1"/>
  <c r="R11" i="1"/>
  <c r="C13" i="21" s="1"/>
  <c r="V9" i="1"/>
  <c r="H12" i="20" s="1"/>
  <c r="G12" i="21" s="1"/>
  <c r="U9" i="1"/>
  <c r="G12" i="20" s="1"/>
  <c r="F12" i="21" s="1"/>
  <c r="T9" i="1"/>
  <c r="F12" i="20" s="1"/>
  <c r="E12" i="21" s="1"/>
  <c r="S9" i="1"/>
  <c r="E12" i="20" s="1"/>
  <c r="D12" i="21" s="1"/>
  <c r="R9" i="1"/>
  <c r="D12" i="20" s="1"/>
  <c r="C12" i="21" s="1"/>
  <c r="V7" i="1"/>
  <c r="H10" i="20" s="1"/>
  <c r="G11" i="21" s="1"/>
  <c r="U7" i="1"/>
  <c r="G10" i="20" s="1"/>
  <c r="F11" i="21" s="1"/>
  <c r="T7" i="1"/>
  <c r="F10" i="20" s="1"/>
  <c r="E11" i="21" s="1"/>
  <c r="S7" i="1"/>
  <c r="E10" i="20" s="1"/>
  <c r="D11" i="21" s="1"/>
  <c r="R7" i="1"/>
  <c r="D10" i="20" s="1"/>
  <c r="C11" i="21" s="1"/>
  <c r="V5" i="1"/>
  <c r="H8" i="20" s="1"/>
  <c r="G10" i="21" s="1"/>
  <c r="U5" i="1"/>
  <c r="G8" i="20" s="1"/>
  <c r="F10" i="21" s="1"/>
  <c r="T5" i="1"/>
  <c r="F8" i="20" s="1"/>
  <c r="E10" i="21" s="1"/>
  <c r="S5" i="1"/>
  <c r="E8" i="20" s="1"/>
  <c r="D10" i="21" s="1"/>
  <c r="R5" i="1"/>
  <c r="D8" i="20" s="1"/>
  <c r="C10" i="21" s="1"/>
  <c r="V4" i="1"/>
  <c r="G9" i="21" s="1"/>
  <c r="U4" i="1"/>
  <c r="F9" i="21" s="1"/>
  <c r="T4" i="1"/>
  <c r="E9" i="21" s="1"/>
  <c r="S4" i="1"/>
  <c r="D9" i="21" s="1"/>
  <c r="R4" i="1"/>
  <c r="C9" i="21" s="1"/>
  <c r="V3" i="1"/>
  <c r="G8" i="21" s="1"/>
  <c r="U3" i="1"/>
  <c r="F8" i="21" s="1"/>
  <c r="T3" i="1"/>
  <c r="E8" i="21" s="1"/>
  <c r="S3" i="1"/>
  <c r="D8" i="21" s="1"/>
  <c r="R3" i="1"/>
  <c r="C8" i="21" s="1"/>
  <c r="V10" i="16"/>
  <c r="G183" i="21" s="1"/>
  <c r="U10" i="16"/>
  <c r="F183" i="21" s="1"/>
  <c r="T10" i="16"/>
  <c r="E183" i="21" s="1"/>
  <c r="S10" i="16"/>
  <c r="D183" i="21" s="1"/>
  <c r="R10" i="16"/>
  <c r="C183" i="21" s="1"/>
  <c r="V9" i="16"/>
  <c r="G182" i="21" s="1"/>
  <c r="U9" i="16"/>
  <c r="F182" i="21" s="1"/>
  <c r="T9" i="16"/>
  <c r="E182" i="21" s="1"/>
  <c r="S9" i="16"/>
  <c r="D182" i="21" s="1"/>
  <c r="R9" i="16"/>
  <c r="C182" i="21" s="1"/>
  <c r="V7" i="16"/>
  <c r="H98" i="20" s="1" a="1"/>
  <c r="U7" i="16"/>
  <c r="G98" i="20" s="1" a="1"/>
  <c r="T7" i="16"/>
  <c r="F98" i="20" s="1" a="1"/>
  <c r="S7" i="16"/>
  <c r="E98" i="20" s="1" a="1"/>
  <c r="R7" i="16"/>
  <c r="D98" i="20" s="1" a="1"/>
  <c r="V6" i="16"/>
  <c r="G180" i="21" s="1"/>
  <c r="U6" i="16"/>
  <c r="F180" i="21" s="1"/>
  <c r="T6" i="16"/>
  <c r="E180" i="21" s="1"/>
  <c r="S6" i="16"/>
  <c r="D180" i="21" s="1"/>
  <c r="R6" i="16"/>
  <c r="C180" i="21" s="1"/>
  <c r="V5" i="16"/>
  <c r="G179" i="21" s="1"/>
  <c r="U5" i="16"/>
  <c r="F179" i="21" s="1"/>
  <c r="T5" i="16"/>
  <c r="E179" i="21" s="1"/>
  <c r="S5" i="16"/>
  <c r="D179" i="21" s="1"/>
  <c r="R5" i="16"/>
  <c r="C179" i="21" s="1"/>
  <c r="V4" i="16"/>
  <c r="G178" i="21" s="1"/>
  <c r="U4" i="16"/>
  <c r="F178" i="21" s="1"/>
  <c r="T4" i="16"/>
  <c r="E178" i="21" s="1"/>
  <c r="S4" i="16"/>
  <c r="D178" i="21" s="1"/>
  <c r="R4" i="16"/>
  <c r="C178" i="21" s="1"/>
  <c r="V3" i="16"/>
  <c r="U3" i="16"/>
  <c r="T3" i="16"/>
  <c r="S3" i="16"/>
  <c r="R3" i="16"/>
  <c r="H98" i="20" l="1"/>
  <c r="G181" i="21" s="1"/>
  <c r="H99" i="20"/>
  <c r="G98" i="20"/>
  <c r="F181" i="21" s="1"/>
  <c r="G99" i="20"/>
  <c r="F98" i="20"/>
  <c r="E181" i="21" s="1"/>
  <c r="F99" i="20"/>
  <c r="E98" i="20"/>
  <c r="D181" i="21" s="1"/>
  <c r="E99" i="20"/>
  <c r="D98" i="20"/>
  <c r="C181" i="21" s="1"/>
  <c r="D99" i="20"/>
  <c r="G177" i="21"/>
  <c r="H96" i="20" a="1"/>
  <c r="H96" i="20" s="1"/>
  <c r="F177" i="21"/>
  <c r="G96" i="20" a="1"/>
  <c r="G96" i="20" s="1"/>
  <c r="E177" i="21"/>
  <c r="F96" i="20" a="1"/>
  <c r="F96" i="20" s="1"/>
  <c r="D177" i="21"/>
  <c r="E96" i="20" a="1"/>
  <c r="E96" i="20" s="1"/>
  <c r="C177" i="21"/>
  <c r="D96" i="20" a="1"/>
  <c r="D96" i="20" s="1"/>
  <c r="D20" i="2"/>
  <c r="B71" i="20"/>
  <c r="B70" i="20"/>
  <c r="B106" i="21" s="1"/>
  <c r="H11" i="21"/>
  <c r="H10" i="21"/>
  <c r="H104" i="20"/>
  <c r="G196" i="21" s="1"/>
  <c r="H105" i="20"/>
  <c r="G104" i="20"/>
  <c r="F196" i="21" s="1"/>
  <c r="G105" i="20"/>
  <c r="F104" i="20"/>
  <c r="E196" i="21" s="1"/>
  <c r="F105" i="20"/>
  <c r="E104" i="20"/>
  <c r="D196" i="21" s="1"/>
  <c r="E105" i="20"/>
  <c r="D104" i="20"/>
  <c r="C196" i="21" s="1"/>
  <c r="D105" i="20"/>
  <c r="H90" i="20"/>
  <c r="G165" i="21" s="1"/>
  <c r="H91" i="20"/>
  <c r="G90" i="20"/>
  <c r="F165" i="21" s="1"/>
  <c r="G91" i="20"/>
  <c r="F90" i="20"/>
  <c r="E165" i="21" s="1"/>
  <c r="F91" i="20"/>
  <c r="E90" i="20"/>
  <c r="D165" i="21" s="1"/>
  <c r="E91" i="20"/>
  <c r="D90" i="20"/>
  <c r="C165" i="21" s="1"/>
  <c r="D91" i="20"/>
  <c r="H88" i="20"/>
  <c r="G163" i="21" s="1"/>
  <c r="H89" i="20"/>
  <c r="G88" i="20"/>
  <c r="F163" i="21" s="1"/>
  <c r="G89" i="20"/>
  <c r="F88" i="20"/>
  <c r="E163" i="21" s="1"/>
  <c r="F89" i="20"/>
  <c r="E88" i="20"/>
  <c r="D163" i="21" s="1"/>
  <c r="E89" i="20"/>
  <c r="H22" i="20"/>
  <c r="G27" i="21"/>
  <c r="F27" i="21"/>
  <c r="G22" i="20"/>
  <c r="E27" i="21"/>
  <c r="F22" i="20"/>
  <c r="D27" i="21"/>
  <c r="E22" i="20"/>
  <c r="C27" i="21"/>
  <c r="D2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Lorena Maya</author>
  </authors>
  <commentList>
    <comment ref="L3" authorId="0" shapeId="0" xr:uid="{00000000-0006-0000-0500-000001000000}">
      <text>
        <r>
          <rPr>
            <sz val="11"/>
            <color theme="1"/>
            <rFont val="Calibri"/>
            <family val="2"/>
            <scheme val="minor"/>
          </rPr>
          <t xml:space="preserve">
Se baja a todos los espacios académicos que cuenten con revistas científicas.</t>
        </r>
      </text>
    </comment>
    <comment ref="L5" authorId="0" shapeId="0" xr:uid="{00000000-0006-0000-0500-000002000000}">
      <text>
        <r>
          <rPr>
            <sz val="11"/>
            <color theme="1"/>
            <rFont val="Calibri"/>
            <family val="2"/>
            <scheme val="minor"/>
          </rPr>
          <t xml:space="preserve">
Que cada revista científica se someta a evaluación.</t>
        </r>
      </text>
    </comment>
  </commentList>
</comments>
</file>

<file path=xl/sharedStrings.xml><?xml version="1.0" encoding="utf-8"?>
<sst xmlns="http://schemas.openxmlformats.org/spreadsheetml/2006/main" count="2083" uniqueCount="786">
  <si>
    <t>N.P.</t>
  </si>
  <si>
    <t xml:space="preserve">Clave Objetivo General </t>
  </si>
  <si>
    <t xml:space="preserve">Objetivo General </t>
  </si>
  <si>
    <t xml:space="preserve">Clave Objetivo Específico </t>
  </si>
  <si>
    <t xml:space="preserve"> Objetivo Específico </t>
  </si>
  <si>
    <t xml:space="preserve">No. de meta en el PRDI </t>
  </si>
  <si>
    <t>Meta  PRDI</t>
  </si>
  <si>
    <t>Clave de la meta</t>
  </si>
  <si>
    <t>Meta del espacio académico</t>
  </si>
  <si>
    <t>Actividad/Indicador</t>
  </si>
  <si>
    <t>Método de cálculo</t>
  </si>
  <si>
    <t>Nombre de las variables</t>
  </si>
  <si>
    <t>Valor de las variables</t>
  </si>
  <si>
    <t>Valor de los indicadores</t>
  </si>
  <si>
    <t>Medición
(anual o acumulada)</t>
  </si>
  <si>
    <t>Área responsable</t>
  </si>
  <si>
    <t>Ref.
2026</t>
  </si>
  <si>
    <t>PRDI25-29-Obj-53</t>
  </si>
  <si>
    <t>Promover la construcción de una cultura de paz en la comunidad universitaria, 
mediante estrategias educativas, participativas y de sensibilización que fortalezcan 
la convivencia armónica y el respeto a los derechos humanos.</t>
  </si>
  <si>
    <t>PRDI25-29-Obj-126</t>
  </si>
  <si>
    <t>Generar capacidades individuales y colectivas para la gestión pacífica de los 
conflictos, la convivencia respetuosa y la prevención de situaciones de violencia 
entre la comunidad universitaria.</t>
  </si>
  <si>
    <t>Certificar anualmente a 10.03% del personal académico, administrativo de confianza y directivo, en competencias básicas de mediación, gestión pacífica de conflictos y atención a las violencias</t>
  </si>
  <si>
    <t>ACT-POA-NS-2651</t>
  </si>
  <si>
    <t>Contribuir desde la Facultad de Ingeniería al cumplimiento de la meta PRDI “Certificar anualmente a 10.03% del personal académico, administrativo de confianza y directivo, en competencias básicas de mediación, gestión pacífica de conflictos y atención a las violencias”, con valores absolutos programados de 2027: 6, 2028: 7, 2029: 7, 2030: 9. Sustento en la Matriz de consistencia: «Mantener al menos 5 acciones de capacitación registradas en cada medición anual de 2027 a 2030.»</t>
  </si>
  <si>
    <t>Actividad</t>
  </si>
  <si>
    <t>Sin fórmula</t>
  </si>
  <si>
    <t xml:space="preserve">
Capacitar anualmente a personal académico, administrativo de confianza y directivo del nivel superior, en competencias básicas de mediación, gestión pacífica de conflictos y atención a las violencias</t>
  </si>
  <si>
    <t>Anual</t>
  </si>
  <si>
    <t>Unidad de Igualdad de Género y Dirección</t>
  </si>
  <si>
    <t>Involucrar a 400 estudiantes en actividades comunitarias, proyectos de intervención social y programas extracurriculares orientados a la construcción de paz durante la administración</t>
  </si>
  <si>
    <t>ACT-PRDI-NS-3188</t>
  </si>
  <si>
    <t>Contribuir desde la Facultad de Ingeniería al cumplimiento de la meta PRDI “Involucrar a 400 estudiantes en actividades comunitarias, proyectos de intervención social y programas extracurriculares orientados a la construcción de paz durante la administración”, con valores absolutos programados de 2027: 2, 2028: 2, 2029: 2, 2030: 2. Sustento en la Matriz de consistencia: «Realizar 1 reunión y 1 encuesta a estudiantes, docentes y administrativos cada año de 2028 a 2030 y documentar los ajustes derivados.»</t>
  </si>
  <si>
    <t xml:space="preserve">Involucrar  a estudiantes en actividades comunitarias, proyectos de intervención social y programas extracurriculares orientados a la construcción de paz </t>
  </si>
  <si>
    <t xml:space="preserve">Anual </t>
  </si>
  <si>
    <t>PRDI25-29-Obj-127</t>
  </si>
  <si>
    <t>Fomentar una cultura institucional de respeto e igualdad para prevenir conductas 
violentas dentro de los espacios universitarios.</t>
  </si>
  <si>
    <t>Lograr que 100% de los espacios académicos, realicen actividades culturales con temáticas de igualdad de género y cultura de paz, durante la administración</t>
  </si>
  <si>
    <t>ACT-PRDI-NS-3244</t>
  </si>
  <si>
    <t>Contribuir desde la Facultad de Ingeniería al cumplimiento de la meta PRDI “Lograr que 100% de los espacios académicos, realicen actividades culturales con temáticas de igualdad de género y cultura de paz, durante la administración”, con valores absolutos programados de 2027: 1, 2028: 0, 2029: 0, 2030: 0.</t>
  </si>
  <si>
    <t>Realizar actividades culturales con temáticas de igualdad de género y cultura de paz</t>
  </si>
  <si>
    <t xml:space="preserve">Realizar 2 campañas anuales para difundir los protocolos institucionales de atención y prevención de violencias a toda la comunidad universitaria </t>
  </si>
  <si>
    <t>ACT-PRDI-NS-3189</t>
  </si>
  <si>
    <t>Contribuir desde la Facultad de Ingeniería al cumplimiento de la meta PRDI “Realizar 2 campañas anuales para difundir los protocolos institucionales de atención y prevención de violencias a toda la comunidad universitaria”, con valores absolutos programados de 2027: 1, 2028: 1, 2029: 1, 2030: 1. Sustento en la Matriz de consistencia: «Realizar 1 revisión documentada de las barreras para denunciar y recibir atención en 2027 y actualizarla una vez al año de 2028 a 2030.»</t>
  </si>
  <si>
    <t xml:space="preserve">Realizar campañas para difundir los protocolos institucionales de atención y prevención de violencias a toda la comunidad universitaria </t>
  </si>
  <si>
    <t>PRDI25-29-Obj-128</t>
  </si>
  <si>
    <t>Evaluar el impacto de las acciones implementadas para medir los avances 
en la construcción de una cultura de paz y la transformación de las relaciones 
interpersonales e institucionales.</t>
  </si>
  <si>
    <t>Lograr la participación de 40% de la comunidad universitaria en actividades y programas que promuevan la convivencia pacífica, la inclusión y el respeto, durante la administración</t>
  </si>
  <si>
    <t>IND-PRDI-420</t>
  </si>
  <si>
    <t>Mejorar o mantener de forma conservadora en la Facultad de Ingeniería el indicador IND-PRDI-420, con la trayectoria 2027: 38.01%, 2028: 38.68%, 2029: 39.34%, 2030: 39.99%, sustentada en referencia PRDI; no existe serie histórica directamente comparable para la variable.</t>
  </si>
  <si>
    <t>Indicador</t>
  </si>
  <si>
    <t>(Número de participantes  en actividades y programas que promuevan la convivencia pacífica, la inclusión y el respeto/Número de integrantes de la comunidad universitaria)*100</t>
  </si>
  <si>
    <t>Número de participantes  en actividades y programas que promuevan la convivencia pacífica, la inclusión y el respeto</t>
  </si>
  <si>
    <t>Número de integrantes de la comunidad universitaria</t>
  </si>
  <si>
    <t>PRDI25-29-Obj-75</t>
  </si>
  <si>
    <t>Fortalecer la educación para la paz, la no violencia y los derechos humanos para 
lograr la convivencia pacífica en los espacios universitarios.</t>
  </si>
  <si>
    <t>Realizar 1 jornada anual sobre los 16 días de activismo con diversas actividades (conferencias, talleres, capacitaciones) presenciales y virtuales en los diversos espacios de la universidad</t>
  </si>
  <si>
    <t>ACT-PRDI-NS-2766</t>
  </si>
  <si>
    <t>Contribuir desde la Facultad de Ingeniería al cumplimiento de la meta PRDI “Realizar 1 jornada anual sobre los 16 días de activismo con diversas actividades (conferencias, talleres, capacitaciones) presenciales y virtuales en los diversos espacios de la universidad”, con valores absolutos programados de 2027: 1, 2028: 1, 2029: 1, 2030: 1.</t>
  </si>
  <si>
    <t>Realizar jornadas sobre los 16 días de activismo con diversas actividades (conferencias, talleres, capacitaciones) presenciales y virtuales en los diversos espacios de la universidad</t>
  </si>
  <si>
    <t>Publicar 30 contenidos anuales en las redes sociales oficiales sobre temas que promuevan la igualdad sustantiva, la prevención de las violencias, la inclusión, el cuidado y la cultura de paz</t>
  </si>
  <si>
    <t>ACT-PRDI-NS-3178</t>
  </si>
  <si>
    <t>Contribuir desde la Facultad de Ingeniería al cumplimiento de la meta PRDI “Publicar 30 contenidos anuales en las redes sociales oficiales sobre temas que promuevan la igualdad sustantiva, la prevención de las violencias, la inclusión, el cuidado y la cultura de paz”, con valores absolutos programados de 2027: 1, 2028: 1, 2029: 1, 2030: 1.</t>
  </si>
  <si>
    <t>Publicar contenidos en las redes sociales oficiales sobre temas que promuevan la igualdad sustantiva, la prevención de las violencias, la inclusión, el cuidado y la cultura de paz</t>
  </si>
  <si>
    <t>ESTATUS</t>
  </si>
  <si>
    <t>PRDI25-29-Obj-36</t>
  </si>
  <si>
    <t>Formar estudiantes de excelencia, a través de estudios profesionales pertinentes e inclusivos, con una vinculación permanente con estudiantes y personas egresadas, para su pleno desarrollo profesional y su contribución al bienestar social.</t>
  </si>
  <si>
    <t>PRDI2025-2029-Obj-58</t>
  </si>
  <si>
    <t>Contar con planes de estudio pertinentes y de excelencia, en diferentes modalidades, que incorporen los criterios transversales del SEAES, de indicadores de instancias de evaluación externa y acreditación, y de organismos acreditadores, para formar profesionistas que contribuyan a la conformación de una sociedad más justa, libre, incluyente y pacífica, con una visión de sostenibilidad.</t>
  </si>
  <si>
    <t>Incorporar contenidos temáticos o actividades académicas sobre los criterios transversales del seaes, en 30 planes de estudio reestructurados, durante la administración</t>
  </si>
  <si>
    <t>ACT-PRDI-NS-2726</t>
  </si>
  <si>
    <t>Contribuir desde la Facultad de Ingeniería al cumplimiento de la meta PRDI “Incorporar contenidos temáticos o actividades académicas sobre los criterios transversales del seaes, en 30 planes de estudio reestructurados, durante la administración”, con valores absolutos programados de 2027: 1, 2028: 0, 2029: 0, 2030: 0.</t>
  </si>
  <si>
    <t>Incorporar contenidos temáticos o actividades académicas sobre los criterios transversales del seaes, en planes de estudio reestructurados</t>
  </si>
  <si>
    <t>Subdirección Académica y coordinaciones de licenciatura</t>
  </si>
  <si>
    <t>Contar con el acervo de 120 unidades de aprendizaje de estudios profesionales apegados a las referencias documentales básicas durante la administración</t>
  </si>
  <si>
    <t>ACT-PRDI-NS-2727</t>
  </si>
  <si>
    <t>Contribuir desde la Facultad de Ingeniería al cumplimiento de la meta PRDI “Contar con el acervo de 120 unidades de aprendizaje de estudios profesionales apegados a las referencias documentales básicas durante la administración”, con valores absolutos programados de 2027: 1, 2028: 1, 2029: 1, 2030: 0.</t>
  </si>
  <si>
    <t xml:space="preserve">Contar con el acervo de unidades de aprendizaje de estudios profesionales apegados a las referencias documentales básicas </t>
  </si>
  <si>
    <t>Lograr que 89.13% de los programas educativos de estudios profesionales evaluables cuenten con reconocimiento por su excelencia, para 2029</t>
  </si>
  <si>
    <t>IND-NS-210</t>
  </si>
  <si>
    <t>Mejorar o mantener de forma conservadora en la Facultad de Ingeniería el indicador IND-NS-210, con la trayectoria 2027: 80%, 2028: 80%, 2029: 80%, 2030: 80%, sustentada en referencia PRDI; no existe serie histórica directamente comparable para la variable.</t>
  </si>
  <si>
    <t>(Número de programas educativos de estudios profesionales con reconocimiento por su excelencia / Número de programas educativos de Estudios Profesionales evaluables)*100</t>
  </si>
  <si>
    <t>Número de programas educativos de estudios profesionales con reconocimiento por su excelencia</t>
  </si>
  <si>
    <t>Número de programas educativos de Estudios Profesionales evaluables</t>
  </si>
  <si>
    <t>Lograr que 92.9% de la matrícula en programas educativos de estudios profesionales evaluables, curse en programas educativos reconocidos por su excelencia, para 2029</t>
  </si>
  <si>
    <t>IND-PRDI-351</t>
  </si>
  <si>
    <t>Mejorar o mantener de forma conservadora en la Facultad de Ingeniería el indicador IND-PRDI-351, con la trayectoria 2027: 88.89%, 2028: 90.25%, 2029: 91.55%, 2030: 92.91%, sustentada en referencia PRDI; no existe serie histórica directamente comparable para la variable.</t>
  </si>
  <si>
    <t>(Matrícula de estudiantes de estudios profesionales del sistema dependiente en programas educativos reconocidos por su excelencia / Matrícula de estudiantes de estudios profesionales del sistema dependiente en programas educativos evaluables)*100</t>
  </si>
  <si>
    <t>Matrícula de estudiantes de estudios profesionales del sistema dependiente en programas educativos reconocidos por su excelencia</t>
  </si>
  <si>
    <t>Matrícula de estudiantes de estudios profesionales del sistema dependiente en programas educativos evaluables</t>
  </si>
  <si>
    <t>PRDI25-29-Obj-81</t>
  </si>
  <si>
    <t>Fortalecer la formación disciplinar e integral del estudiantado y su educación continua, en congruencia con el modelo educativo institucional, para fomentar su desarrollo humano completo y maximizar su potencial académico y profesional, así como su retribución social, en los diferentes sectores.</t>
  </si>
  <si>
    <t>Lograr que 72% de los sustentantes que presentan el EGEL obtengan testimonios de desempeño sobresaliente o satisfactorio, para 2029</t>
  </si>
  <si>
    <t>IND-PRDI-200</t>
  </si>
  <si>
    <t>Mejorar o mantener de forma conservadora en la Facultad de Ingeniería el indicador IND-PRDI-200, con la trayectoria 2027: 68%, 2028: 70%, 2029: 71.29%, 2030: 71.57%, sustentada en referencia PRDI; no existe serie histórica directamente comparable para la variable.</t>
  </si>
  <si>
    <t>(Número de sustentantes de estudios profesionales que obtienen testimonio de desempeño sobresaliente o satisfactorio en el EGEL / 
Total de sustentantes de estudios profesionales que presentan los EGEL)*100</t>
  </si>
  <si>
    <t>Número de sustentantes de estudios profesionales que obtienen testimonio de desempeño sobresaliente o satisfactorio en el EGEL</t>
  </si>
  <si>
    <t>Total de sustentantes de estudios profesionales que presentan los EGEL</t>
  </si>
  <si>
    <t>Implementar 1 programa de preparación para EGEL anualmente</t>
  </si>
  <si>
    <t>ACT-PRDI-NS-2781</t>
  </si>
  <si>
    <t>Contribuir desde la Facultad de Ingeniería al cumplimiento de la meta PRDI “Implementar 1 programa de preparación para EGEL anualmente”, con valores absolutos programados de 2027: 1, 2028: 1, 2029: 1, 2030: 1.</t>
  </si>
  <si>
    <t xml:space="preserve">Implementar un programa de preparación para EGEL </t>
  </si>
  <si>
    <t>Lograr que 550 estudiantes de estudios profesionales participen en movilidad intrainstitucional durante la administración</t>
  </si>
  <si>
    <t>ACT-PRDI-NS-2785</t>
  </si>
  <si>
    <t>Contribuir desde la Facultad de Ingeniería al cumplimiento de la meta PRDI “Lograr que 550 estudiantes de estudios profesionales participen en movilidad intrainstitucional durante la administración”, con valores absolutos programados de 2027: 3, 2028: 3, 2029: 2, 2030: 2.</t>
  </si>
  <si>
    <t>Lograr que estudiantes de estudios profesionales participen en movilidad intrainstitucional</t>
  </si>
  <si>
    <t>Lograr anualmente que 100% de los estudiantes de estudios profesionales estén beneficiados con el nuevo Programa Institucional de Tutoría Académica</t>
  </si>
  <si>
    <t>IND-PRDI-353</t>
  </si>
  <si>
    <t>Mejorar o mantener de forma conservadora en la Facultad de Ingeniería el indicador IND-PRDI-353, con la trayectoria 2027: 98.13%, 2028: 98.74%, 2029: 99.37%, 2030: 100%, sustentada en serie histórica directamente comparable del sitio.</t>
  </si>
  <si>
    <t>(Número de estudiantes de estudios profesionales beneficiados con tutoría/ Total de estudiantes de estudios profesionales) * 100</t>
  </si>
  <si>
    <t>Número de estudiantes de estudios profesionales beneficiados con tutoría</t>
  </si>
  <si>
    <t>Total de estudiantes de estudios profesionales</t>
  </si>
  <si>
    <t>Lograr que 1 030 estudiantes de estudios profesionales participen en movilidad nacional e internacional durante la administración</t>
  </si>
  <si>
    <t>ACT-PRDI-NS-2789</t>
  </si>
  <si>
    <t>Contribuir desde la Facultad de Ingeniería al cumplimiento de la meta PRDI “Lograr que 1 030 estudiantes de estudios profesionales participen en movilidad nacional e internacional durante la administración”, con valores absolutos programados de 2027: 5, 2028: 5, 2029: 5, 2030: 4.</t>
  </si>
  <si>
    <t xml:space="preserve">Lograr que estudiantes de estudios profesionales participen en movilidad nacional e internacional </t>
  </si>
  <si>
    <t>Realizar anualmente en los 55 espacios académicos un proyecto colaborativo de beneficio social</t>
  </si>
  <si>
    <t>ACT-PRDI-NS-2729</t>
  </si>
  <si>
    <t>Contribuir desde la Facultad de Ingeniería al cumplimiento de la meta PRDI “Realizar anualmente en los 55 espacios académicos un proyecto colaborativo de beneficio social”, con valores absolutos programados de 2027: 1, 2028: 1, 2029: 1, 2030: 1.</t>
  </si>
  <si>
    <t xml:space="preserve">Realizar en los espacios académicos un proyecto colaborativo de beneficio social </t>
  </si>
  <si>
    <t>Contar con 70 manuales de prácticas apegados a los indicadores del Sistema para Evaluar la Calidad de Medios Educativos anualmente</t>
  </si>
  <si>
    <t>ACT-PRDI-NS-2792</t>
  </si>
  <si>
    <t>Contribuir desde la Facultad de Ingeniería al cumplimiento de la meta PRDI “Contar con 70 manuales de prácticas apegados a los indicadores del Sistema para Evaluar la Calidad de Medios Educativos anualmente”, con valores absolutos programados de 2027: 2, 2028: 2, 2029: 2, 2030: 2.</t>
  </si>
  <si>
    <t xml:space="preserve">Contar con manuales de prácticas apegados a los indicadores del Sistema para Evaluar la Calidad de Medios Educativos </t>
  </si>
  <si>
    <t>Lograr que 80.03% de las GEI disponibles en SEDUCA sean utilizadas, para 2029</t>
  </si>
  <si>
    <t>IND-PRDI-357</t>
  </si>
  <si>
    <t>Mejorar o mantener de forma conservadora en la Facultad de Ingeniería el indicador IND-PRDI-357, con la trayectoria 2027: 80%, 2028: 80%, 2029: 80%, 2030: 80%, sustentada en referencia PRDI; no existe serie histórica directamente comparable para la variable.</t>
  </si>
  <si>
    <t>(Número de guías de estudio independiente utilizadas / Número total de guías de estudio independiente vigentes disponibles en SEDUCA) *100</t>
  </si>
  <si>
    <t>Número de guías de estudio independiente utilizadas</t>
  </si>
  <si>
    <t>Número total de guías de estudio independiente vigentes disponibles en SEDUCA</t>
  </si>
  <si>
    <t>Incrementar a 52 000 el número de estudiantes de estudios profesionales en la renovada plataforma seduca, para 2029</t>
  </si>
  <si>
    <t>ACT-PRDI-NS-2728</t>
  </si>
  <si>
    <t>Contribuir desde la Facultad de Ingeniería al cumplimiento de la meta PRDI “Incrementar a 52 000 el número de estudiantes de estudios profesionales en la renovada plataforma seduca, para 2029”, con valores absolutos programados de 2027: 473, 2028: 710, 2029: 946, 2030: 946.</t>
  </si>
  <si>
    <t xml:space="preserve">Incrementar el número de estudiantes de estudios profesionales en la renovada plataforma seduca </t>
  </si>
  <si>
    <t>Desarrollar 470 actividades académicas de educación continua al año</t>
  </si>
  <si>
    <t>ACT-PRDI-NS-2805</t>
  </si>
  <si>
    <t>Contribuir desde la Facultad de Ingeniería al cumplimiento de la meta PRDI “Desarrollar 470 actividades académicas de educación continua al año”, con valores absolutos programados de 2027: 9, 2028: 9, 2029: 9, 2030: 9.</t>
  </si>
  <si>
    <t>Desarrollar actividades académicas de educación continua</t>
  </si>
  <si>
    <t>Certificar en una segunda lengua a 720 estudiantes de estudios profesionales anualmente</t>
  </si>
  <si>
    <t>ACT-PRDI-NS-2205</t>
  </si>
  <si>
    <t>Contribuir desde la Facultad de Ingeniería al cumplimiento de la meta PRDI “Certificar en una segunda lengua a 720 estudiantes de estudios profesionales anualmente”, con valores absolutos programados de 2027: 14, 2028: 14, 2029: 14, 2030: 14.</t>
  </si>
  <si>
    <t>Certificar internacionalmente en una segunda lengua a estudiantes de estudios profesionales</t>
  </si>
  <si>
    <t>PRDI25-29-Obj-82</t>
  </si>
  <si>
    <t>Contribuir al acceso, permanencia y egreso del alumnado de estudios profesionales para su formación integral y la conclusión de sus estudios profesionales.</t>
  </si>
  <si>
    <t>Incrementar la matrícula a 78 002 estudiantes de estudios profesionales en sus diversas modalidades para 2029</t>
  </si>
  <si>
    <t>ACT-PRDI-NS-1764</t>
  </si>
  <si>
    <t>Contribuir desde la Facultad de Ingeniería al cumplimiento de la meta PRDI “Incrementar la matrícula a 78 002 estudiantes de estudios profesionales en sus diversas modalidades para 2029”, con valores absolutos programados de 2027: 3004, 2028: 3019, 2029: 3034, 2030: 3049. Sustento en la Matriz de consistencia: «Realizar 1 reunión y 1 encuesta a estudiantes de cada licenciatura cada año de 2028 a 2030 y documentar los ajustes derivados.»</t>
  </si>
  <si>
    <t xml:space="preserve">
Atender la matrícula de Estudios Profesionales en sus diversas modalidades</t>
  </si>
  <si>
    <t>Contar con una titulación por cohorte a 2029 de 30.5%</t>
  </si>
  <si>
    <t>IND-PRDI-40</t>
  </si>
  <si>
    <t>Mejorar o mantener de forma conservadora en la Facultad de Ingeniería el indicador IND-PRDI-40, con la trayectoria 2027: 3%, 2028: 4%, 2029: 4.95%, 2030: 5.88%, sustentada en serie histórica directamente comparable del sitio.</t>
  </si>
  <si>
    <t>(Titulados al primer año de egreso/Nuevo ingreso n-5 )*100</t>
  </si>
  <si>
    <t>Titulados al primer año de egreso</t>
  </si>
  <si>
    <t>Nuevo ingreso n-5</t>
  </si>
  <si>
    <t>Implementar semestralmente 1 programa de fomento a la titulación</t>
  </si>
  <si>
    <t>ACT-PRDI-NS-2814</t>
  </si>
  <si>
    <t>Contribuir desde la Facultad de Ingeniería al cumplimiento de la meta PRDI “Implementar semestralmente 1 programa de fomento a la titulación”, con valores absolutos programados de 2027: 0, 2028: 0, 2029: 2, 2030: 0.</t>
  </si>
  <si>
    <t>Implementar un programa de fomento a la titulación</t>
  </si>
  <si>
    <t>Lograr la eficiencia terminal por cohorte en estudios Profesionales de 53.59% en 2029</t>
  </si>
  <si>
    <t>IND-NS-127</t>
  </si>
  <si>
    <t>Mejorar o mantener de forma conservadora en la Facultad de Ingeniería el indicador IND-NS-127, con la trayectoria 2027: 5.19%, 2028: 6.19%, 2029: 7.19%, 2030: 8.21%, sustentada en serie histórica directamente comparable del sitio.</t>
  </si>
  <si>
    <t>(La suma acumulada del número de egresados de la cohorte de estudios profesionales en cada uno de los años que dura la cohorte/Número total de alumnos de ingreso a primer año de la cohorte)*100</t>
  </si>
  <si>
    <t>La suma acumulada del número de egresados de la cohorte de estudios profesionales en cada uno de los años que dura la cohorte</t>
  </si>
  <si>
    <t>Número total de alumnos de ingreso a primer año de la cohorte</t>
  </si>
  <si>
    <t>Disminuir a 7.80% el abandono escolar de estudios profesionales al término de la administración</t>
  </si>
  <si>
    <t>IND-PRDI-34</t>
  </si>
  <si>
    <t>Mejorar o mantener de forma conservadora en la Facultad de Ingeniería el indicador IND-PRDI-34, con la trayectoria 2027: 8.03%, 2028: 7.96%, 2029: 7.88%, 2030: 7.81%, sustentada en serie histórica directamente comparable del sitio.</t>
  </si>
  <si>
    <t>(1-((Matrícula total n mas 1-Nuevo ingreso 1o n mas 1+Egresados n)/(Matrícula total n)))*100</t>
  </si>
  <si>
    <t>Matrícula total n mas 1</t>
  </si>
  <si>
    <t>Nuevo ingreso 1o n mas 1</t>
  </si>
  <si>
    <t>Egresados n</t>
  </si>
  <si>
    <t>Matrícula total n</t>
  </si>
  <si>
    <t>Otorgar anualmente 38 000 becas, apoyos o estímulos institucionales a estudiantes de Estudios Profesionales</t>
  </si>
  <si>
    <t>ACT-PRDI-NS-2297</t>
  </si>
  <si>
    <t>Contribuir desde la Facultad de Ingeniería al cumplimiento de la meta PRDI “Otorgar anualmente 38 000 becas, apoyos o estímulos institucionales a estudiantes de Estudios Profesionales”, con valores absolutos programados de 2027: 691, 2028: 691, 2029: 691, 2030: 691.</t>
  </si>
  <si>
    <t>Otorgar becas, apoyos o estímulos a alumnos de estudios profesionales para la permanencia y conclusión de estudios</t>
  </si>
  <si>
    <t>Lograr que 98% del total de estudiantes activos de Estudios Profesionales cuenten con servicios de salud a 2029</t>
  </si>
  <si>
    <t>IND-PRDI-366</t>
  </si>
  <si>
    <t>Mejorar o mantener de forma conservadora en la Facultad de Ingeniería el indicador IND-PRDI-366, con la trayectoria 2027: 94.01%, 2028: 95.34%, 2029: 96.65%, 2030: 97.99%, sustentada en referencia PRDI; no existe serie histórica directamente comparable para la variable.</t>
  </si>
  <si>
    <t>(Alumnos afiliados al Seguro Facultativo de Estudios Profesionales / Matrícula activa de Estudios Profesionales)*100</t>
  </si>
  <si>
    <t>Alumnos afiliados al Seguro Facultativo de Estudios Profesionales</t>
  </si>
  <si>
    <t>Matrícula activa de Estudios Profesionales</t>
  </si>
  <si>
    <t>Lograr la participación de 32 300 estudiantes y personas egresadas en los sectores gubernamental, productivo y social, mediante las prácticas o estancias profesionales, al cierre de la administración</t>
  </si>
  <si>
    <t>ACT-PRDI-NS-2285</t>
  </si>
  <si>
    <t>Contribuir desde la Facultad de Ingeniería al cumplimiento de la meta PRDI “Lograr la participación de 32 300 estudiantes y personas egresadas en los sectores gubernamental, productivo y social, mediante las prácticas o estancias profesionales, al cierre de la administración”, con valores absolutos programados de 2027: 0, 2028: 0, 2029: 588, 2030: 0.</t>
  </si>
  <si>
    <t>Lograr la participación de alumnos en los sectores gubernamental, productivo y social mediante las prácticas o estancias profesionales</t>
  </si>
  <si>
    <t>Lograr la participación de 500 estudiantes de estudios profesionales en cursos, talleres o actividades de capacitación de empleabilidad, realizadas en conjunto con instituciones externas, anualmente</t>
  </si>
  <si>
    <t>ACT-PRDI-NS-2826</t>
  </si>
  <si>
    <t>Contribuir desde la Facultad de Ingeniería al cumplimiento de la meta PRDI “Lograr la participación de 500 estudiantes de estudios profesionales en cursos, talleres o actividades de capacitación de empleabilidad, realizadas en conjunto con instituciones externas, anualmente”, con valores absolutos programados de 2027: 10, 2028: 10, 2029: 10, 2030: 10.</t>
  </si>
  <si>
    <t>Lograr la participación de estudiantes de estudios profesionales en cursos, talleres o actividades de capacitación de empleabilidad, realizadas en conjunto con instituciones externas</t>
  </si>
  <si>
    <t>Realizar 10 eventos de promoción y difusión en apoyo al desarrollo profesional para el empleo y la inserción laboral, durante la administración</t>
  </si>
  <si>
    <t>ACT-PRDI-NS-2825</t>
  </si>
  <si>
    <t>Contribuir desde la Facultad de Ingeniería al cumplimiento de la meta PRDI “Realizar 10 eventos de promoción y difusión en apoyo al desarrollo profesional para el empleo y la inserción laboral, durante la administración”, con valores absolutos programados de 2027: 1, 2028: 0, 2029: 0, 2030: 0. Sustento en la Matriz de consistencia: «Realizar 1 revisión documentada de las trayectorias y asignaturas con mayor rezago en 2027 y actualizarla una vez al año de 2028 a 2030.»</t>
  </si>
  <si>
    <t>Realizar  eventos de promoción y difusión en apoyo al desarrollo profesional para el empleo y la inserción laboral</t>
  </si>
  <si>
    <t>PRDI25-29-Obj-83</t>
  </si>
  <si>
    <t>Fortalecer la vinculación, acompañamiento y seguimiento de egresados de estudios profesionales, para favorecer las prácticas profesionales, empleabilidad y colaboración con el sector productivo, con un sentido de identidad.</t>
  </si>
  <si>
    <t>Realizar 40 intervenciones de impacto anuales en espacios académicos para fortalecer la vinculación colaborativa entre egresados y estudiantes</t>
  </si>
  <si>
    <t>ACT-PRDI-NS-2753</t>
  </si>
  <si>
    <t>Contribuir desde la Facultad de Ingeniería al cumplimiento de la meta PRDI “Realizar 40 intervenciones de impacto anuales en espacios académicos para fortalecer la vinculación colaborativa entre egresados y estudiantes”, con valores absolutos programados de 2027: 1, 2028: 1, 2029: 1, 2030: 1. Sustento en la Matriz de consistencia: «Validar y documentar el valor de Ref. 2026 durante 2027 y, una vez confirmado, mantenerlo o mejorarlo hasta 2030.»</t>
  </si>
  <si>
    <t>Realizar intervenciones de impacto en espacios académicos para fortalecer la vinculación colaborativa entre egresados y estudiantes</t>
  </si>
  <si>
    <t>Proyecto</t>
  </si>
  <si>
    <t>Actividades</t>
  </si>
  <si>
    <t>Indicadores</t>
  </si>
  <si>
    <t>Total</t>
  </si>
  <si>
    <t>2 EstudiantadoEstProf</t>
  </si>
  <si>
    <t>3 Est avanzados excelencia</t>
  </si>
  <si>
    <t>4 Investigación abierta</t>
  </si>
  <si>
    <t>5 Innovación, desarrollo tec</t>
  </si>
  <si>
    <t>6 Dif y divulga de la ciencia</t>
  </si>
  <si>
    <t>7 Cultura desarrollo integral</t>
  </si>
  <si>
    <t>8 Deporte universitario</t>
  </si>
  <si>
    <t>9 Fortalecimiento docente</t>
  </si>
  <si>
    <t>10 Dignificación las y los trab</t>
  </si>
  <si>
    <t>11 Gestión administrativa</t>
  </si>
  <si>
    <t>12 Fortalecimiento tecnológico</t>
  </si>
  <si>
    <t>13 Gobernanza</t>
  </si>
  <si>
    <t>16 Manejo recursos universitari</t>
  </si>
  <si>
    <t>18 Reconocimiento de la diversi</t>
  </si>
  <si>
    <t xml:space="preserve">19 Constr cultura de paz </t>
  </si>
  <si>
    <t xml:space="preserve">20 Retribución social </t>
  </si>
  <si>
    <t>21 Comunicación universitaria</t>
  </si>
  <si>
    <t xml:space="preserve">22 Sostenibilidad ambiental </t>
  </si>
  <si>
    <t>PRDI25-29-Obj-37</t>
  </si>
  <si>
    <t>Garantizar una formación en estudios avanzados de excelencia y pertinencia social, a través del desarrollo de programas innovadores con la integración de la investigación de la Agenda Estratégica de Investigación, para asegurar que el conocimiento generado impulse la transformación social.</t>
  </si>
  <si>
    <t>PRDI2025-2029-Obj-59</t>
  </si>
  <si>
    <t>Incrementar la matrícula de estudios avanzados con enfoque de equidad e inclusión regional para diversificar el acceso a la formación de alto nivel.</t>
  </si>
  <si>
    <t>Contar con 233 estudiantes de estudios avanzados participantes en estancias cortas o movilidad académica, a 2029</t>
  </si>
  <si>
    <t>ACT-PRDI-NS-2838</t>
  </si>
  <si>
    <t>Contribuir desde la Facultad de Ingeniería al cumplimiento de la meta PRDI “Contar con 233 estudiantes de estudios avanzados participantes en estancias cortas o movilidad académica, a 2029”, con valores absolutos programados de 2027: 3, 2028: 4, 2029: 5, 2030: 5. Sustento en la Matriz de consistencia: «Realizar 1 reunión y 1 encuesta a estudiantes y profesorado de posgrado cada año de 2028 a 2030 y documentar los ajustes derivados.»</t>
  </si>
  <si>
    <t>Contar con estudiantes de estudios avanzados participantes en estancias cortas o movilidad académica</t>
  </si>
  <si>
    <t>Coordinación de Estudios Avanzados</t>
  </si>
  <si>
    <t>Contar  4 350 alumnos en estudios avanzados, a 2029</t>
  </si>
  <si>
    <t>ACT-PRDI-NS-2685</t>
  </si>
  <si>
    <t>Contribuir desde la Facultad de Ingeniería al cumplimiento de la meta PRDI “Contar  4 350 alumnos en estudios avanzados, a 2029”, con valores absolutos programados de 2027: 40, 2028: 60, 2029: 80, 2030: 80.</t>
  </si>
  <si>
    <t>Atender la matrícula de estudios avanzados para la generación y aplicación del conocimiento</t>
  </si>
  <si>
    <t>PRDI25-29-Obj-84</t>
  </si>
  <si>
    <t>Consolidar una oferta educativa de estudios avanzados de excelencia, para garantizar la inclusión, la pertinencia social y la alineación con las demandas de los sectores productivo, gubernamental y social.</t>
  </si>
  <si>
    <t>Ofertar 1 nuevo programa de estudios avanzados o diplomado superior en los CU y UAP vinculado con entidades de gobierno o industria, anualmente</t>
  </si>
  <si>
    <t>ACT-PRDI-NS-2844</t>
  </si>
  <si>
    <t>Contribuir desde la Facultad de Ingeniería al cumplimiento de la meta PRDI “Ofertar 1 nuevo programa de estudios avanzados o diplomado superior en los CU y UAP vinculado con entidades de gobierno o industria, anualmente”, con valores absolutos programados de 2027: 1, 2028: 1, 2029: 1, 2030: 1.</t>
  </si>
  <si>
    <t>Ofertar nuevos programas de estudios avanzados o diplomado superior en los CU y UAP vinculado con entidades de gobierno o industria</t>
  </si>
  <si>
    <t>Registrar 50 protocolos de investigación de alumnos de estudios avanzados con temáticas vinculadas a la Agenda Estratégica de Investigación, anualmente</t>
  </si>
  <si>
    <t>ACT-PRDI-NS-2847</t>
  </si>
  <si>
    <t>Contribuir desde la Facultad de Ingeniería al cumplimiento de la meta PRDI “Registrar 50 protocolos de investigación de alumnos de estudios avanzados con temáticas vinculadas a la Agenda Estratégica de Investigación, anualmente”, con valores absolutos programados de 2027: 1, 2028: 1, 2029: 1, 2030: 1.</t>
  </si>
  <si>
    <t>Registrar protocolos de investigación de alumnos de estudios avanzados con temáticas vinculadas a la Agenda Estratégica de Investigación</t>
  </si>
  <si>
    <t>Generar protocolos de acción para incrementar la tasa de graduación y la eficiencia terminal en 10 espacios académicos, en 2026</t>
  </si>
  <si>
    <t>ACT-PRDI-NS-2848</t>
  </si>
  <si>
    <t>Contribuir desde la Facultad de Ingeniería al cumplimiento de la meta PRDI “Generar protocolos de acción para incrementar la tasa de graduación y la eficiencia terminal en 10 espacios académicos, en 2026”, con valores absolutos programados de 2027: 0, 2028: 0, 2029: 1, 2030: 0.</t>
  </si>
  <si>
    <t>Generar protocolos de acción para incrementar la tasa de graduación y la eficiencia terminal en espacios académicos</t>
  </si>
  <si>
    <t>Incrementar a 1190 graduados de estudios avanzados, a 2029</t>
  </si>
  <si>
    <t>ACT-PRDI-NS-2849</t>
  </si>
  <si>
    <t>Contribuir desde la Facultad de Ingeniería al cumplimiento de la meta PRDI “Incrementar a 1190 graduados de estudios avanzados, a 2029”, con valores absolutos programados de 2027: 11, 2028: 17, 2029: 22, 2030: 22. Sustento en la Matriz de consistencia: «Realizar 1 revisión documentada de el ingreso, la permanencia y el egreso por posgrado en 2027 y actualizarla una vez al año de 2028 a 2030.»</t>
  </si>
  <si>
    <t>Incrementar graduados de estudios avanzados</t>
  </si>
  <si>
    <t>Incrementar a 17.56% la graduación de estudios avanzados por la opción de trabajo terminal de grado, a 2029</t>
  </si>
  <si>
    <t>IND-PRDI-365</t>
  </si>
  <si>
    <t>Mejorar o mantener de forma conservadora en la Facultad de Ingeniería el indicador IND-PRDI-365, con la trayectoria 2027: 15.15%, 2028: 18.18%, 2029: 18.18%, 2030: 18.18%, sustentada en referencia PRDI; no existe serie histórica directamente comparable para la variable. Sustento en la Matriz de consistencia: «Validar y documentar el valor de Ref. 2026 durante 2027 y, una vez confirmado, mantenerlo o mejorarlo hasta 2030.»</t>
  </si>
  <si>
    <t>(Número de alumnos graduados por la opción de trabajo terminal de grado en el año que se reporta/Total de alumnos graduados en el año que se reporta)*100</t>
  </si>
  <si>
    <t>Número de alumnos graduados por la opción de trabajo terminal de grado en el año que se reporta</t>
  </si>
  <si>
    <t>Total de alumnos graduados en el año que se reporta)*100</t>
  </si>
  <si>
    <t>PRDI25-29-Obj-38</t>
  </si>
  <si>
    <t>Impulsar la investigación científica, humanística, tecnológica y de innovación priorizando la calidad, inclusión,  equidad, retribución social y multilingüismo, a través del apoyo a proyectos sólidos, el fortalecimiento de redes en la comunidad investigadora y la optimización de recursos e infraestructura, en el marco del nuevo Modelo de Ciencia Abierta para la Transformación Social</t>
  </si>
  <si>
    <t>PRDI2025-2029-Obj-60</t>
  </si>
  <si>
    <t>Fomentar la investigación abierta, equitativa y de calidad, así como transparentar su dimensión de retribución social, incentivar el diálogo de saberes y la participación activa de la comunidad universitaria de forma incluyente.</t>
  </si>
  <si>
    <t>Contar con 200 CA de calidad, a 2028</t>
  </si>
  <si>
    <t>ACT-PRDI-NS-2870</t>
  </si>
  <si>
    <t>Contribuir desde la Facultad de Ingeniería al cumplimiento de la meta PRDI “Contar con 200 CA de calidad, a 2028”, con valores absolutos programados de 2027: 3, 2028: 3, 2029: 3, 2030: 3. Sustento en la Matriz de consistencia: «Mantener al menos 3 cuerpos académicos de calidad en cada medición anual de 2027 a 2030.»</t>
  </si>
  <si>
    <t>Contar con Cuerpos Académicos de calidad</t>
  </si>
  <si>
    <t>Coordinación de Investigación</t>
  </si>
  <si>
    <t>Mantener 98.68% de los CA que realizan investigación que contribuye a la solución de problemas sociales, a 2029</t>
  </si>
  <si>
    <t>IND-PRDI-221</t>
  </si>
  <si>
    <t>Mejorar o mantener de forma conservadora en la Facultad de Ingeniería el indicador IND-PRDI-221, con la trayectoria 2027: 100%, 2028: 100%, 2029: 100%, 2030: 100%, sustentada en serie histórica directamente comparable del sitio.</t>
  </si>
  <si>
    <t>(Número de cuerpos académicos registrados en SEP que realizan investigación que contribuyen a la solución de problemas sociales/Total de cuerpos académicos registrados en SEP)*100</t>
  </si>
  <si>
    <t>Número de cuerpos académicos registrados en SEP que realizan investigación que contribuyen a la solución de problemas sociales</t>
  </si>
  <si>
    <t>Total de cuerpos académicos registrados en SEP</t>
  </si>
  <si>
    <t>Mantener el 49.59% de los PTC con participación en redes con pares extranjeros, anualmente</t>
  </si>
  <si>
    <t> IND-PRDI-368</t>
  </si>
  <si>
    <t>Mejorar o mantener de forma conservadora en la Facultad de Ingeniería el indicador IND-PRDI-368, con la trayectoria 2027: 47.14%, 2028: 48.57%, 2029: 49.3%, 2030: 49.3%, sustentada en referencia PRDI; no existe serie histórica directamente comparable para la variable.</t>
  </si>
  <si>
    <t>(Número de Profesores de Tiempo Completo  con participación en redes con pares extranjeros/Total de Profesores de Tiempo Completo)*100</t>
  </si>
  <si>
    <t>Número de Profesores de Tiempo Completo  con participación en redes con pares extranjeros</t>
  </si>
  <si>
    <t>Total de Profesores de Tiempo Completo</t>
  </si>
  <si>
    <t>Mantener 49.81% de los PTC que participan en redes nacionales, anualmente</t>
  </si>
  <si>
    <t>IND-PRDI-370</t>
  </si>
  <si>
    <t>Mejorar o mantener de forma conservadora en la Facultad de Ingeniería el indicador IND-PRDI-370, con la trayectoria 2027: 47.14%, 2028: 48.57%, 2029: 49.3%, 2030: 49.3%, sustentada en referencia PRDI; no existe serie histórica directamente comparable para la variable.</t>
  </si>
  <si>
    <t>(Número de Profesores de Tiempo Completo con participación en redes nacionales/Total de Profesores de Tiempo Completo)*100</t>
  </si>
  <si>
    <t>Número de Profesores de Tiempo Completo con participación en redes nacionales</t>
  </si>
  <si>
    <t>PRDI25-29-Obj-85</t>
  </si>
  <si>
    <t>Optimizar el proceso de asignación y gestión de recursos financieros para consolidar la investigación con proyectos que respondan a los principios de calidad, equidad, inclusión, retribución social y multilingüismo.</t>
  </si>
  <si>
    <t>Atender las necesidades prioritarias de mantenimiento, equipamiento y medidas de seguridad de 115 laboratorios de investigación, a 2029</t>
  </si>
  <si>
    <t>ACT-PRDI-NS-2854</t>
  </si>
  <si>
    <t>Contribuir desde la Facultad de Ingeniería al cumplimiento de la meta PRDI “Atender las necesidades prioritarias de mantenimiento, equipamiento y medidas de seguridad de 115 laboratorios de investigación, a 2029”, con valores absolutos programados de 2027: 2, 2028: 3, 2029: 3, 2030: 3.</t>
  </si>
  <si>
    <t>Atender las necesidades prioritarias de mantenimiento, equipamiento y medidas de seguridad de laboratorios de investigación</t>
  </si>
  <si>
    <t>Promover la participación en 2 convocatorias externas de proyectos de investigación, anualmente</t>
  </si>
  <si>
    <t>ACT-PRDI-NS-2858</t>
  </si>
  <si>
    <t>Contribuir desde la Facultad de Ingeniería al cumplimiento de la meta PRDI “Promover la participación en 2 convocatorias externas de proyectos de investigación, anualmente”, con valores absolutos programados de 2027: 1, 2028: 1, 2029: 1, 2030: 1. Sustento en la Matriz de consistencia: «Realizar 1 revisión documentada de los productos y colaboraciones de investigación en 2027 y actualizarla una vez al año de 2028 a 2030.»</t>
  </si>
  <si>
    <t>Promover la participación en convocatorias externas de proyectos de investigación</t>
  </si>
  <si>
    <t>Contar con 19.51% de los proyectos de investigación en DT e innovación que cuenten con un plan de transferencia, innovación o impacto social documentado, a 2029</t>
  </si>
  <si>
    <t>IND-PRDI-367</t>
  </si>
  <si>
    <t>Mejorar o mantener de forma conservadora en la Facultad de Ingeniería el indicador IND-PRDI-367, con la trayectoria 2027: 20%, 2028: 20%, 2029: 20%, 2030: 20%, sustentada en referencia PRDI; no existe serie histórica directamente comparable para la variable.</t>
  </si>
  <si>
    <t>(Número de proyectos de investigación en DT e Innovación que cuentan con plan de transferencia, innovación impacto social documentado/Total de proyectos de investigación en DT e Innovación)*100</t>
  </si>
  <si>
    <t>Número de proyectos de investigación en DT e Innovación que cuentan con plan de transferencia, innovación impacto social documentado</t>
  </si>
  <si>
    <t>Total de proyectos de investigación en DT e Innovación</t>
  </si>
  <si>
    <t>Contar con 53.22% de producción científica con sentido social, anualmente</t>
  </si>
  <si>
    <t>IND-PRDI-225</t>
  </si>
  <si>
    <t>Mejorar o mantener de forma conservadora en la Facultad de Ingeniería el indicador IND-PRDI-225, con la trayectoria 2027: 50%, 2028: 52.5%, 2029: 52.5%, 2030: 53.66%, sustentada en referencia PRDI; no existe serie histórica directamente comparable para la variable. Sustento en la Matriz de consistencia: «Registrar 1 acuerdo de mejora sobre los productos y colaboraciones de investigación en 2028 y revisar su cumplimiento anualmente hasta 2030.»</t>
  </si>
  <si>
    <t>(Número de producción científica con sentido social/Total de la producción científica reportada)*100</t>
  </si>
  <si>
    <t>Número de producción científica con sentido social</t>
  </si>
  <si>
    <t>Total de la producción científica reportada</t>
  </si>
  <si>
    <t>PRDI25-29-Obj-39</t>
  </si>
  <si>
    <t>Impulsar la innovación y el desarrollo tecnológico de manera sostenible y equitativa, a través de la articulación de plataformas multiactor, la gestión de la propiedad intelectual y transferencia tecnológica, en el marco de proyectos Penta-Hélice.</t>
  </si>
  <si>
    <t>PRDI25-29-Obj-86</t>
  </si>
  <si>
    <t>Fortalecer la gestión institucional de la propiedad intelectual y transferencia tecnológica a través de mecanismos equitativos, sostenibles y con retribución social.</t>
  </si>
  <si>
    <t>Contar con 222 expedientes, registros y patentes ante el IMPI, a 2029</t>
  </si>
  <si>
    <t>ACT-PRDI-NS-2875</t>
  </si>
  <si>
    <t>Contribuir desde la Facultad de Ingeniería al cumplimiento de la meta PRDI “Contar con 222 expedientes, registros y patentes ante el IMPI, a 2029”, con valores absolutos programados de 2027: 3, 2028: 4, 2029: 5, 2030: 5. Sustento en la Matriz de consistencia: «Realizar 1 revisión documentada de las capacidades de laboratorios y la demanda externa en 2027 y actualizarla una vez al año de 2028 a 2030.»</t>
  </si>
  <si>
    <t>Contar con expedientes, registros y patentes ante el IMPI</t>
  </si>
  <si>
    <t>Coordinación de Investigación y Vinculación</t>
  </si>
  <si>
    <t>Capacitar a 100 miembros de la comunidad universitaria en materia de propiedad intelectual y gestión de activos de conocimiento, anualmente</t>
  </si>
  <si>
    <t>ACT-PRDI-NS-2881</t>
  </si>
  <si>
    <t>Contribuir desde la Facultad de Ingeniería al cumplimiento de la meta PRDI “Capacitar a 100 miembros de la comunidad universitaria en materia de propiedad intelectual y gestión de activos de conocimiento, anualmente”, con valores absolutos programados de 2027: 2, 2028: 2, 2029: 2, 2030: 2. Sustento en la Matriz de consistencia: «Integrar 1 cartera de capacidades, prototipos y necesidades externas en 2027 y actualizarla cada año hasta 2030.» «Registrar 1 acuerdo de mejora sobre las capacidades de laboratorios y la demanda externa en 2028 y revisar su cumplimiento anualmente hasta 2030.»</t>
  </si>
  <si>
    <t>Capacitar a miembros de la comunidad universitaria en materia de propiedad intelectual y gestión de activos de conocimiento</t>
  </si>
  <si>
    <t>PRDI25-29-Obj-40</t>
  </si>
  <si>
    <t>Comunicar en abierto los resultados de investigación con la finalidad de democratizar el acceso al conocimiento generado en la Universidad y asegurar su máxima difusión y retribución social en formatos accesibles y multilingües que se posicionen como bien público digital.</t>
  </si>
  <si>
    <t>PRDI25-29-Obj-87</t>
  </si>
  <si>
    <t>Fortalecer los procesos editoriales y tecnológicos para sostener y generar libros y revistas científicas como bienes públicos digitales.</t>
  </si>
  <si>
    <t xml:space="preserve">Realizar 1 programa de sostenibilidad y  fortalecimiento del Acceso Abierto no comercial para las revistas científicas editadas en la Universidad, anualmente </t>
  </si>
  <si>
    <t>ACT-PRDI-NS-2890</t>
  </si>
  <si>
    <t>Contribuir desde la Facultad de Ingeniería al cumplimiento de la meta PRDI “Realizar 1 programa de sostenibilidad y  fortalecimiento del Acceso Abierto no comercial para las revistas científicas editadas en la Universidad, anualmente”, con valores absolutos programados de 2027: 1, 2028: 1, 2029: 1, 2030: 1. Sustento en la Matriz de consistencia: «Registrar 1 acuerdo de mejora sobre los públicos y el alcance de la divulgación en 2028 y revisar su cumplimiento anualmente hasta 2030.»</t>
  </si>
  <si>
    <t>Realizar un programa de sostenibilidad y  fortalecimiento del Acceso Abierto no comercial para las revistas científicas editadas en la Universidad</t>
  </si>
  <si>
    <t>Coordinación de Investigación y Difusión Científica</t>
  </si>
  <si>
    <t>Capacitar a 1000 miembros de la comunidad universitaria en Ciencia Abierta, anualmente</t>
  </si>
  <si>
    <t>ACT-PRDI-NS-2897</t>
  </si>
  <si>
    <t>Contribuir desde la Facultad de Ingeniería al cumplimiento de la meta PRDI “Capacitar a 1000 miembros de la comunidad universitaria en Ciencia Abierta, anualmente”, con valores absolutos programados de 2027: 19, 2028: 19, 2029: 19, 2030: 19. Sustento en la Matriz de consistencia: «Realizar 1 revisión documentada de los públicos y el alcance de la divulgación en 2027 y actualizarla una vez al año de 2028 a 2030.»</t>
  </si>
  <si>
    <t>Capacitar a  miembros de la comunidad universitaria en Ciencia Abierta</t>
  </si>
  <si>
    <t>Realizar 1 evaluación de la calidad, criterios y políticas de Acceso Abierto Diamante de las publicaciones periódicas científicas institucionales, anualmente</t>
  </si>
  <si>
    <t>ACT-PRDI-NS-2899</t>
  </si>
  <si>
    <t>Contribuir desde la Facultad de Ingeniería al cumplimiento de la meta PRDI “Realizar 1 evaluación de la calidad, criterios y políticas de Acceso Abierto Diamante de las publicaciones periódicas científicas institucionales, anualmente”, con valores absolutos programados de 2027: 1, 2028: 1, 2029: 1, 2030: 1. Sustento en la Matriz de consistencia: «Establecer 1 registro de divulgación en 2027 y publicar 1 informe anual de productos y alcance entre 2028 y 2030.»</t>
  </si>
  <si>
    <t>Realizar evaluaciones de la calidad, criterios y políticas de Acceso Abierto Diamante de las publicaciones periódicas científicas institucionales</t>
  </si>
  <si>
    <t>PRDI25-29-Obj-41</t>
  </si>
  <si>
    <t>PRDI25-29-Obj-41 -Fortalecer la cultura a través de proyectos y actividades que articulen la expresión artística y cultural como parte del desarrollo de la comunidad universitaria..</t>
  </si>
  <si>
    <t>PRDI25-29-Obj-63</t>
  </si>
  <si>
    <t xml:space="preserve">Fomentar la participación activa de la comunidad universitaria y sociedad en general en actividades culturales innovadoras que fortalezcan la identidad y el sentido de pertenencia institucional que contribuyan a la cohesión social y la igualdad.
</t>
  </si>
  <si>
    <t>Abrir 850 talleres culturales anualmente en beneficio de la colectividad universitaria de nivel superior</t>
  </si>
  <si>
    <t>ACT-PRDI-NS-3193</t>
  </si>
  <si>
    <t>Contribuir desde la Facultad de Ingeniería al cumplimiento de la meta PRDI “Abrir 850 talleres culturales anualmente en beneficio de la colectividad universitaria de nivel superior”, con valores absolutos programados de 2027: 16, 2028: 16, 2029: 16, 2030: 16. Sustento en la Matriz de consistencia: «Realizar 1 reunión y 1 encuesta a estudiantes y responsables culturales cada año de 2028 a 2030 y documentar los ajustes derivados.»</t>
  </si>
  <si>
    <t>Abrir talleres culturales en beneficio de la colectividad universitaria de nivel superior</t>
  </si>
  <si>
    <t>Coordinación de Difusión Cultural</t>
  </si>
  <si>
    <t>Realizar 850 presentaciones artísticas anualmente.</t>
  </si>
  <si>
    <t>ACT-PRDI-NS-1816</t>
  </si>
  <si>
    <t>Contribuir desde la Facultad de Ingeniería al cumplimiento de la meta PRDI “Realizar 850 presentaciones artísticas anualmente.”, con valores absolutos programados de 2027: 16, 2028: 16, 2029: 16, 2030: 16.</t>
  </si>
  <si>
    <t xml:space="preserve">Realizar presentaciones artísticas </t>
  </si>
  <si>
    <t>Organizar 3 programas de fortalecimiento al talento audiovisual para desarrollar la creatividad cultural de los universitarios, durante la administración</t>
  </si>
  <si>
    <t>ACT-PRDI-NS-3195</t>
  </si>
  <si>
    <t>Contribuir desde la Facultad de Ingeniería al cumplimiento de la meta PRDI “Organizar 3 programas de fortalecimiento al talento audiovisual para desarrollar la creatividad cultural de los universitarios, durante la administración”, con valores absolutos programados de 2027: 1, 2028: 0, 2029: 0, 2030: 0.</t>
  </si>
  <si>
    <t>Organizar programas de fortalecimiento al talento audiovisual para desarrollar la creatividad cultural de los universitarios</t>
  </si>
  <si>
    <t>PRDI25-29-Obj-88</t>
  </si>
  <si>
    <t>Fortalecer espacios de formación y reflexión que integren a la cultura con inclusión y transformación social.</t>
  </si>
  <si>
    <t>Organizar 6 programas audiovisuales vanguardistas que fomenten la innovación cultural durante la administración</t>
  </si>
  <si>
    <t>ACT-PRDI-NS-3200</t>
  </si>
  <si>
    <t>Contribuir desde la Facultad de Ingeniería al cumplimiento de la meta PRDI “Organizar 6 programas audiovisuales vanguardistas que fomenten la innovación cultural durante la administración”, con valores absolutos programados de 2027: 1, 2028: 0, 2029: 0, 2030: 0.</t>
  </si>
  <si>
    <t xml:space="preserve">Organizar programas audiovisuales vanguardistas que fomenten la innovación cultural </t>
  </si>
  <si>
    <t>Realizar al año, 4 programas artísticos que contribuyan al fortalecimiento cultural de la comunidad universitaria</t>
  </si>
  <si>
    <t>ACT-PRDI-NS-3202</t>
  </si>
  <si>
    <t>Contribuir desde la Facultad de Ingeniería al cumplimiento de la meta PRDI “Realizar al año, 4 programas artísticos que contribuyan al fortalecimiento cultural de la comunidad universitaria”, con valores absolutos programados de 2027: 1, 2028: 1, 2029: 1, 2030: 1. Sustento en la Matriz de consistencia: «Realizar 1 revisión documentada de las barreras de participación cultural en 2027 y actualizarla una vez al año de 2028 a 2030.»</t>
  </si>
  <si>
    <t>Realizar programas artísticos que contribuyan al fortalecimiento cultural de la comunidad universitaria</t>
  </si>
  <si>
    <t xml:space="preserve">Realizar al año 1 festival cultural que reúna a los talentos de distintos talleres y espacios académicos
</t>
  </si>
  <si>
    <t>ACT-PRDI-NS-3205</t>
  </si>
  <si>
    <t>Contribuir desde la Facultad de Ingeniería al cumplimiento de la meta PRDI “Realizar al año 1 festival cultural que reúna a los talentos de distintos talleres y espacios académicos”, con valores absolutos programados de 2027: 1, 2028: 1, 2029: 1, 2030: 1. Sustento en la Matriz de consistencia: «Realizar 1 diagnóstico de participación cultural en 2027 y revisar 1 programa anual de talleres entre 2028 y 2030.»</t>
  </si>
  <si>
    <t xml:space="preserve">Realizar festivales culturales que reúna a los talentos de distintos talleres y espacios académicos
</t>
  </si>
  <si>
    <t>PRDI25-29-Obj-42</t>
  </si>
  <si>
    <t>Fortalecer, mediante la promoción y participación, una cultura física para favorecer el desarrollo integral y la adopción de hábitos de bienestar en la comunidad universitaria.</t>
  </si>
  <si>
    <t>PRDI25-29-Obj-64</t>
  </si>
  <si>
    <t>Generar la cultura física en la comunidad universitaria para fomentar hábitos de vida saludable.</t>
  </si>
  <si>
    <t>Organizar anualmente 12 eventos regionales que promuevan el bienestar, el autocuidado y la actividad física responsable</t>
  </si>
  <si>
    <t>ACT-PRDI-NS-2746</t>
  </si>
  <si>
    <t>Contribuir desde la Facultad de Ingeniería al cumplimiento de la meta PRDI “Organizar anualmente 12 eventos regionales que promuevan el bienestar, el autocuidado y la actividad física responsable”, con valores absolutos programados de 2027: 1, 2028: 1, 2029: 1, 2030: 1.</t>
  </si>
  <si>
    <t>Organizar eventos regionales que promuevan el bienestar, el autocuidado y la actividad física responsable</t>
  </si>
  <si>
    <t>Coordinación de Actividades Deportivas</t>
  </si>
  <si>
    <t>Mantener anualmente la participación de 41.01% del personal académico en actividades de cultura física</t>
  </si>
  <si>
    <t>IND-PRDI-372</t>
  </si>
  <si>
    <t>Mejorar o mantener de forma conservadora en la Facultad de Ingeniería el indicador IND-PRDI-372, con la trayectoria 2027: 39.08%, 2028: 39.65%, 2029: 40.42%, 2030: 40.97%, sustentada en referencia PRDI; no existe serie histórica directamente comparable para la variable.</t>
  </si>
  <si>
    <t>(Número de académicos que participan en actividades deportivas/ Total del personal académico)*100</t>
  </si>
  <si>
    <t>Número de académicos que participan en actividades deportivas</t>
  </si>
  <si>
    <t>Total del personal académico</t>
  </si>
  <si>
    <t>Lograr que 30.02% del personal administrativo participe en actividades de cultura física, anualmente</t>
  </si>
  <si>
    <t>IND-PRDI-374</t>
  </si>
  <si>
    <t>Mejorar o mantener de forma conservadora en la Facultad de Ingeniería el indicador IND-PRDI-374, con la trayectoria 2027: 29.11%, 2028: 29.11%, 2029: 30%, 2030: 30%, sustentada en referencia PRDI; no existe serie histórica directamente comparable para la variable. Sustento en la Matriz de consistencia: «Realizar 1 revisión documentada de el acceso a espacios y actividades deportivas en 2027 y actualizarla una vez al año de 2028 a 2030.»</t>
  </si>
  <si>
    <t>(Número de administrativos en actividades deportivas/ Total del personal administrativo)*100</t>
  </si>
  <si>
    <t>Número de administrativos en actividades deportivas</t>
  </si>
  <si>
    <t>Total del personal administrativo</t>
  </si>
  <si>
    <t>Lograr anualmente que 50% de estudiantes del nivel superior participen en actividades de cultura física</t>
  </si>
  <si>
    <t>IND-PRDI-377</t>
  </si>
  <si>
    <t>Mejorar o mantener de forma conservadora en la Facultad de Ingeniería el indicador IND-PRDI-377, con la trayectoria 2027: 47.51%, 2028: 48.34%, 2029: 49.16%, 2030: 50%, sustentada en referencia PRDI; no existe serie histórica directamente comparable para la variable. Sustento en la Matriz de consistencia: «Realizar 1 reunión y 1 encuesta a estudiantes y responsables deportivos cada año de 2028 a 2030 y documentar los ajustes derivados.»</t>
  </si>
  <si>
    <t>(Número de estudiantes de nivel superior que participan en actividades deportivas/ Total matrícula estudiantil de estudios profesionales)*100</t>
  </si>
  <si>
    <t>Número de estudiantes de nivel superior que participan en actividades deportivas</t>
  </si>
  <si>
    <t>Total matrícula estudiantil de estudios profesionales</t>
  </si>
  <si>
    <t>PRDI25-29-Obj-90</t>
  </si>
  <si>
    <t>Ampliar las oportunidades de acceso al deporte dirigidas a la comunidad universitaria para su desarrollo integral y proyección competitiva con equidad e inclusión.</t>
  </si>
  <si>
    <t>Contar con la participación anual de 300 deportistas universitarios para impulsar su talento competitivo a nivel estatal, nacional e internacional</t>
  </si>
  <si>
    <t>ACT-PRDI-NS-2909</t>
  </si>
  <si>
    <t>Contribuir desde la Facultad de Ingeniería al cumplimiento de la meta PRDI “Contar con la participación anual de 300 deportistas universitarios para impulsar su talento competitivo a nivel estatal, nacional e internacional”, con valores absolutos programados de 2027: 6, 2028: 6, 2029: 6, 2030: 6. Sustento en la Matriz de consistencia: «Realizar 1 diagnóstico deportivo en 2027 y publicar 1 programa anual de actividades entre 2028 y 2030.»</t>
  </si>
  <si>
    <t>Contar con la participación deportistas universitarios para impulsar su talento competitivo a nivel estatal, nacional e internacional</t>
  </si>
  <si>
    <t xml:space="preserve">PRDI25-29-Obj-43 </t>
  </si>
  <si>
    <t>Fortalecer la habilitación académica, científica y el desarrollo integral del personal académico mediante una formación humanista e innovadora, que dignifique su labor, promueva la excelencia educativa y contribuya al bienestar de la comunidad docente.</t>
  </si>
  <si>
    <t>PRDI2025-2029-Obj-65</t>
  </si>
  <si>
    <t>Formar al profesorado de nivel superior integralmente, para promover la excelencia educativa.</t>
  </si>
  <si>
    <t>Lograr a 2029 que 65% del personal académico de nivel superior participe en actividades de formación</t>
  </si>
  <si>
    <t>IND-NS-212</t>
  </si>
  <si>
    <t>Mejorar o mantener de forma conservadora en la Facultad de Ingeniería el indicador IND-NS-212, con la trayectoria 2027: 61.62%, 2028: 62.81%, 2029: 63.76%, 2030: 64.93%, sustentada en referencia PRDI; no existe serie histórica directamente comparable para la variable.</t>
  </si>
  <si>
    <t>(Número de académicos de nivel superior que participan en actividades de formación./Total de académicos de nivel superior)*100</t>
  </si>
  <si>
    <t>Número de académicos de nivel superior que participan en actividades de formación.</t>
  </si>
  <si>
    <t>Subdirección Académica</t>
  </si>
  <si>
    <t>Total de académicos de nivel superior</t>
  </si>
  <si>
    <t>Actualizar anualmente a 25.01% del personal académico del nivel superior en conocimientos propios de la disciplina que enseñan</t>
  </si>
  <si>
    <t>IND-PRDI-371</t>
  </si>
  <si>
    <t>Mejorar o mantener de forma conservadora en la Facultad de Ingeniería el indicador IND-PRDI-371, con la trayectoria 2027: 23.59%, 2028: 24.21%, 2029: 24.74%, 2030: 25%, sustentada en referencia PRDI; no existe serie histórica directamente comparable para la variable.</t>
  </si>
  <si>
    <t>(Número de personal académico de nivel superior que participa en actividades de capacitación de actualización disciplinar/Total de personal académico de nivel superior)*100</t>
  </si>
  <si>
    <t>Número de personal académico de nivel superior que participa en actividades de capacitación de actualización disciplinar</t>
  </si>
  <si>
    <t>Total de personal académico de nivel superior</t>
  </si>
  <si>
    <t>Lograr que 50% de personal académico de nivel superior se capacite en el desarrollo de competencias didácticas y digitales a 2029</t>
  </si>
  <si>
    <t>IND-PRDI-373</t>
  </si>
  <si>
    <t>Mejorar o mantener de forma conservadora en la Facultad de Ingeniería el indicador IND-PRDI-373, con la trayectoria 2027: 47.54%, 2028: 48.42%, 2029: 49.13%, 2030: 50%, sustentada en referencia PRDI; no existe serie histórica directamente comparable para la variable. Sustento en la Matriz de consistencia: «Realizar 1 revisión documentada de las necesidades didácticas y de tutoría en 2027 y actualizarla una vez al año de 2028 a 2030.»</t>
  </si>
  <si>
    <t>(Número de personal académico de nivel superior que participa en actividades de capacitación en el desarrollo de competencias didácticas y digitales/Total de personal académico de nivel superior)*100</t>
  </si>
  <si>
    <t>Número de personal académico de nivel superior que participa en actividades de capacitación en el desarrollo de competencias didácticas y digitales</t>
  </si>
  <si>
    <t>Capacitar a 100% del personal académico en el nuevo modelo educativo durante la administración</t>
  </si>
  <si>
    <t> IND-PRDI-375</t>
  </si>
  <si>
    <t>Mejorar o mantener de forma conservadora en la Facultad de Ingeniería el indicador IND-PRDI-375, con la trayectoria 2027: 96.13%, 2028: 97.19%, 2029: 98.61%, 2030: 100%, sustentada en referencia PRDI; no existe serie histórica directamente comparable para la variable.</t>
  </si>
  <si>
    <t>(Número de personal académico capacitado en el nuevo modelo educativo/Total de personal académico)*100</t>
  </si>
  <si>
    <t>Número de personal académico capacitado en el nuevo modelo educativo</t>
  </si>
  <si>
    <t xml:space="preserve">Total de personal académico </t>
  </si>
  <si>
    <t>Brindar capacitación en temas transversales a 25.01% del personal académico de nivel superior anualmente</t>
  </si>
  <si>
    <t>IND-PRDI-376</t>
  </si>
  <si>
    <t>Mejorar o mantener de forma conservadora en la Facultad de Ingeniería el indicador IND-PRDI-376, con la trayectoria 2027: 23.59%, 2028: 24.21%, 2029: 24.74%, 2030: 25%, sustentada en referencia PRDI; no existe serie histórica directamente comparable para la variable.</t>
  </si>
  <si>
    <t>(Número de personal académico de nivel superior que participa en actividades de capacitación en temas transversales/Total de personal académico de nivel superior)*100</t>
  </si>
  <si>
    <t>Número de personal académico de nivel superior que participa en actividades de capacitación en temas transversales</t>
  </si>
  <si>
    <t>PRDI25-29-Obj-92</t>
  </si>
  <si>
    <t>Fortalecer la formación y certificación del profesorado en una segunda lengua, con el propósito de consolidar su desarrollo profesional.</t>
  </si>
  <si>
    <t>Lograr la certificación internacional en una segunda lengua en nivel C1 de cuatro habilidades de 360 profesores de lengua de estudios profesionales al final de la administración</t>
  </si>
  <si>
    <t>ACT-PRDI-NS-2923</t>
  </si>
  <si>
    <t>Contribuir desde la Facultad de Ingeniería al cumplimiento de la meta PRDI “Lograr la certificación internacional en una segunda lengua en nivel C1 de cuatro habilidades de 360 profesores de lengua de estudios profesionales al final de la administración”, con valores absolutos programados de 2027: 0, 2028: 0, 2029: 7, 2030: 0.</t>
  </si>
  <si>
    <t>Lograr la certificación internacional en una segunda lengua en nivel C1 de cuatro habilidades de profesores de lengua de estudios profesionales</t>
  </si>
  <si>
    <t>PRDI25-29-Obj-93</t>
  </si>
  <si>
    <t>Mejorar la habilitación académica y científica de los investigadores para su reconocimiento y excelencia.</t>
  </si>
  <si>
    <t>Contar con 715 PTC en el SNII para 2029</t>
  </si>
  <si>
    <t>ACT-PRDI-NS-2926</t>
  </si>
  <si>
    <t>Contribuir desde la Facultad de Ingeniería al cumplimiento de la meta PRDI “Contar con 715 PTC en el SNII para 2029”, con valores absolutos programados de 2027: 7, 2028: 10, 2029: 13, 2030: 13.</t>
  </si>
  <si>
    <t xml:space="preserve">Contar con PTC en el SNII </t>
  </si>
  <si>
    <t>Acumulada</t>
  </si>
  <si>
    <t>Alcanzar 75.06% del profesorado de tiempo completo (PTC) con Perfil PRODEP, para 2029</t>
  </si>
  <si>
    <t xml:space="preserve">IND-PRDI-47 </t>
  </si>
  <si>
    <t>Mejorar o mantener de forma conservadora en la Facultad de Ingeniería el indicador IND-PRDI-47, con la trayectoria 2027: 71.43%, 2028: 72.86%, 2029: 73.24%, 2030: 74.65%, sustentada en referencia PRDI; no existe serie histórica directamente comparable para la variable. Sustento en la Matriz de consistencia: «Realizar 1 reunión y 1 encuesta a profesorado y estudiantes de cada licenciatura cada año de 2028 a 2030 y documentar los ajustes derivados.»</t>
  </si>
  <si>
    <t>(PTC registrados en la SEP que cuentan con perfil Prodep/Total de PTC registrados en la SEP)*100</t>
  </si>
  <si>
    <t>PTC registrados en la SEP que cuentan con perfil Prodep</t>
  </si>
  <si>
    <t>Total de PTC registrados en la SEP</t>
  </si>
  <si>
    <t>Lograr 34 participantes del personal académico de Estudios Avanzados en actividades de internacionalización (seminarios, coil, cátedras), durante la administración</t>
  </si>
  <si>
    <t>ACT-PRDI-NS-2927</t>
  </si>
  <si>
    <t>Contribuir desde la Facultad de Ingeniería al cumplimiento de la meta PRDI “Lograr 34 participantes del personal académico de Estudios Avanzados en actividades de internacionalización (seminarios, coil, cátedras), durante la administración”, con valores absolutos programados de 2027: 1, 2028: 0, 2029: 0, 2030: 0.</t>
  </si>
  <si>
    <t>Lograr participantes del personal académico de Estudios Avanzados en actividades de internacionalización (seminarios, coil, cátedras)</t>
  </si>
  <si>
    <t>Lograr que 316 académicos e investigadores participen en estancias internacionales o de movilidad durante la administración</t>
  </si>
  <si>
    <t>ACT-PRDI-NS-2928</t>
  </si>
  <si>
    <t>Contribuir desde la Facultad de Ingeniería al cumplimiento de la meta PRDI “Lograr que 316 académicos e investigadores participen en estancias internacionales o de movilidad durante la administración”, con valores absolutos programados de 2027: 2, 2028: 2, 2029: 1, 2030: 1. Sustento en la Matriz de consistencia: «Validar y documentar el valor de Ref. 2026 durante 2027 y, una vez confirmado, mantenerlo o mejorarlo hasta 2030.»</t>
  </si>
  <si>
    <t>Lograr que académicos e investigadores participen en estancias internacionales o de movilidad</t>
  </si>
  <si>
    <t>PRDI25-29-Obj-44</t>
  </si>
  <si>
    <t>Mejorar la dignificación de las y los trabajadores universitarios a través del reconocimiento institucional y actualización de conocimiento para fortalecer su perfil profesional y personal; lo cual se verá reflejado en un mejor servicio universitario.</t>
  </si>
  <si>
    <t>PRDI2025-2029-Obj-66</t>
  </si>
  <si>
    <t>Fortalecer las competencias laborales del personal administrativo para la mejora de perfiles de puesto.</t>
  </si>
  <si>
    <t>Capacitar a 80% de los integrantes del personal administrativo en competencias básicas y técnicas a 2029</t>
  </si>
  <si>
    <t> IND-PRDI-378</t>
  </si>
  <si>
    <t>Mejorar o mantener de forma conservadora en la Facultad de Ingeniería el indicador IND-PRDI-378, con la trayectoria 2027: 75.95%, 2028: 77.22%, 2029: 78.75%, 2030: 80%, sustentada en referencia PRDI; no existe serie histórica directamente comparable para la variable. Sustento en la Matriz de consistencia: «Realizar 1 diagnóstico de necesidades del personal en 2027 y ejecutar 1 programa anual de mejora de 2028 a 2030.»</t>
  </si>
  <si>
    <t>(Número de personal administrativo capacitado en  competencias básicas y técnicas / Total de personal administrativo)*100</t>
  </si>
  <si>
    <t>Número de personal administrativo capacitado en en competencias básicas y técnicas</t>
  </si>
  <si>
    <t>Subdirección Administrativa</t>
  </si>
  <si>
    <t>Total de personal administrativo</t>
  </si>
  <si>
    <t>Capacitar 35.01% del personal administrativo en competencias transversales, equidad de género, ética y cultura de paz a 2029</t>
  </si>
  <si>
    <t>IND-PRDI-380</t>
  </si>
  <si>
    <t>Mejorar o mantener de forma conservadora en la Facultad de Ingeniería el indicador IND-PRDI-380, con la trayectoria 2027: 32.91%, 2028: 34.18%, 2029: 35%, 2030: 35%, sustentada en referencia PRDI; no existe serie histórica directamente comparable para la variable. Sustento en la Matriz de consistencia: «Realizar 1 reunión y 1 encuesta a personal académico y administrativo cada año de 2028 a 2030 y documentar los ajustes derivados.»</t>
  </si>
  <si>
    <t>(Número de personal administrativo capacitado en  competencias transversales, equidad de género, ética y paz / Total de personal administrativo)*100</t>
  </si>
  <si>
    <t xml:space="preserve">Número de personal administrativo capacitado en  competencias transversales, equidad de género, ética y paz </t>
  </si>
  <si>
    <t>Capacitar a 20% del personal universitario en Tecnologías de la Información y Comunicación, anualmente</t>
  </si>
  <si>
    <t> IND-PRDI-382</t>
  </si>
  <si>
    <t>Mejorar o mantener de forma conservadora en la Facultad de Ingeniería el indicador IND-PRDI-382, con la trayectoria 2027: 19.01%, 2028: 19.45%, 2029: 19.62%, 2030: 20.11%, sustentada en referencia PRDI; no existe serie histórica directamente comparable para la variable. Sustento en la Matriz de consistencia: «Realizar 1 revisión documentada de las condiciones y necesidades del personal en 2027 y actualizarla una vez al año de 2028 a 2030.»</t>
  </si>
  <si>
    <t>(Número de personal universitario capacitado en temas de Tecnologías de la Información/ Total de personal universitario)*100</t>
  </si>
  <si>
    <t>Número de personal universitario capacitado en temas de Tecnologías de la Información</t>
  </si>
  <si>
    <t>Total de personal universitario</t>
  </si>
  <si>
    <t>PRDI25-29-Obj-45</t>
  </si>
  <si>
    <t>Fortalecer la administración universitaria mediante acciones integrales de infraestructura, cultura organizacional de la calidad y proceso orgánico funcional, eficientes para atender las necesidades de la comunidad universitaria.</t>
  </si>
  <si>
    <t>PRDI25-29-Obj-99</t>
  </si>
  <si>
    <t>PRDI25-29-Obj-99 -Fortalecer el proceso orgánico-funcional de la Institución que permita tener una gestión más eficiente en los espacios universitarios.</t>
  </si>
  <si>
    <t>Armonizar 70 manuales de organización de espacios universitarios a 2029</t>
  </si>
  <si>
    <t>ACT-PRDI-NS-2743</t>
  </si>
  <si>
    <t>Contribuir desde la Facultad de Ingeniería al cumplimiento de la meta PRDI “Armonizar 70 manuales de organización de espacios universitarios a 2029”, con valores absolutos programados de 2027: 2, 2028: 2, 2029: 2, 2030: 2. Sustento en la Matriz de consistencia: «Realizar 1 revisión documentada de el estado y uso de aulas y laboratorios en 2027 y actualizarla una vez al año de 2028 a 2030.»</t>
  </si>
  <si>
    <t xml:space="preserve">Armonizar manuales de organización de espacios universitarios </t>
  </si>
  <si>
    <t>Armonizar 50 manuales de procedimientos de espacios universitarios a 2029</t>
  </si>
  <si>
    <t>ACT-PRDI-NS-2957</t>
  </si>
  <si>
    <t>Contribuir desde la Facultad de Ingeniería al cumplimiento de la meta PRDI “Armonizar 50 manuales de procedimientos de espacios universitarios a 2029”, con valores absolutos programados de 2027: 1, 2028: 1, 2029: 1, 2030: 1. Sustento en la Matriz de consistencia: «Actualizar 1 inventario de infraestructura en 2027 y ejecutar 1 programa anual de mantenimiento preventivo de 2028 a 2030.» «Registrar 1 acuerdo de mejora sobre el estado y uso de aulas y laboratorios en 2028 y revisar su cumplimiento anualmente hasta 2030.»</t>
  </si>
  <si>
    <t>Armonizar manuales de procedimientos de espacios universitarios</t>
  </si>
  <si>
    <t>PRDI25-29-Obj-46</t>
  </si>
  <si>
    <t>Fortalecer la infraestructura tecnológica de la Universidad mediante la actualización de recursos, cultura digital, modernización de procesos y seguridad de la información para mejorar la gestión académica, administrativa y de investigación.</t>
  </si>
  <si>
    <t>PRDI25-29-Obj-101</t>
  </si>
  <si>
    <t>PRDI25-29-Obj-101 -Fortalecer la cultura digital de la comunidad universitaria para mejorar sus habilidades tecnológicas y promover un uso efectivo de tic.</t>
  </si>
  <si>
    <t>Desarrollar 160 guías de estudio independiente (GEI) al año</t>
  </si>
  <si>
    <t>ACT-PRDI-NS-2968</t>
  </si>
  <si>
    <t>Contribuir desde la Facultad de Ingeniería al cumplimiento de la meta PRDI “Desarrollar 160 guías de estudio independiente (GEI) al año”, con valores absolutos programados de 2027: 3, 2028: 3, 2029: 3, 2030: 3. Sustento en la Matriz de consistencia: «Realizar 1 revisión documentada de la disponibilidad y obsolescencia tecnológica en 2027 y actualizarla una vez al año de 2028 a 2030.»</t>
  </si>
  <si>
    <t xml:space="preserve">Desarrollar guías de estudio independiente (GEI) </t>
  </si>
  <si>
    <t>Departamento de Tecnologías de la Información</t>
  </si>
  <si>
    <t>PRDI25-29-Obj-103</t>
  </si>
  <si>
    <t>PRDI25-29-Obj-103 -Garantizar la operación continua y eficiente de la infraestructura tecnológica institucional para proporcionar la disponibilidad y funcionalidad de los equipos y sistemas en los espacios académicos.</t>
  </si>
  <si>
    <t>Contar con 100% de los espacios académicos con mantenimiento preventivo a equipos de salas de cómputo, anualmente</t>
  </si>
  <si>
    <t>ACT-PRDI-NS-3242</t>
  </si>
  <si>
    <t>Contribuir desde la Facultad de Ingeniería al cumplimiento de la meta PRDI “Contar con 100% de los espacios académicos con mantenimiento preventivo a equipos de salas de cómputo, anualmente”, con valores absolutos programados de 2027: 1, 2028: 1, 2029: 1, 2030: 1. Sustento en la Matriz de consistencia: «Levantar 1 diagnóstico tecnológico en 2027 y actualizar 1 cartera priorizada de mejoras cada año de 2028 a 2030.» «Registrar 1 acuerdo de mejora sobre la disponibilidad y obsolescencia tecnológica en 2028 y revisar su cumplimiento anualmente hasta 2030.»</t>
  </si>
  <si>
    <t xml:space="preserve">Dar mantenimiento preventivo a equipos de salas de cómputo </t>
  </si>
  <si>
    <t>PRDI25-29-Obj-47</t>
  </si>
  <si>
    <t>Consolidar el diálogo, la participación y transparencia en la vida institucional, mediante la gestión colaborativa, corresponsable y cercana para incrementar el sentido de pertenencia, construyendo la memoria colectiva y la historia institucional, articular la expresión artística y cultural, la seguridad y el deporte en favor de la comunidad universitaria.</t>
  </si>
  <si>
    <t>PRDI25-29-Obj-104</t>
  </si>
  <si>
    <t>Fortalecer la autoprotección y los protocolos de reacción para salvaguardar la seguridad de la comunidad universitaria.</t>
  </si>
  <si>
    <t>Realizar anualmente 1 campaña de protección universitaria en materia de autoprotección y reacción ante emergencias para la comunidad universitaria de nivel superior</t>
  </si>
  <si>
    <t>ACT-PRDI-NS-2980</t>
  </si>
  <si>
    <t>Contribuir desde la Facultad de Ingeniería al cumplimiento de la meta PRDI “Realizar anualmente 1 campaña de protección universitaria en materia de autoprotección y reacción ante emergencias para la comunidad universitaria de nivel superior”, con valores absolutos programados de 2027: 1, 2028: 1, 2029: 1, 2030: 1.</t>
  </si>
  <si>
    <t>Realizar campañas de protección universitaria en materia de autoprotección y reacción ante emergencias para la comunidad universitaria de nivel superior</t>
  </si>
  <si>
    <t>Dirección y órganos colegiados</t>
  </si>
  <si>
    <t>Realizar anualmente 1 simulacro de acuerdo con la convocatoria nacional</t>
  </si>
  <si>
    <t>ACT-PRDI-NS-2982</t>
  </si>
  <si>
    <t>Contribuir desde la Facultad de Ingeniería al cumplimiento de la meta PRDI “Realizar anualmente 1 simulacro de acuerdo con la convocatoria nacional”, con valores absolutos programados de 2027: 1, 2028: 1, 2029: 1, 2030: 1.</t>
  </si>
  <si>
    <t>Realizar simulacro de acuerdo con la convocatoria nacional</t>
  </si>
  <si>
    <t>PRDI25-29-Obj-105</t>
  </si>
  <si>
    <t>Capacitar a elementos del personal de Seguridad y Protección Universitaria en materia de perspectiva de género y atención prioritaria a grupos vulnerables para garantizar una atención oportuna.</t>
  </si>
  <si>
    <t>Efectuar anualmente 1 campaña del protocolo de atención integral a víctimas en todas las áreas universitarias</t>
  </si>
  <si>
    <t>ACT-PRDI-NS-2748</t>
  </si>
  <si>
    <t>Contribuir desde la Facultad de Ingeniería al cumplimiento de la meta PRDI “Efectuar anualmente 1 campaña del protocolo de atención integral a víctimas en todas las áreas universitarias”, con valores absolutos programados de 2027: 1, 2028: 1, 2029: 1, 2030: 1.</t>
  </si>
  <si>
    <t>Efectuar campañas del protocolo de atención integral a víctimas en todas las áreas universitarias</t>
  </si>
  <si>
    <t>Difundir anualmente 1 campaña de los Protocolos de Seguridad y Protección Civil</t>
  </si>
  <si>
    <t>ACT-PRDI-NS-2983</t>
  </si>
  <si>
    <t>Contribuir desde la Facultad de Ingeniería al cumplimiento de la meta PRDI “Difundir anualmente 1 campaña de los Protocolos de Seguridad y Protección Civil”, con valores absolutos programados de 2027: 1, 2028: 1, 2029: 1, 2030: 1.</t>
  </si>
  <si>
    <t>Difundir la campaña de los Protocolos de Seguridad y Protección Civil</t>
  </si>
  <si>
    <t>Realizar 1 curso anual dirigido al personal de Protección Universitaria sobre Derechos Humanos y perspectiva de Género</t>
  </si>
  <si>
    <t>ACT-PRDI-NS-2984</t>
  </si>
  <si>
    <t>Contribuir desde la Facultad de Ingeniería al cumplimiento de la meta PRDI “Realizar 1 curso anual dirigido al personal de Protección Universitaria sobre Derechos Humanos y perspectiva de Género”, con valores absolutos programados de 2027: 1, 2028: 1, 2029: 1, 2030: 1.</t>
  </si>
  <si>
    <t>Realizar cursos dirigidos al personal de Protección Universitaria sobre Derechos Humanos y perspectiva de Género</t>
  </si>
  <si>
    <t>PRDI25-29-Obj-108</t>
  </si>
  <si>
    <t>Preservar entre las y los universitarios una pertenencia universitaria fortalecida, así como la valoración y difusión de contenidos promocionales para consolidar productos editoriales y publicaciones sobre la historia y el acontecer universitario, para impulsar el orgullo de pertenencia.</t>
  </si>
  <si>
    <t>Atender anualmente a 15 000 asistentes a conferencias, foros y charlas, relacionados con la pertenencia universitaria</t>
  </si>
  <si>
    <t>ACT-PRDI-NS-2749</t>
  </si>
  <si>
    <t>Contribuir desde la Facultad de Ingeniería al cumplimiento de la meta PRDI “Atender anualmente a 15 000 asistentes a conferencias, foros y charlas, relacionados con la pertenencia universitaria”, con valores absolutos programados de 2027: 273, 2028: 273, 2029: 273, 2030: 273. Sustento en la Matriz de consistencia: «Realizar 1 reunión y 1 encuesta a representantes estudiantiles, docentes y administrativos cada año de 2028 a 2030 y documentar los ajustes derivados.»</t>
  </si>
  <si>
    <t>Atender anualmente a asistentes a conferencias, foros y charlas, relacionados con la pertenencia universitaria</t>
  </si>
  <si>
    <t>Contar anualmente con 8 500 asistentes a visitas guiadas</t>
  </si>
  <si>
    <t>ACT-PRDI-NS-2992</t>
  </si>
  <si>
    <t>Contribuir desde la Facultad de Ingeniería al cumplimiento de la meta PRDI “Contar anualmente con 8 500 asistentes a visitas guiadas”, con valores absolutos programados de 2027: 155, 2028: 155, 2029: 155, 2030: 155. Sustento en la Matriz de consistencia: «Realizar 1 revisión documentada de el cumplimiento de acuerdos colegiados en 2027 y actualizarla una vez al año de 2028 a 2030.»</t>
  </si>
  <si>
    <t>Contar con  asistentes a visitas guiadas</t>
  </si>
  <si>
    <t>Lograr que 100% de los espacios universitarios con cronista cuente con una nueva crónica sobre la historia de su espacio, al final de la administración</t>
  </si>
  <si>
    <t>ACT-PRDI-NS-3243</t>
  </si>
  <si>
    <t>Contribuir desde la Facultad de Ingeniería al cumplimiento de la meta PRDI “Lograr que 100% de los espacios universitarios con cronista cuente con una nueva crónica sobre la historia de su espacio, al final de la administración”, con valores absolutos programados de 2027: 0, 2028: 0, 2029: 1, 2030: 0. Sustento en la Matriz de consistencia: «Crear 1 registro de acuerdos colegiados en 2027 y publicar 1 balance de seguimiento cada año de 2028 a 2030.»</t>
  </si>
  <si>
    <t>Contar con una nueva crónica sobre la historia del espacio universitario</t>
  </si>
  <si>
    <t>PRDI25-29-Obj-50</t>
  </si>
  <si>
    <t>Lograr que las finanzas universitarias se administren con integridad, transparencia y eficiencia, mediante la implementación de un presupuesto responsable que contribuya a la sostenibilidad institucional bajo los principios de austeridad, equidad y visión estratégica.</t>
  </si>
  <si>
    <t>PRDI25-29-Obj-117</t>
  </si>
  <si>
    <t>Potenciar de manera eficiente, transparente y sostenible la generación de recursos extraordinarios alternos para que contribuyan a fortalecer las funciones sustantivas y adjetivas de la Universidad.</t>
  </si>
  <si>
    <t>Implementar anualmente 1 programa institucional que fortalezca la generación de ingresos extraordinarios</t>
  </si>
  <si>
    <t xml:space="preserve"> ACT-PRDI-NS-2763</t>
  </si>
  <si>
    <t>Contribuir desde la Facultad de Ingeniería al cumplimiento de la meta PRDI “Implementar anualmente 1 programa institucional que fortalezca la generación de ingresos extraordinarios”, con valores absolutos programados de 2027: 1, 2028: 1, 2029: 1, 2030: 1. Sustento en la Matriz de consistencia: «Integrar 1 registro anual de programación y ejercicio de recursos entre 2027 y 2030.» «Realizar 1 revisión documentada de la relación entre asignaciones y resultados en 2027 y actualizarla una vez al año de 2028 a 2030.» «Registrar 1 acuerdo de mejora sobre la relación entre asignaciones y resultados en 2028 y revisar su cumplimiento anualmente hasta 2030.»</t>
  </si>
  <si>
    <t>Implementar un programa institucional que fortalezca la generación de ingresos extraordinarios</t>
  </si>
  <si>
    <t>PRDI25-29-Obj-52</t>
  </si>
  <si>
    <t>Fortalecer una cultura universitaria incluyente, equitativa y libre de discriminación mediante la implementación de acciones integrales de reconocimiento, atención y prevención, que incorporen la perspectiva de diversidad, género y cuidados.</t>
  </si>
  <si>
    <t>PRDI2025-2029-Obj-74</t>
  </si>
  <si>
    <t>Fortalecer la igualdad y la inclusión entre la comunidad universitaria para reconocer y respetar la diversidad social.</t>
  </si>
  <si>
    <t>Sensibilizar durante la administración a 40% de estudiantado de estudios profesionales en temas de inclusión a grupos históricamente vulnerados</t>
  </si>
  <si>
    <t>IND-PRDI-431</t>
  </si>
  <si>
    <t>Mejorar o mantener de forma conservadora en la Facultad de Ingeniería el indicador IND-PRDI-431, con la trayectoria 2027: 38.01%, 2028: 38.68%, 2029: 39.32%, 2030: 40.01%, sustentada en referencia PRDI; no existe serie histórica directamente comparable para la variable. Sustento en la Matriz de consistencia: «Realizar 1 reunión y 1 encuesta a estudiantes y profesorado de cada licenciatura cada año de 2028 a 2030 y documentar los ajustes derivados.»</t>
  </si>
  <si>
    <t>(Número de estudiantes sensibilizados / Total del estudiantado)*100</t>
  </si>
  <si>
    <t>Número de estudiantes sensibilizados</t>
  </si>
  <si>
    <t>Unidad de Igualdad de Género</t>
  </si>
  <si>
    <t>Total del estudiantado</t>
  </si>
  <si>
    <t>PRDI25-29-Obj-122</t>
  </si>
  <si>
    <t>Mejorar los mecanismos y las prácticas institucionales para generar entornos libres de discriminación.</t>
  </si>
  <si>
    <t>Difundir 3 materiales de divulgación al año (guías, cartillas y manuales) orientados a promover el respeto y reconocimiento de las identidades entre la comunidad universitaria</t>
  </si>
  <si>
    <t>ACT-PRDI-NS-3075</t>
  </si>
  <si>
    <t>Contribuir desde la Facultad de Ingeniería al cumplimiento de la meta PRDI “Difundir 3 materiales de divulgación al año (guías, cartillas y manuales) orientados a promover el respeto y reconocimiento de las identidades entre la comunidad universitaria”, con valores absolutos programados de 2027: 1, 2028: 1, 2029: 1, 2030: 1.</t>
  </si>
  <si>
    <t>Difundir materiales de divulgación (guías, cartillas y manuales) orientados a promover el respeto y reconocimiento de las identidades entre la comunidad universitaria</t>
  </si>
  <si>
    <t>PRDI25-29-Obj-124</t>
  </si>
  <si>
    <t>Impulsar programas de apoyo dirigidos a grupos en situación de vulnerabilidad, para fomentar su inclusión, desarrollo académico y laboral dentro de la Universidad.</t>
  </si>
  <si>
    <t>Incrementar a 4.90% los proyectos de investigación en materia de cultura de paz y estudios de género respecto al total de proyectos de investigación, para 2029</t>
  </si>
  <si>
    <t>IND-PRDI-407</t>
  </si>
  <si>
    <t>Mejorar o mantener de forma conservadora en la Facultad de Ingeniería el indicador IND-PRDI-407, con la trayectoria 2027: 5%, 2028: 5%, 2029: 5%, 2030: 5%, sustentada en referencia PRDI; no existe serie histórica directamente comparable para la variable.</t>
  </si>
  <si>
    <t>(Proyectos de investigación en materia de cultura de paz y estudios de género/Total de proyectos de investigación)*100</t>
  </si>
  <si>
    <t>Proyectos de investigación en materia de cultura de paz y estudios de género</t>
  </si>
  <si>
    <t>Total de proyectos de investigación</t>
  </si>
  <si>
    <t>Implementar 2 eventos socioculturales al año con temáticas de inclusión y vulnerabilidad</t>
  </si>
  <si>
    <t>ACT-PRDI-NS-3081</t>
  </si>
  <si>
    <t>Contribuir desde la Facultad de Ingeniería al cumplimiento de la meta PRDI “Implementar 2 eventos socioculturales al año con temáticas de inclusión y vulnerabilidad”, con valores absolutos programados de 2027: 1, 2028: 1, 2029: 1, 2030: 1.</t>
  </si>
  <si>
    <t>Implementar eventos socioculturales con temáticas de inclusión y vulnerabilidad</t>
  </si>
  <si>
    <t>Realizar 1 actividad anual sobre equidad social y de género</t>
  </si>
  <si>
    <t>ACT-PRDI-NS-3087</t>
  </si>
  <si>
    <t>Contribuir desde la Facultad de Ingeniería al cumplimiento de la meta PRDI “Realizar 1 actividad anual sobre equidad social y de género”, con valores absolutos programados de 2027: 1, 2028: 1, 2029: 1, 2030: 1. Sustento en la Matriz de consistencia: «Publicar 1 diagnóstico anual de brechas de participación y apoyos por programa entre 2027 y 2030.»</t>
  </si>
  <si>
    <t>Realizar actividades sobre equidad social y de género</t>
  </si>
  <si>
    <t>PRDI25-29-Obj-125</t>
  </si>
  <si>
    <t>Incorporar la perspectiva de cuidados y corresponsabilidad en los procesos institucionales para garantizar entornos seguros en los espacios universitarios.</t>
  </si>
  <si>
    <t>Implementar 4 programas de sensibilización al año en temas de corresponsabilidad y autocuidado</t>
  </si>
  <si>
    <t xml:space="preserve"> ACT-PRDI-NS-2767</t>
  </si>
  <si>
    <t>Contribuir desde la Facultad de Ingeniería al cumplimiento de la meta PRDI “Implementar 4 programas de sensibilización al año en temas de corresponsabilidad y autocuidado”, con valores absolutos programados de 2027: 1, 2028: 1, 2029: 1, 2030: 1.</t>
  </si>
  <si>
    <t>Implementar programas de sensibilización en temas de corresponsabilidad y autocuidado</t>
  </si>
  <si>
    <t>Realizar anualmente 10 talleres articulados que fortalezcan el Programa Universitario de Bienestar Integral</t>
  </si>
  <si>
    <t>ACT-PRDI-NS-3097</t>
  </si>
  <si>
    <t>Contribuir desde la Facultad de Ingeniería al cumplimiento de la meta PRDI “Realizar anualmente 10 talleres articulados que fortalezcan el Programa Universitario de Bienestar Integral”, con valores absolutos programados de 2027: 1, 2028: 1, 2029: 1, 2030: 1.</t>
  </si>
  <si>
    <t xml:space="preserve">Actividad </t>
  </si>
  <si>
    <t>Realizar talleres articulados que fortalezcan el Programa Universitario de Bienestar Integral</t>
  </si>
  <si>
    <t>Certificar anualmente a 10% del personal académico, administrativo de confianza y directivo en materia de bienestar integral</t>
  </si>
  <si>
    <t>ACT-POA-NS-2650</t>
  </si>
  <si>
    <t>Contribuir desde la Facultad de Ingeniería al cumplimiento de la meta PRDI “Certificar anualmente a 10% del personal académico, administrativo de confianza y directivo en materia de bienestar integral”, con valores absolutos programados de 2027: 1, 2028: 1, 2029: 1, 2030: 1. Sustento en la Matriz de consistencia: «Realizar 1 revisión documentada de las brechas de acceso y permanencia en 2027 y actualizarla una vez al año de 2028 a 2030.»</t>
  </si>
  <si>
    <t>Capacitar anualmente al personal académico, administrativo de confianza y directivo de nivel superior en materia de bienestar integral.</t>
  </si>
  <si>
    <t>PRDI25-29-Obj-54</t>
  </si>
  <si>
    <t>Fomentar la vinculación estratégica de la Universidad con los sectores social, productivo y gubernamental, para el desarrollo de proyectos inclusivos y sostenibles, que favorezcan el desarrollo humano y la salud; fomenten las competencias profesionales; promuevan la conciencia ética, motiven la responsabilidad social, el interés colectivo; y sean promotores del desarrollo tecnológico y la innovación.</t>
  </si>
  <si>
    <t>PRDI2025-2029-Obj-76</t>
  </si>
  <si>
    <t>Fortalecer las competencias emprendedoras y empresariales de la comunidad universitaria y la sociedad en general, para la creación y consolidación de proyectos innovadores, sostenibles y de alto impacto que contribuyan al desarrollo regional.</t>
  </si>
  <si>
    <t>Coordinar cada año 15 eventos de emprendimiento con los responsables del Programa Emprendedor de todos los espacios académicos</t>
  </si>
  <si>
    <t>ACT-PRDI-NS-3103</t>
  </si>
  <si>
    <t>Contribuir desde la Facultad de Ingeniería al cumplimiento de la meta PRDI “Coordinar cada año 15 eventos de emprendimiento con los responsables del Programa Emprendedor de todos los espacios académicos”, con valores absolutos programados de 2027: 1, 2028: 1, 2029: 1, 2030: 1.</t>
  </si>
  <si>
    <t>Coordinar eventos de emprendimiento con los responsables del Programa Emprendedor de todos los espacios académicos</t>
  </si>
  <si>
    <t>Coordinación de Extensión y Vinculación</t>
  </si>
  <si>
    <t>Realizar 8 pláticas o talleres al año para desarrollar proyectos de negocio, innovación y desarrollo tecnológico, dirigidos a la comunidad universitaria y abiertos a la sociedad en general</t>
  </si>
  <si>
    <t>ACT-PRDI-NS-3107</t>
  </si>
  <si>
    <t>Contribuir desde la Facultad de Ingeniería al cumplimiento de la meta PRDI “Realizar 8 pláticas o talleres al año para desarrollar proyectos de negocio, innovación y desarrollo tecnológico, dirigidos a la comunidad universitaria y abiertos a la sociedad en general”, con valores absolutos programados de 2027: 1, 2028: 1, 2029: 1, 2030: 1.</t>
  </si>
  <si>
    <t>Realizar pláticas o talleres para desarrollar proyectos de negocio, innovación y desarrollo tecnológico, dirigidos a la comunidad universitaria y abiertos a la sociedad en general</t>
  </si>
  <si>
    <t>PRDI25-29-Obj-129</t>
  </si>
  <si>
    <t>Promover el desarrollo humano, económico, social y medioambiental de las comunidades, especialmente de los grupos sociales minoritarios o vulnerables, a partir de la intervención universitaria, inter y multidisciplinaria.</t>
  </si>
  <si>
    <t xml:space="preserve">Capacitar al año a 250 universitarios y público en general en temas relacionados con la economía social y solidaria </t>
  </si>
  <si>
    <t>ACT-PRDI-NS-3113</t>
  </si>
  <si>
    <t>Contribuir desde la Facultad de Ingeniería al cumplimiento de la meta PRDI “Capacitar al año a 250 universitarios y público en general en temas relacionados con la economía social y solidaria”, con valores absolutos programados de 2027: 5, 2028: 5, 2029: 5, 2030: 5.</t>
  </si>
  <si>
    <t xml:space="preserve">Capacitar a universitarios y público en general en temas relacionados con la economía social y solidaria </t>
  </si>
  <si>
    <t>Atender 40 proyectos de economía social y solidaria en el territorio mexiquense al cierre de la administración</t>
  </si>
  <si>
    <t>ACT-PRDI-NS-2755</t>
  </si>
  <si>
    <t>Contribuir desde la Facultad de Ingeniería al cumplimiento de la meta PRDI “Atender 40 proyectos de economía social y solidaria en el territorio mexiquense al cierre de la administración”, con valores absolutos programados de 2027: 0, 2028: 0, 2029: 1, 2030: 0. Sustento en la Matriz de consistencia: «Realizar 1 revisión documentada de los resultados del servicio social y sus beneficiarios en 2027 y actualizarla una vez al año de 2028 a 2030.»</t>
  </si>
  <si>
    <t xml:space="preserve">Atender proyectos de economía social y solidaria en el territorio mexiquense </t>
  </si>
  <si>
    <t>Ejecutar 6 colaboraciones de impacto social con organizaciones locales o sectores productivos de mediano y largo plazo durante la administración</t>
  </si>
  <si>
    <t>ACT-PRDI-NS-3115</t>
  </si>
  <si>
    <t>Contribuir desde la Facultad de Ingeniería al cumplimiento de la meta PRDI “Ejecutar 6 colaboraciones de impacto social con organizaciones locales o sectores productivos de mediano y largo plazo durante la administración”, con valores absolutos programados de 2027: 1, 2028: 0, 2029: 0, 2030: 0.</t>
  </si>
  <si>
    <t xml:space="preserve">Ejecutar colaboraciones de impacto social con organizaciones locales o sectores productivos de mediano y largo plazo </t>
  </si>
  <si>
    <t>Lograr cada año la participación de 35 espacios académicos en servicios comunitarios de beneficio social y proyectos de Brigadas Universitarias Multidisciplinarias (BUM TUAEMEX)</t>
  </si>
  <si>
    <t>ACT-PRDI-NS-3116</t>
  </si>
  <si>
    <t>Contribuir desde la Facultad de Ingeniería al cumplimiento de la meta PRDI “Lograr cada año la participación de 35 espacios académicos en servicios comunitarios de beneficio social y proyectos de Brigadas Universitarias Multidisciplinarias (BUM TUAEMEX)”, con valores absolutos programados de 2027: 1, 2028: 1, 2029: 1, 2030: 1.</t>
  </si>
  <si>
    <t>Lograr  la participación de espacios académicos en servicios comunitarios de beneficio social y proyectos de Brigadas Universitarias Multidisciplinarias (BUM TUUAEMEX)</t>
  </si>
  <si>
    <t>PRDI25-29-Obj-130</t>
  </si>
  <si>
    <t>PRDI25-29-Obj-130 -Impulsar la colaboración con instancias de los sectores público y privado para fortalecer el desarrollo de competencias profesionales, transversales y complementarias en el estudiantado, favorecer su empleabilidad y contribuir al progreso socialmente responsable.</t>
  </si>
  <si>
    <t>Incrementar 5% al año la participación de universitarios en el Programa de Competencias Laborales</t>
  </si>
  <si>
    <t>IND-PRDI-410</t>
  </si>
  <si>
    <t>Mejorar o mantener de forma conservadora en la Facultad de Ingeniería el indicador IND-PRDI-410, con la trayectoria 2027: 3.88%, 2028: 4.31%, 2029: 4.68%, 2030: 5%, sustentada en referencia PRDI; no existe serie histórica directamente comparable para la variable.</t>
  </si>
  <si>
    <t>((Número de universitarios participantes en el programa de competencias laborales en el año actual/Número de universitarios participantes en el programa de competencias laborales en el año anterior)-1)*100</t>
  </si>
  <si>
    <t>Número de universitarios participantes en el programa de competencias laborales en el año actual</t>
  </si>
  <si>
    <t>Número de universitarios participantes en el programa de competencias laborales en el año anterior</t>
  </si>
  <si>
    <t>Impulsar la colaboración con instancias de los sectores público y privado para fortalecer el desarrollo de competencias profesionales, transversales y complementarias en el estudiantado, favorecer su empleabilidad y contribuir al progreso socialmente responsable.</t>
  </si>
  <si>
    <t>Mantener 35 colaboraciones al año con empresas, instituciones y organizaciones para el Catálogo de descuentos universitarios</t>
  </si>
  <si>
    <t>ACT-PRDI-NS-3125</t>
  </si>
  <si>
    <t>Contribuir desde la Facultad de Ingeniería al cumplimiento de la meta PRDI “Mantener 35 colaboraciones al año con empresas, instituciones y organizaciones para el Catálogo de descuentos universitarios”, con valores absolutos programados de 2027: 1, 2028: 1, 2029: 1, 2030: 1. Sustento en la Matriz de consistencia: «Realizar 1 reunión y 1 encuesta a estudiantes y organizaciones receptoras cada año de 2028 a 2030 y documentar los ajustes derivados.»</t>
  </si>
  <si>
    <t>Mantener colaboraciones con empresas, instituciones y organizaciones para el Catálogo de descuentos universitarios</t>
  </si>
  <si>
    <t>PRDI25-29-Obj-131</t>
  </si>
  <si>
    <t>Fortalecer la formación, evaluación y certificación lingüística para impulsar la empleabilidad, la movilidad académica y la proyección cultural de la comunidad universitaria y la sociedad.</t>
  </si>
  <si>
    <t>Aperturar anualmente 1 grupo de lenguas originarias en algún espacio universitario, CELE o extensión de CELE</t>
  </si>
  <si>
    <t>ACT-PRDI-NS-3135</t>
  </si>
  <si>
    <t>Contribuir desde la Facultad de Ingeniería al cumplimiento de la meta PRDI “Aperturar anualmente 1 grupo de lenguas originarias en algún espacio universitario, CELE o extensión de CELE”, con valores absolutos programados de 2027: 1, 2028: 1, 2029: 1, 2030: 1.</t>
  </si>
  <si>
    <t>Aperturar grupos de lenguas originarias en algún espacio universitario, CELE o extensión de CELE</t>
  </si>
  <si>
    <t>PRDI25-29-Obj-132</t>
  </si>
  <si>
    <t>PRDI25-29-Obj-132 -Fortalecer la promoción, prevención y atención a la salud de primer nivel para mejorar el bienestar integral y la calidad de vida de la comunidad universitaria y la sociedad mexiquense.</t>
  </si>
  <si>
    <t>Lograr que 100% de los espacios académicos cuenten con servicios de Atención Psicológica al cierre de la administración</t>
  </si>
  <si>
    <t>ACT-PRDI-NS-3245</t>
  </si>
  <si>
    <t>Contribuir desde la Facultad de Ingeniería al cumplimiento de la meta PRDI “Lograr que 100% de los espacios académicos cuenten con servicios de Atención Psicológica al cierre de la administración”, con valores absolutos programados de 2027: 0, 2028: 0, 2029: 1, 2030: 0. Sustento en la Matriz de consistencia: «Validar y documentar el valor de Ref. 2026 durante 2027 y, una vez confirmado, mantenerlo o mejorarlo hasta 2030.»</t>
  </si>
  <si>
    <t xml:space="preserve">Contar con el Servicio de Atención Psicologíca </t>
  </si>
  <si>
    <t>PRDI25-29-Obj-55</t>
  </si>
  <si>
    <t>Promover una comunicación social efectiva y cercana que fortalezca la identidad institucional de la uaemex, impulsando la inclusión y el diálogo abierto con toda la comunidad universitaria y la sociedad, a fin de difundir y consolidar valores que contribuyan al desarrollo académico, cultural y social.</t>
  </si>
  <si>
    <t>PRDI25-29-Obj-77</t>
  </si>
  <si>
    <t>Impulsar canales efectivos de comunicación que faciliten el diálogo continuo con la comunidad universitaria, promoviendo la participación, la difusión de logros y el empleo de plataformas tecnológicas modernas.</t>
  </si>
  <si>
    <t>Realizar 3 campañas anuales que promuevan los valores universitarios de cercanía, inclusión y progresismo tanto en medios impresos como digitales</t>
  </si>
  <si>
    <t>ACT-PRDI-NS-2723</t>
  </si>
  <si>
    <t>Contribuir desde la Facultad de Ingeniería al cumplimiento de la meta PRDI “Realizar 3 campañas anuales que promuevan los valores universitarios de cercanía, inclusión y progresismo tanto en medios impresos como digitales”, con valores absolutos programados de 2027: 1, 2028: 1, 2029: 1, 2030: 1. Sustento en la Matriz de consistencia: «Aprobar 1 calendario editorial en 2027 y publicar 1 evaluación de alcance por año de 2028 a 2030.» «Realizar 1 revisión documentada de el alcance y la claridad de los canales institucionales en 2027 y actualizarla una vez al año de 2028 a 2030.» «Realizar 1 reunión y 1 encuesta a estudiantes, docentes y administrativos cada año de 2028 a 2030 y documentar los ajustes derivados.»</t>
  </si>
  <si>
    <t>Realizar campañas que promuevan los valores universitarios de cercanía, inclusión y progresismo tanto en medios impresos como digitales en apego al enfoque institucional</t>
  </si>
  <si>
    <t>Departamento de Comunicación</t>
  </si>
  <si>
    <t>PRDI25-29-Obj-56</t>
  </si>
  <si>
    <t>PRDI25-29-Obj-56 -Fortalecer una cultura de respeto mediante la educación ambiental, que permita la conservación y protección del medio ambiente entre la comunidad universitaria, para alcanzar el desarrollo sostenible.</t>
  </si>
  <si>
    <t>PRDI2025-2029-Obj-78</t>
  </si>
  <si>
    <t>PRDI2025-2029-Obj-78 -Impulsar acciones sustentables para reducir el impacto negativo en el medio ambiente, ocasionado por las funciones sustantivas y adjetivas de la Institución.</t>
  </si>
  <si>
    <t>Establecer 1 programa de reducción del uso de unicel y desechables</t>
  </si>
  <si>
    <t>ACT-PRDI-NS-3154</t>
  </si>
  <si>
    <t>Contribuir desde la Facultad de Ingeniería al cumplimiento de la meta PRDI “Establecer 1 programa de reducción del uso de unicel y desechables”, con valores absolutos programados de 2027: 0, 2028: 0, 2029: 1, 2030: 0.</t>
  </si>
  <si>
    <t>Establecer un programa de reducción del uso de unicel y desechables</t>
  </si>
  <si>
    <t>Comité de Sustentabilidad y Subdirección Administrativa</t>
  </si>
  <si>
    <t>Operar anualmente 1 campaña de acopio de residuos de aceite vegetal-comestible generado en las cafeterías de los espacios académicos y cocinas de la Licenciatura en Gastronomía</t>
  </si>
  <si>
    <t>ACT-PRDI-NS-3155</t>
  </si>
  <si>
    <t>Contribuir desde la Facultad de Ingeniería al cumplimiento de la meta PRDI “Operar anualmente 1 campaña de acopio de residuos de aceite vegetal-comestible generado en las cafeterías de los espacios académicos y cocinas de la Licenciatura en Gastronomía”, con valores absolutos programados de 2027: 1, 2028: 1, 2029: 1, 2030: 1. Sustento en la Matriz de consistencia: «Registrar 1 acuerdo de mejora sobre el consumo de agua, energía y la generación de residuos en 2028 y revisar su cumplimiento anualmente hasta 2030.»</t>
  </si>
  <si>
    <t xml:space="preserve">Operar campañas de acopio de residuos de aceite vegetal-comestible generado en las cafeterías de los espacios académicos </t>
  </si>
  <si>
    <t>Realizar anualmente 1 campaña institucional de reforestación que incluya las 4 regiones con presencia universitaria</t>
  </si>
  <si>
    <t>ACT-PRDI-NS-3157</t>
  </si>
  <si>
    <t>Contribuir desde la Facultad de Ingeniería al cumplimiento de la meta PRDI “Realizar anualmente 1 campaña institucional de reforestación que incluya las 4 regiones con presencia universitaria”, con valores absolutos programados de 2027: 1, 2028: 1, 2029: 1, 2030: 1.</t>
  </si>
  <si>
    <t>Realizar campañas institucionales de reforestación que incluya las regiones con presencia universitaria</t>
  </si>
  <si>
    <t>Operar anualmente 1 programa de mantenimiento y fortalecimiento de huertos universitarios</t>
  </si>
  <si>
    <t>ACT-PRDI-NS-3161</t>
  </si>
  <si>
    <t>Contribuir desde la Facultad de Ingeniería al cumplimiento de la meta PRDI “Operar anualmente 1 programa de mantenimiento y fortalecimiento de huertos universitarios”, con valores absolutos programados de 2027: 1, 2028: 1, 2029: 1, 2030: 1.</t>
  </si>
  <si>
    <t>Operar un programa de mantenimiento y fortalecimiento de huertos universitarios</t>
  </si>
  <si>
    <t>Lograr que 100% de los espacios académicos operen el Plan Institucional de Manejo de Residuos Sólidos Urbanos a 2029</t>
  </si>
  <si>
    <t>ACT-PRDI-NS-3247</t>
  </si>
  <si>
    <t>Contribuir desde la Facultad de Ingeniería al cumplimiento de la meta PRDI “Lograr que 100% de los espacios académicos operen el Plan Institucional de Manejo de Residuos Sólidos Urbanos a 2029”, con valores absolutos programados de 2027: 1, 2028: 1, 2029: 1, 2030: 1. Sustento en la Matriz de consistencia: «Medir 1 línea base de agua, energía y residuos en 2027 y aprobar 1 plan ambiental medible en 2028.»</t>
  </si>
  <si>
    <t>Operar el plan de manejo de residuos sólidos urbano</t>
  </si>
  <si>
    <t>Promover en 22 espacios académicos el proceso de compostaje de los residuos orgánicos de poda y jardinería a 2029</t>
  </si>
  <si>
    <t>ACT-PRDI-NS-3163</t>
  </si>
  <si>
    <t>Contribuir desde la Facultad de Ingeniería al cumplimiento de la meta PRDI “Promover en 22 espacios académicos el proceso de compostaje de los residuos orgánicos de poda y jardinería a 2029”, con valores absolutos programados de 2027: 1, 2028: 1, 2029: 1, 2030: 1.</t>
  </si>
  <si>
    <t xml:space="preserve">Promover en espacios académicos el proceso de compostaje de los residuos orgánicos de poda y jardinería </t>
  </si>
  <si>
    <t>PRDI25-29-Obj-135</t>
  </si>
  <si>
    <t>PRDI25-29-Obj-135 -Formar agentes universitarios de cambio comprometidos para la construcción de un medio ambiente sostenible.</t>
  </si>
  <si>
    <t>Capacitar anualmente a 1 736 estudiantes de nivel superior en temas de sustentabilidad</t>
  </si>
  <si>
    <t>ACT-PRDI-NS-2747</t>
  </si>
  <si>
    <t>Contribuir desde la Facultad de Ingeniería al cumplimiento de la meta PRDI “Capacitar anualmente a 1 736 estudiantes de nivel superior en temas de sustentabilidad”, con valores absolutos programados de 2027: 32, 2028: 32, 2029: 32, 2030: 32.</t>
  </si>
  <si>
    <t>Capacitar a estudiantes de nivel superior en temas de sustentabilidad</t>
  </si>
  <si>
    <t>Capacitar a 1 034 integrantes del personal docente en temas de sustentabilidad a 2029</t>
  </si>
  <si>
    <t>ACT-PRDI-NS-2392</t>
  </si>
  <si>
    <t>Contribuir desde la Facultad de Ingeniería al cumplimiento de la meta PRDI “Capacitar a 1 034 integrantes del personal docente en temas de sustentabilidad a 2029”, con valores absolutos programados de 2027: 10, 2028: 15, 2029: 19, 2030: 19.</t>
  </si>
  <si>
    <t>Capacitar a académicos en temas de sustentabilidad</t>
  </si>
  <si>
    <t>Capacitar a 2 115 integrantes del personal administrativo en temas de sustentabilidad a 2029</t>
  </si>
  <si>
    <t>ACT-PRDI-NS-2391</t>
  </si>
  <si>
    <t>Contribuir desde la Facultad de Ingeniería al cumplimiento de la meta PRDI “Capacitar a 2 115 integrantes del personal administrativo en temas de sustentabilidad a 2029”, con valores absolutos programados de 2027: 20, 2028: 30, 2029: 39, 2030: 39.</t>
  </si>
  <si>
    <t>Capacitar a administrativos en temas de sustentabilidad</t>
  </si>
  <si>
    <t>PRDI25-29-Obj-136</t>
  </si>
  <si>
    <t>PRDI25-29-Obj-136 -Desarrollar una cultura de sustentabilidad, aplicable a las funciones adjetivas y sustantivas de la Universidad para contribuir al uso eficiente de los recursos.</t>
  </si>
  <si>
    <t>Implementar 1 programa de cuidado y ahorro de agua en 100% de los espacios universitarios a 2029</t>
  </si>
  <si>
    <t>ACT-PRDI-NS-3248</t>
  </si>
  <si>
    <t>Contribuir desde la Facultad de Ingeniería al cumplimiento de la meta PRDI “Implementar 1 programa de cuidado y ahorro de agua en 100% de los espacios universitarios a 2029”, con valores absolutos programados de 2027: 1, 2028: 1, 2029: 1, 2030: 1. Sustento en la Matriz de consistencia: «Realizar 1 revisión documentada de el consumo de agua, energía y la generación de residuos en 2027 y actualizarla una vez al año de 2028 a 2030.»</t>
  </si>
  <si>
    <t xml:space="preserve"> Implementar un programa de cuidado y ahorro de agua</t>
  </si>
  <si>
    <t>Ejecutar anualmente 1 programa institucional de eficiencia energética</t>
  </si>
  <si>
    <t>ACT-PRDI-NS-3170</t>
  </si>
  <si>
    <t>Contribuir desde la Facultad de Ingeniería al cumplimiento de la meta PRDI “Ejecutar anualmente 1 programa institucional de eficiencia energética”, con valores absolutos programados de 2027: 1, 2028: 1, 2029: 1, 2030: 1.</t>
  </si>
  <si>
    <t>Ejecutar el programa institucional de eficiencia energética</t>
  </si>
  <si>
    <t>Efectuar anualmente 1 programa institucional de reducción de uso de papel</t>
  </si>
  <si>
    <t>ACT-PRDI-NS-3171</t>
  </si>
  <si>
    <t>Contribuir desde la Facultad de Ingeniería al cumplimiento de la meta PRDI “Efectuar anualmente 1 programa institucional de reducción de uso de papel”, con valores absolutos programados de 2027: 1, 2028: 1, 2029: 1, 2030: 1.</t>
  </si>
  <si>
    <t>Efectua rel  programa institucional de reducción de uso de papel</t>
  </si>
  <si>
    <t>I. Estudiantado con oportunidades para su pleno desarrollo 
personal</t>
  </si>
  <si>
    <t xml:space="preserve">         2. Estudiantado con oportunidades para su pleno desarrollo y pertinencia en los estudios profesionales</t>
  </si>
  <si>
    <t>Num Progresivo de meta</t>
  </si>
  <si>
    <t>Meta</t>
  </si>
  <si>
    <t>Ref. 
2025</t>
  </si>
  <si>
    <t xml:space="preserve">         3. Estudios avanzados de excelencia y pertinencia social</t>
  </si>
  <si>
    <t xml:space="preserve">         4. Investigación abierta, inclusiva, equitativa y de calidad</t>
  </si>
  <si>
    <t xml:space="preserve">      8 Deporte universitario</t>
  </si>
  <si>
    <t xml:space="preserve">     9 Fortalecimiento de la formación integral del docente</t>
  </si>
  <si>
    <t xml:space="preserve">     10 Dignificación de las y los trabajadores universitarios</t>
  </si>
  <si>
    <t xml:space="preserve">     18 Reconocimiento de la diversidad social en la universidad</t>
  </si>
  <si>
    <t xml:space="preserve">     19 Construcción de una cultura de paz</t>
  </si>
  <si>
    <t xml:space="preserve">     20 Retribución social a través de trabajos colaborativos con la sociedad mexiquense</t>
  </si>
  <si>
    <t xml:space="preserve">Fecha de toma de protesta </t>
  </si>
  <si>
    <t xml:space="preserve">         Estudiantado con oportunidades para su pleno desarrollo y pertinencia en los estudios profesionales</t>
  </si>
  <si>
    <t>No.</t>
  </si>
  <si>
    <t>Medición</t>
  </si>
  <si>
    <t xml:space="preserve">        Estudios avanzados de excelencia y pertinencia social</t>
  </si>
  <si>
    <t>II. Investigación y desarrollo académico de calidad y equidad</t>
  </si>
  <si>
    <t xml:space="preserve">        Investigación abierta, inclusiva, equitativa y de calidad</t>
  </si>
  <si>
    <t xml:space="preserve">        Innovación, desarrollo tecnológico y transferencia
sostenible y equitativa</t>
  </si>
  <si>
    <t xml:space="preserve">         Difusión y divulgación de la ciencia abierta a través de bienes públicos del conocimiento</t>
  </si>
  <si>
    <t>III. Cultura y deporte para el desarrollo integral de la comunidad universitaria</t>
  </si>
  <si>
    <t xml:space="preserve">      Cultura para el desarrollo integral de la comunidad universitaria</t>
  </si>
  <si>
    <t xml:space="preserve">     Deporte universitario</t>
  </si>
  <si>
    <t>IV. Dignificación del personal académico y administrativo</t>
  </si>
  <si>
    <t xml:space="preserve">     Fortalecimiento de la formación integral del docente</t>
  </si>
  <si>
    <t xml:space="preserve">     Dignificación de las y los trabajadores universitarios</t>
  </si>
  <si>
    <t>V. Gestión y administración universitaria al servicio de la comunidad</t>
  </si>
  <si>
    <t xml:space="preserve">   Gestión administrativa para responder al quehacer universitario</t>
  </si>
  <si>
    <t xml:space="preserve">   Fortalecimiento tecnológico</t>
  </si>
  <si>
    <t xml:space="preserve">   Gobernanza</t>
  </si>
  <si>
    <t xml:space="preserve">    Manejo de recursos universitarios con integridad, transparencia y pulcritud</t>
  </si>
  <si>
    <t>VI. Incidencia y reconocimiento social</t>
  </si>
  <si>
    <t xml:space="preserve">   Reconocimiento de la diversidad social en la universidad</t>
  </si>
  <si>
    <t xml:space="preserve">   Construcción de una cultura de paz</t>
  </si>
  <si>
    <t xml:space="preserve">   Retribución social a través de trabajos colaborativos con la sociedad mexiquense</t>
  </si>
  <si>
    <t xml:space="preserve">   Comunicación universitaria amplia y moderna</t>
  </si>
  <si>
    <t xml:space="preserve">   Sostenibilidad ambiental y ética ecológica</t>
  </si>
  <si>
    <t>Método de cálculo
(sólo si la meta es un indicador)</t>
  </si>
  <si>
    <t>Nombre de las variables
(sólo si la meta es un indicador)</t>
  </si>
  <si>
    <t>14. Proyecto sin renglón PRDI en la plantilla</t>
  </si>
  <si>
    <t>Revisar 1 conjunto priorizado de procedimientos en 2027 y actualizarlo anualmente hasta 2030.</t>
  </si>
  <si>
    <t>Actividad excepcional</t>
  </si>
  <si>
    <t>Cumplimiento anual documentado (0=no, 1=sí)</t>
  </si>
  <si>
    <t>Dirección y Oficina de la Abogacía General</t>
  </si>
  <si>
    <t>Realizar 1 revisión documentada de los trámites con dudas o demoras recurrentes en 2027 y actualizarla una vez al año de 2028 a 2030.</t>
  </si>
  <si>
    <t>Registrar 1 acuerdo de mejora sobre los trámites con dudas o demoras recurrentes en 2028 y revisar su cumplimiento anualmente hasta 2030.</t>
  </si>
  <si>
    <t>15. Proyecto sin renglón PRDI en la plantilla</t>
  </si>
  <si>
    <t>Completar 1 matriz de consistencia para los proyectos aplicables en 2027 y publicar 1 evaluación anual de 2028 a 2030.</t>
  </si>
  <si>
    <t>Unidad de Planeación</t>
  </si>
  <si>
    <t>Realizar 1 revisión documentada de la calidad de indicadores y memorias de cálculo en 2027 y actualizarla una vez al año de 2028 a 2030.</t>
  </si>
  <si>
    <t>Registrar 1 acuerdo de mejora sobre la calidad de indicadores y memorias de cálculo en 2028 y revisar su cumplimiento anualmente hasta 2030.</t>
  </si>
  <si>
    <t>17. Proyecto sin renglón PRDI en la plantilla</t>
  </si>
  <si>
    <t>Elaborar 1 matriz de riesgos en 2027 y revisarla una vez al año de 2028 a 2030.</t>
  </si>
  <si>
    <t>Contraloría Universitaria y Dirección</t>
  </si>
  <si>
    <t>Realizar 1 revisión documentada de los riesgos e incidencias operativas en 2027 y actualizarla una vez al año de 2028 a 2030.</t>
  </si>
  <si>
    <t>Registrar 1 acuerdo de mejora sobre los riesgos e incidencias operativas en 2028 y revisar su cumplimiento anualmente hasta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</si>
</sst>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9"/>
      <color rgb="FFFFFFFF"/>
      <name val="Calibri"/>
      <family val="2"/>
      <scheme val="minor"/>
    </font>
    <font>
      <b/>
      <sz val="9"/>
      <color theme="0"/>
      <name val="Calibri"/>
      <family val="2"/>
      <scheme val="minor"/>
    </font>
    <font>
      <b/>
      <sz val="11"/>
      <color theme="1"/>
      <name val="Calibri"/>
      <family val="2"/>
      <scheme val="minor"/>
    </font>
    <font>
      <b/>
      <sz val="9"/>
      <color theme="1"/>
      <name val="Calibri Light"/>
      <family val="2"/>
      <scheme val="major"/>
    </font>
    <font>
      <sz val="9"/>
      <color theme="1"/>
      <name val="Calibri Light"/>
      <family val="2"/>
      <scheme val="major"/>
    </font>
    <font>
      <sz val="11"/>
      <name val="Calibri"/>
      <family val="2"/>
      <scheme val="minor"/>
    </font>
    <font>
      <b/>
      <sz val="11"/>
      <name val="Calibri"/>
      <family val="2"/>
      <scheme val="minor"/>
    </font>
    <font>
      <sz val="9"/>
      <color theme="1"/>
      <name val="Calibri"/>
      <family val="2"/>
      <scheme val="minor"/>
    </font>
    <font>
      <sz val="9"/>
      <color theme="0"/>
      <name val="Calibri"/>
      <family val="2"/>
      <scheme val="minor"/>
    </font>
    <font>
      <b/>
      <sz val="9"/>
      <color theme="1"/>
      <name val="Calibri"/>
      <family val="2"/>
      <scheme val="minor"/>
    </font>
    <font>
      <b/>
      <sz val="11"/>
      <color theme="1"/>
      <name val="Calibri Light"/>
      <family val="2"/>
      <scheme val="major"/>
    </font>
    <font>
      <b/>
      <sz val="9"/>
      <color theme="1"/>
      <name val="Calibri Light"/>
      <family val="2"/>
      <scheme val="major"/>
    </font>
    <font>
      <sz val="11"/>
      <color theme="1"/>
      <name val="Calibri"/>
      <family val="2"/>
      <scheme val="minor"/>
    </font>
    <font>
      <sz val="11"/>
      <color theme="0"/>
      <name val="Calibri"/>
      <family val="2"/>
      <scheme val="minor"/>
    </font>
    <font>
      <sz val="14"/>
      <color rgb="FFFFFFFF"/>
      <name val="Calibri"/>
      <family val="2"/>
      <scheme val="minor"/>
    </font>
    <font>
      <b/>
      <sz val="14"/>
      <color theme="0"/>
      <name val="Calibri"/>
      <family val="2"/>
      <scheme val="minor"/>
    </font>
    <font>
      <sz val="11"/>
      <name val="DM Sans"/>
    </font>
    <font>
      <sz val="11"/>
      <color theme="1"/>
      <name val="DM Sans"/>
    </font>
    <font>
      <sz val="16"/>
      <color theme="1"/>
      <name val="DM Sans"/>
    </font>
    <font>
      <b/>
      <sz val="11"/>
      <color theme="1"/>
      <name val="DM Sans"/>
    </font>
    <font>
      <b/>
      <sz val="9"/>
      <color theme="1"/>
      <name val="DM Sans"/>
    </font>
    <font>
      <sz val="9"/>
      <color rgb="FFB5A36A"/>
      <name val="DM Sans"/>
    </font>
    <font>
      <b/>
      <sz val="9"/>
      <color rgb="FFB5A36A"/>
      <name val="DM Sans"/>
    </font>
    <font>
      <sz val="9"/>
      <color theme="1"/>
      <name val="DM Sans"/>
    </font>
    <font>
      <b/>
      <sz val="10"/>
      <color theme="1"/>
      <name val="DM Sans"/>
    </font>
    <font>
      <sz val="10"/>
      <color theme="1"/>
      <name val="DM Sans"/>
    </font>
    <font>
      <sz val="20"/>
      <color theme="1"/>
      <name val="DM Sans"/>
    </font>
    <font>
      <b/>
      <sz val="14"/>
      <color theme="1"/>
      <name val="DM Sans"/>
    </font>
    <font>
      <b/>
      <sz val="12"/>
      <color theme="1"/>
      <name val="DM Sans"/>
    </font>
    <font>
      <b/>
      <sz val="10"/>
      <color theme="0"/>
      <name val="Calibri"/>
      <family val="2"/>
      <scheme val="minor"/>
    </font>
    <font>
      <sz val="10"/>
      <color rgb="FFFFFFFF"/>
      <name val="Calibri"/>
      <family val="2"/>
      <scheme val="minor"/>
    </font>
    <font>
      <sz val="10"/>
      <color theme="1"/>
      <name val="Calibri"/>
      <family val="2"/>
      <scheme val="minor"/>
    </font>
    <font>
      <sz val="9"/>
      <name val="SansSerif"/>
    </font>
    <font>
      <sz val="11"/>
      <name val="SansSerif"/>
    </font>
    <font>
      <sz val="12"/>
      <color theme="1"/>
      <name val="Calibri"/>
      <family val="2"/>
      <scheme val="minor"/>
    </font>
  </fonts>
  <fills count="13">
    <fill>
      <patternFill patternType="none"/>
    </fill>
    <fill>
      <patternFill patternType="gray125"/>
    </fill>
    <fill>
      <patternFill patternType="solid">
        <fgColor theme="7" tint="-0.499984740745262"/>
        <bgColor indexed="64"/>
      </patternFill>
    </fill>
    <fill>
      <patternFill patternType="solid">
        <fgColor theme="9" tint="-0.49998474074526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2"/>
        <bgColor indexed="64"/>
      </patternFill>
    </fill>
    <fill>
      <patternFill patternType="solid">
        <fgColor theme="7"/>
        <bgColor indexed="64"/>
      </patternFill>
    </fill>
    <fill>
      <patternFill patternType="solid">
        <fgColor theme="7" tint="-0.249977111117893"/>
        <bgColor indexed="64"/>
      </patternFill>
    </fill>
    <fill>
      <patternFill patternType="solid">
        <fgColor theme="9"/>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7F7F7F"/>
      </bottom>
      <diagonal/>
    </border>
    <border>
      <left/>
      <right/>
      <top style="medium">
        <color rgb="FF7F7F7F"/>
      </top>
      <bottom style="medium">
        <color rgb="FF7F7F7F"/>
      </bottom>
      <diagonal/>
    </border>
    <border>
      <left/>
      <right/>
      <top style="medium">
        <color rgb="FF7F7F7F"/>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s>
  <cellStyleXfs count="2">
    <xf numFmtId="0" fontId="0" fillId="0" borderId="0"/>
    <xf numFmtId="9" fontId="13" fillId="0" borderId="0"/>
  </cellStyleXfs>
  <cellXfs count="226">
    <xf numFmtId="0" fontId="0" fillId="0" borderId="0" xfId="0"/>
    <xf numFmtId="0" fontId="0" fillId="0" borderId="0" xfId="0" applyAlignment="1">
      <alignment horizontal="center" vertical="center"/>
    </xf>
    <xf numFmtId="0" fontId="8" fillId="0" borderId="0" xfId="0" applyFont="1" applyAlignment="1">
      <alignment horizontal="center" vertical="center"/>
    </xf>
    <xf numFmtId="0" fontId="9" fillId="0" borderId="1" xfId="0" applyFont="1" applyBorder="1" applyAlignment="1">
      <alignment horizontal="center" vertical="center"/>
    </xf>
    <xf numFmtId="0" fontId="2" fillId="3" borderId="4" xfId="0" applyFont="1" applyFill="1" applyBorder="1" applyAlignment="1">
      <alignment horizontal="center" vertical="center"/>
    </xf>
    <xf numFmtId="0" fontId="1" fillId="2"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0" fontId="2" fillId="3" borderId="4" xfId="0" applyFont="1" applyFill="1" applyBorder="1" applyAlignment="1">
      <alignment horizontal="center" vertical="center" wrapText="1"/>
    </xf>
    <xf numFmtId="0" fontId="8" fillId="0" borderId="1" xfId="0" applyFont="1" applyBorder="1" applyAlignment="1" applyProtection="1">
      <alignment horizontal="center" vertical="center"/>
      <protection locked="0"/>
    </xf>
    <xf numFmtId="0" fontId="8" fillId="0" borderId="1" xfId="0" applyFont="1" applyBorder="1" applyAlignment="1" applyProtection="1">
      <alignment horizontal="left" vertical="top"/>
      <protection locked="0"/>
    </xf>
    <xf numFmtId="0" fontId="8" fillId="0" borderId="0" xfId="0" applyFont="1" applyAlignment="1">
      <alignment horizontal="left" vertical="top"/>
    </xf>
    <xf numFmtId="0" fontId="9" fillId="0" borderId="0" xfId="0" applyFont="1" applyAlignment="1">
      <alignment horizontal="left" vertical="top"/>
    </xf>
    <xf numFmtId="0" fontId="8" fillId="0" borderId="0" xfId="0" applyFont="1" applyAlignment="1">
      <alignment horizontal="left" vertical="center"/>
    </xf>
    <xf numFmtId="0" fontId="8" fillId="0" borderId="0" xfId="0" applyFont="1" applyAlignment="1">
      <alignment horizontal="left" vertical="top" wrapText="1"/>
    </xf>
    <xf numFmtId="0" fontId="0" fillId="0" borderId="0" xfId="0" applyAlignment="1">
      <alignment horizontal="center"/>
    </xf>
    <xf numFmtId="0" fontId="5" fillId="0" borderId="8" xfId="0" applyFont="1" applyBorder="1" applyAlignment="1">
      <alignment horizontal="left" vertical="top" wrapText="1"/>
    </xf>
    <xf numFmtId="0" fontId="6" fillId="0" borderId="1" xfId="0" applyFont="1" applyBorder="1" applyAlignment="1" applyProtection="1">
      <alignment horizontal="left" vertical="top" wrapText="1"/>
      <protection locked="0"/>
    </xf>
    <xf numFmtId="0" fontId="6" fillId="0" borderId="1" xfId="0" applyFont="1" applyBorder="1" applyAlignment="1" applyProtection="1">
      <alignment vertical="center" wrapText="1"/>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vertical="top" wrapText="1"/>
      <protection locked="0"/>
    </xf>
    <xf numFmtId="0" fontId="6" fillId="0" borderId="1" xfId="0" applyFont="1" applyBorder="1" applyAlignment="1" applyProtection="1">
      <alignment wrapText="1"/>
      <protection locked="0"/>
    </xf>
    <xf numFmtId="0" fontId="3" fillId="0" borderId="1" xfId="0" applyFont="1" applyBorder="1" applyAlignment="1" applyProtection="1">
      <alignment horizontal="center" vertical="center"/>
      <protection locked="0"/>
    </xf>
    <xf numFmtId="0" fontId="0" fillId="0" borderId="0" xfId="0" applyAlignment="1">
      <alignment horizontal="left" vertical="top"/>
    </xf>
    <xf numFmtId="0" fontId="0" fillId="0" borderId="0" xfId="0" applyAlignment="1">
      <alignment vertical="top"/>
    </xf>
    <xf numFmtId="0" fontId="0" fillId="0" borderId="0" xfId="0" applyAlignment="1">
      <alignment horizontal="left" vertical="center"/>
    </xf>
    <xf numFmtId="0" fontId="0" fillId="0" borderId="1" xfId="0" applyBorder="1" applyAlignment="1" applyProtection="1">
      <alignment horizontal="center" vertical="center"/>
      <protection locked="0"/>
    </xf>
    <xf numFmtId="0" fontId="0" fillId="0" borderId="1" xfId="0" applyBorder="1" applyProtection="1">
      <protection locked="0"/>
    </xf>
    <xf numFmtId="0" fontId="0" fillId="0" borderId="0" xfId="0" applyProtection="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pplyProtection="1">
      <alignment horizontal="center" vertical="center"/>
      <protection locked="0"/>
    </xf>
    <xf numFmtId="0" fontId="0" fillId="0" borderId="0" xfId="0" applyAlignment="1">
      <alignment wrapText="1"/>
    </xf>
    <xf numFmtId="2" fontId="0" fillId="0" borderId="0" xfId="0" applyNumberFormat="1"/>
    <xf numFmtId="0" fontId="18" fillId="0" borderId="0" xfId="0" applyFont="1"/>
    <xf numFmtId="14" fontId="19" fillId="0" borderId="0" xfId="0" applyNumberFormat="1" applyFont="1" applyAlignment="1" applyProtection="1">
      <alignment horizontal="center" vertical="center"/>
      <protection locked="0"/>
    </xf>
    <xf numFmtId="0" fontId="18" fillId="0" borderId="0" xfId="0" applyFont="1" applyAlignment="1">
      <alignment horizontal="center" vertical="center"/>
    </xf>
    <xf numFmtId="14" fontId="18" fillId="0" borderId="0" xfId="0" applyNumberFormat="1" applyFont="1"/>
    <xf numFmtId="10" fontId="25" fillId="0" borderId="0" xfId="0" applyNumberFormat="1" applyFont="1" applyAlignment="1">
      <alignment horizontal="center" vertical="center" wrapText="1"/>
    </xf>
    <xf numFmtId="49" fontId="18" fillId="0" borderId="0" xfId="0" applyNumberFormat="1" applyFont="1"/>
    <xf numFmtId="0" fontId="21" fillId="0" borderId="0" xfId="0" applyFont="1" applyAlignment="1">
      <alignment horizontal="left" vertical="center"/>
    </xf>
    <xf numFmtId="0" fontId="18" fillId="0" borderId="0" xfId="0" quotePrefix="1" applyFont="1"/>
    <xf numFmtId="0" fontId="27" fillId="0" borderId="0" xfId="0" applyFont="1"/>
    <xf numFmtId="0" fontId="18" fillId="0" borderId="0" xfId="0" applyFont="1" applyAlignment="1">
      <alignment wrapText="1"/>
    </xf>
    <xf numFmtId="0" fontId="6" fillId="0" borderId="1" xfId="0" applyFont="1" applyBorder="1" applyAlignment="1" applyProtection="1">
      <alignment horizontal="center" vertical="center" wrapText="1"/>
      <protection locked="0"/>
    </xf>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wrapText="1"/>
    </xf>
    <xf numFmtId="0" fontId="6" fillId="0" borderId="1" xfId="0" applyFont="1" applyBorder="1" applyAlignment="1">
      <alignment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1" xfId="0" applyBorder="1" applyAlignment="1">
      <alignment horizontal="center" vertical="center"/>
    </xf>
    <xf numFmtId="0" fontId="28" fillId="0" borderId="0" xfId="0" applyFont="1" applyAlignment="1">
      <alignment horizontal="left" vertical="center"/>
    </xf>
    <xf numFmtId="0" fontId="23" fillId="0" borderId="0" xfId="0" applyFont="1" applyAlignment="1">
      <alignment horizontal="center" vertical="center" wrapText="1"/>
    </xf>
    <xf numFmtId="0" fontId="23"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24" fillId="0" borderId="8" xfId="0" applyFont="1" applyBorder="1" applyAlignment="1">
      <alignment horizontal="left" vertical="center" wrapText="1"/>
    </xf>
    <xf numFmtId="0" fontId="24" fillId="0" borderId="8" xfId="0" applyFont="1" applyBorder="1" applyAlignment="1">
      <alignment horizontal="center" vertical="center" wrapText="1"/>
    </xf>
    <xf numFmtId="0" fontId="24" fillId="0" borderId="8" xfId="0" applyFont="1" applyBorder="1" applyAlignment="1">
      <alignment horizontal="left" vertical="top" wrapText="1"/>
    </xf>
    <xf numFmtId="10" fontId="24" fillId="0" borderId="8" xfId="1" applyNumberFormat="1" applyFont="1" applyBorder="1" applyAlignment="1">
      <alignment horizontal="center" vertical="center" wrapText="1"/>
    </xf>
    <xf numFmtId="0" fontId="21" fillId="0" borderId="0" xfId="0" applyFont="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horizontal="center" vertical="center" wrapText="1"/>
    </xf>
    <xf numFmtId="0" fontId="26" fillId="0" borderId="0" xfId="0" applyFont="1" applyAlignment="1">
      <alignment horizontal="center" vertical="center" wrapText="1"/>
    </xf>
    <xf numFmtId="0" fontId="25" fillId="0" borderId="0" xfId="0" applyFont="1" applyAlignment="1">
      <alignment vertical="center" wrapText="1"/>
    </xf>
    <xf numFmtId="0" fontId="25" fillId="0" borderId="0" xfId="0" applyFont="1" applyAlignment="1">
      <alignment horizontal="center" vertical="center" wrapText="1"/>
    </xf>
    <xf numFmtId="10" fontId="24" fillId="0" borderId="0" xfId="1" applyNumberFormat="1" applyFont="1" applyAlignment="1">
      <alignment horizontal="center"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24" fillId="0" borderId="8" xfId="0" applyFont="1" applyBorder="1" applyAlignment="1">
      <alignment horizontal="justify" vertical="center" wrapText="1"/>
    </xf>
    <xf numFmtId="0" fontId="21" fillId="0" borderId="0" xfId="0" applyFont="1" applyAlignment="1">
      <alignment vertical="center" wrapText="1"/>
    </xf>
    <xf numFmtId="0" fontId="24" fillId="0" borderId="0" xfId="0" applyFont="1"/>
    <xf numFmtId="0" fontId="24" fillId="0" borderId="0" xfId="0" applyFont="1" applyAlignment="1">
      <alignment horizontal="center" vertical="center"/>
    </xf>
    <xf numFmtId="0" fontId="24" fillId="0" borderId="8" xfId="0" applyFont="1" applyBorder="1" applyAlignment="1">
      <alignment horizontal="justify" vertical="center"/>
    </xf>
    <xf numFmtId="0" fontId="24" fillId="0" borderId="9" xfId="0" applyFont="1" applyBorder="1" applyAlignment="1">
      <alignment horizontal="center" vertical="center" wrapText="1"/>
    </xf>
    <xf numFmtId="0" fontId="24" fillId="0" borderId="9" xfId="0" applyFont="1" applyBorder="1"/>
    <xf numFmtId="0" fontId="24" fillId="0" borderId="9" xfId="0" applyFont="1" applyBorder="1" applyAlignment="1">
      <alignment horizontal="center" vertical="center"/>
    </xf>
    <xf numFmtId="0" fontId="24" fillId="0" borderId="0" xfId="0" applyFont="1" applyAlignment="1">
      <alignment horizontal="left" vertical="center" indent="7"/>
    </xf>
    <xf numFmtId="9" fontId="24" fillId="0" borderId="8" xfId="1" applyFont="1" applyBorder="1" applyAlignment="1">
      <alignment horizontal="center" vertical="center" wrapText="1"/>
    </xf>
    <xf numFmtId="0" fontId="18"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justify" vertical="center" wrapText="1"/>
    </xf>
    <xf numFmtId="0" fontId="24" fillId="0" borderId="7" xfId="0" applyFont="1" applyBorder="1" applyAlignment="1">
      <alignment horizontal="center" vertical="center" wrapText="1"/>
    </xf>
    <xf numFmtId="0" fontId="24" fillId="0" borderId="7" xfId="0" applyFont="1" applyBorder="1" applyAlignment="1">
      <alignment horizontal="left" vertical="top" wrapText="1"/>
    </xf>
    <xf numFmtId="10" fontId="24" fillId="0" borderId="7" xfId="1" applyNumberFormat="1" applyFont="1" applyBorder="1" applyAlignment="1">
      <alignment horizontal="center" vertical="center" wrapText="1"/>
    </xf>
    <xf numFmtId="0" fontId="24" fillId="0" borderId="7" xfId="0" applyFont="1" applyBorder="1" applyAlignment="1">
      <alignment horizontal="justify" vertical="center" wrapText="1"/>
    </xf>
    <xf numFmtId="0" fontId="21" fillId="0" borderId="7" xfId="0" applyFont="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6" borderId="1" xfId="0" applyFont="1" applyFill="1" applyBorder="1" applyAlignment="1">
      <alignment horizontal="left" vertical="top" wrapText="1"/>
    </xf>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8" fillId="6" borderId="1" xfId="0" applyFont="1" applyFill="1" applyBorder="1" applyAlignment="1">
      <alignment horizontal="center" vertical="center"/>
    </xf>
    <xf numFmtId="0" fontId="8" fillId="0" borderId="0" xfId="0" applyFont="1" applyAlignment="1" applyProtection="1">
      <alignment horizontal="left" vertical="top"/>
      <protection locked="0"/>
    </xf>
    <xf numFmtId="0" fontId="8" fillId="0" borderId="0" xfId="0" applyFont="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7" fillId="0" borderId="1" xfId="0" applyFont="1" applyBorder="1" applyAlignment="1">
      <alignment wrapText="1"/>
    </xf>
    <xf numFmtId="0" fontId="6" fillId="6" borderId="1" xfId="0" applyFont="1" applyFill="1" applyBorder="1" applyAlignment="1">
      <alignment wrapText="1"/>
    </xf>
    <xf numFmtId="0" fontId="0" fillId="6" borderId="1" xfId="0" applyFill="1" applyBorder="1" applyAlignment="1">
      <alignment horizontal="center" vertical="center"/>
    </xf>
    <xf numFmtId="0" fontId="31" fillId="2" borderId="1" xfId="0" applyFont="1" applyFill="1" applyBorder="1" applyAlignment="1" applyProtection="1">
      <alignment horizontal="center" vertical="center" wrapText="1"/>
      <protection locked="0"/>
    </xf>
    <xf numFmtId="0" fontId="32" fillId="0" borderId="0" xfId="0" applyFont="1"/>
    <xf numFmtId="0" fontId="30" fillId="8" borderId="1" xfId="0" applyFont="1" applyFill="1" applyBorder="1" applyAlignment="1">
      <alignment horizontal="center" vertical="center" wrapText="1"/>
    </xf>
    <xf numFmtId="0" fontId="6" fillId="0" borderId="1" xfId="0" applyFont="1" applyBorder="1" applyAlignment="1">
      <alignment horizontal="justify" vertical="center"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7" fillId="0" borderId="1" xfId="0" applyFont="1" applyBorder="1" applyAlignment="1">
      <alignment vertical="center" wrapText="1"/>
    </xf>
    <xf numFmtId="0" fontId="6" fillId="6" borderId="1" xfId="0" applyFont="1" applyFill="1" applyBorder="1" applyAlignment="1">
      <alignment vertical="center" wrapText="1"/>
    </xf>
    <xf numFmtId="0" fontId="1" fillId="2" borderId="4" xfId="0" applyFont="1" applyFill="1" applyBorder="1" applyAlignment="1" applyProtection="1">
      <alignment horizontal="center" vertical="center"/>
      <protection locked="0"/>
    </xf>
    <xf numFmtId="0" fontId="2" fillId="3" borderId="0" xfId="0" applyFont="1" applyFill="1" applyAlignment="1">
      <alignment horizontal="center" vertical="center"/>
    </xf>
    <xf numFmtId="0" fontId="0" fillId="0" borderId="2"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10" fontId="24" fillId="0" borderId="8" xfId="0" applyNumberFormat="1" applyFont="1" applyBorder="1" applyAlignment="1">
      <alignment horizontal="center" vertical="center" wrapText="1"/>
    </xf>
    <xf numFmtId="0" fontId="34"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1" xfId="0" applyFont="1" applyBorder="1" applyAlignment="1" applyProtection="1">
      <alignment horizontal="center" vertical="center" wrapText="1"/>
      <protection locked="0"/>
    </xf>
    <xf numFmtId="0" fontId="6" fillId="0" borderId="1" xfId="0" applyFont="1" applyBorder="1" applyAlignment="1" applyProtection="1">
      <alignment vertical="center"/>
      <protection locked="0"/>
    </xf>
    <xf numFmtId="0" fontId="33" fillId="0" borderId="12" xfId="0" applyFont="1" applyBorder="1" applyAlignment="1" applyProtection="1">
      <alignment horizontal="center" vertical="center" wrapText="1"/>
      <protection locked="0"/>
    </xf>
    <xf numFmtId="0" fontId="6" fillId="0" borderId="13" xfId="0" applyFont="1" applyBorder="1" applyAlignment="1" applyProtection="1">
      <alignment vertical="center"/>
      <protection locked="0"/>
    </xf>
    <xf numFmtId="0" fontId="33" fillId="0" borderId="12" xfId="0" applyFont="1" applyBorder="1" applyAlignment="1">
      <alignment horizontal="center" vertical="center" wrapText="1"/>
    </xf>
    <xf numFmtId="0" fontId="6" fillId="0" borderId="13" xfId="0" applyFont="1" applyBorder="1" applyAlignment="1">
      <alignment vertical="center"/>
    </xf>
    <xf numFmtId="0" fontId="33" fillId="0" borderId="13" xfId="0" applyFont="1" applyBorder="1" applyAlignment="1">
      <alignment horizontal="center" vertical="center" wrapText="1"/>
    </xf>
    <xf numFmtId="0" fontId="35" fillId="0" borderId="1" xfId="0" applyFont="1" applyBorder="1"/>
    <xf numFmtId="0" fontId="35" fillId="10" borderId="1" xfId="0" applyFont="1" applyFill="1" applyBorder="1" applyAlignment="1">
      <alignment horizontal="center" vertical="center"/>
    </xf>
    <xf numFmtId="0" fontId="35" fillId="0" borderId="1" xfId="0" applyFont="1" applyBorder="1" applyAlignment="1">
      <alignment horizontal="center" vertical="center"/>
    </xf>
    <xf numFmtId="0" fontId="18" fillId="0" borderId="8" xfId="0" applyFont="1" applyBorder="1" applyAlignment="1">
      <alignment wrapText="1"/>
    </xf>
    <xf numFmtId="0" fontId="8" fillId="12" borderId="1" xfId="0" applyFont="1" applyFill="1" applyBorder="1" applyAlignment="1">
      <alignment horizontal="center" vertical="center"/>
    </xf>
    <xf numFmtId="0" fontId="0" fillId="0" borderId="1" xfId="0" applyBorder="1" applyAlignment="1">
      <alignment vertical="center"/>
    </xf>
    <xf numFmtId="2" fontId="24" fillId="0" borderId="7" xfId="1" applyNumberFormat="1" applyFont="1" applyBorder="1" applyAlignment="1">
      <alignment horizontal="center" vertical="center" wrapText="1"/>
    </xf>
    <xf numFmtId="0" fontId="13" fillId="0" borderId="1" xfId="0" applyFont="1" applyBorder="1" applyAlignment="1" applyProtection="1">
      <alignment horizontal="center" vertical="center"/>
      <protection locked="0"/>
    </xf>
    <xf numFmtId="0" fontId="13" fillId="0" borderId="1" xfId="0" applyFont="1" applyBorder="1" applyAlignment="1">
      <alignment horizontal="center" vertical="center"/>
    </xf>
    <xf numFmtId="0" fontId="13" fillId="0" borderId="1" xfId="0" applyFont="1" applyBorder="1" applyProtection="1">
      <protection locked="0"/>
    </xf>
    <xf numFmtId="0" fontId="2" fillId="3" borderId="11" xfId="0" applyFont="1" applyFill="1" applyBorder="1" applyAlignment="1">
      <alignment horizontal="center" vertical="center" wrapText="1"/>
    </xf>
    <xf numFmtId="0" fontId="0" fillId="0" borderId="6" xfId="0" applyBorder="1"/>
    <xf numFmtId="0" fontId="0" fillId="0" borderId="11" xfId="0" applyBorder="1"/>
    <xf numFmtId="0" fontId="0" fillId="0" borderId="1" xfId="0" applyBorder="1" applyAlignment="1">
      <alignment horizontal="center" vertical="center"/>
    </xf>
    <xf numFmtId="0" fontId="0" fillId="0" borderId="4" xfId="0" applyBorder="1"/>
    <xf numFmtId="0" fontId="0" fillId="0" borderId="1" xfId="0" applyBorder="1" applyAlignment="1" applyProtection="1">
      <alignment horizontal="center"/>
      <protection locked="0"/>
    </xf>
    <xf numFmtId="0" fontId="0" fillId="0" borderId="4" xfId="0" applyBorder="1" applyProtection="1">
      <protection locked="0"/>
    </xf>
    <xf numFmtId="0" fontId="6"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pplyProtection="1">
      <alignment horizontal="center" vertical="center" wrapText="1"/>
      <protection locked="0"/>
    </xf>
    <xf numFmtId="0" fontId="1" fillId="3" borderId="1" xfId="0" applyFont="1" applyFill="1" applyBorder="1" applyAlignment="1">
      <alignment vertical="top" wrapText="1"/>
    </xf>
    <xf numFmtId="0" fontId="2" fillId="3" borderId="1" xfId="0" applyFont="1" applyFill="1" applyBorder="1" applyAlignment="1">
      <alignment vertical="top" wrapText="1"/>
    </xf>
    <xf numFmtId="0" fontId="16" fillId="2" borderId="11" xfId="0" applyFont="1" applyFill="1" applyBorder="1" applyAlignment="1" applyProtection="1">
      <alignment horizontal="center" vertical="center"/>
      <protection locked="0"/>
    </xf>
    <xf numFmtId="0" fontId="0" fillId="0" borderId="6" xfId="0" applyBorder="1" applyProtection="1">
      <protection locked="0"/>
    </xf>
    <xf numFmtId="0" fontId="0" fillId="0" borderId="11" xfId="0" applyBorder="1" applyProtection="1">
      <protection locked="0"/>
    </xf>
    <xf numFmtId="0" fontId="2"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6" fillId="0" borderId="1" xfId="0" applyFont="1" applyBorder="1" applyAlignment="1" applyProtection="1">
      <alignment vertical="top" wrapText="1"/>
      <protection locked="0"/>
    </xf>
    <xf numFmtId="0" fontId="6" fillId="7" borderId="1" xfId="0" applyFont="1" applyFill="1" applyBorder="1" applyAlignment="1">
      <alignment horizontal="center" vertical="center"/>
    </xf>
    <xf numFmtId="0" fontId="2" fillId="3" borderId="1" xfId="0" applyFont="1" applyFill="1" applyBorder="1" applyAlignment="1">
      <alignment horizontal="left" vertical="top" wrapText="1"/>
    </xf>
    <xf numFmtId="0" fontId="16" fillId="2" borderId="1" xfId="0" applyFont="1" applyFill="1" applyBorder="1" applyAlignment="1" applyProtection="1">
      <alignment horizontal="center" vertical="center" wrapText="1"/>
      <protection locked="0"/>
    </xf>
    <xf numFmtId="0" fontId="15" fillId="2" borderId="1" xfId="0" applyFont="1" applyFill="1" applyBorder="1" applyAlignment="1" applyProtection="1">
      <alignment horizontal="center" vertical="center" wrapText="1"/>
      <protection locked="0"/>
    </xf>
    <xf numFmtId="0" fontId="1" fillId="3" borderId="1" xfId="0" applyFont="1" applyFill="1" applyBorder="1" applyAlignment="1" applyProtection="1">
      <alignment vertical="top" wrapText="1"/>
      <protection locked="0"/>
    </xf>
    <xf numFmtId="0" fontId="8" fillId="0" borderId="1" xfId="0" applyFont="1" applyBorder="1" applyAlignment="1">
      <alignment horizontal="center" vertical="center"/>
    </xf>
    <xf numFmtId="0" fontId="6" fillId="0" borderId="1" xfId="0" applyFont="1" applyBorder="1" applyAlignment="1" applyProtection="1">
      <alignment horizontal="left" vertical="top" wrapText="1"/>
      <protection locked="0"/>
    </xf>
    <xf numFmtId="0" fontId="6" fillId="0" borderId="1" xfId="0" applyFont="1" applyBorder="1" applyAlignment="1">
      <alignment horizontal="left" vertical="top" wrapText="1"/>
    </xf>
    <xf numFmtId="0" fontId="6" fillId="0" borderId="2" xfId="0" applyFont="1" applyBorder="1" applyAlignment="1">
      <alignment horizontal="center" vertical="center"/>
    </xf>
    <xf numFmtId="0" fontId="0" fillId="0" borderId="5" xfId="0" applyBorder="1"/>
    <xf numFmtId="0" fontId="6" fillId="0" borderId="1" xfId="0" applyFont="1" applyBorder="1" applyAlignment="1">
      <alignment horizontal="center" vertical="top" wrapText="1"/>
    </xf>
    <xf numFmtId="2" fontId="8" fillId="0" borderId="1" xfId="0" applyNumberFormat="1" applyFont="1" applyBorder="1" applyAlignment="1">
      <alignment horizontal="center" vertical="center"/>
    </xf>
    <xf numFmtId="0" fontId="6" fillId="5" borderId="1" xfId="0" applyFont="1" applyFill="1" applyBorder="1" applyAlignment="1" applyProtection="1">
      <alignment horizontal="center" vertical="center"/>
      <protection locked="0"/>
    </xf>
    <xf numFmtId="0" fontId="1" fillId="3" borderId="1" xfId="0" applyFont="1" applyFill="1" applyBorder="1" applyAlignment="1">
      <alignment horizontal="center" vertical="center"/>
    </xf>
    <xf numFmtId="0" fontId="16" fillId="3" borderId="11" xfId="0" applyFont="1" applyFill="1" applyBorder="1" applyAlignment="1" applyProtection="1">
      <alignment horizontal="center" vertical="center"/>
      <protection locked="0"/>
    </xf>
    <xf numFmtId="0" fontId="6" fillId="0" borderId="2" xfId="0" applyFont="1" applyBorder="1" applyAlignment="1">
      <alignment horizontal="center" vertical="top" wrapText="1"/>
    </xf>
    <xf numFmtId="0" fontId="2" fillId="3" borderId="1" xfId="0" applyFont="1" applyFill="1" applyBorder="1" applyAlignment="1">
      <alignment horizontal="left" vertical="top"/>
    </xf>
    <xf numFmtId="0" fontId="6" fillId="0" borderId="2" xfId="0" applyFont="1" applyBorder="1" applyAlignment="1">
      <alignment horizontal="left" vertical="top" wrapText="1"/>
    </xf>
    <xf numFmtId="2" fontId="8" fillId="0" borderId="1" xfId="0" applyNumberFormat="1" applyFont="1" applyBorder="1" applyAlignment="1" applyProtection="1">
      <alignment horizontal="center" vertical="top"/>
      <protection locked="0"/>
    </xf>
    <xf numFmtId="0" fontId="2" fillId="3" borderId="4" xfId="0" applyFont="1" applyFill="1" applyBorder="1" applyAlignment="1">
      <alignment horizontal="center" vertical="center" wrapText="1"/>
    </xf>
    <xf numFmtId="0" fontId="8" fillId="0" borderId="1" xfId="0" applyFont="1" applyBorder="1" applyAlignment="1" applyProtection="1">
      <alignment horizontal="left" vertical="top"/>
      <protection locked="0"/>
    </xf>
    <xf numFmtId="0" fontId="8" fillId="0" borderId="2" xfId="0" applyFont="1" applyBorder="1" applyAlignment="1" applyProtection="1">
      <alignment horizontal="center" vertical="top"/>
      <protection locked="0"/>
    </xf>
    <xf numFmtId="0" fontId="0" fillId="0" borderId="5" xfId="0" applyBorder="1" applyProtection="1">
      <protection locked="0"/>
    </xf>
    <xf numFmtId="0" fontId="17" fillId="0" borderId="1" xfId="0" applyFont="1" applyBorder="1" applyAlignment="1" applyProtection="1">
      <alignment horizontal="left" vertical="top" wrapText="1"/>
      <protection locked="0"/>
    </xf>
    <xf numFmtId="2" fontId="8" fillId="0" borderId="2" xfId="0" applyNumberFormat="1" applyFont="1" applyBorder="1" applyAlignment="1">
      <alignment horizontal="center" vertical="center"/>
    </xf>
    <xf numFmtId="0" fontId="6" fillId="0" borderId="2" xfId="0" applyFont="1" applyBorder="1" applyAlignment="1" applyProtection="1">
      <alignment horizontal="center" vertical="center" wrapText="1"/>
      <protection locked="0"/>
    </xf>
    <xf numFmtId="0" fontId="6" fillId="7" borderId="2" xfId="0" applyFont="1" applyFill="1" applyBorder="1" applyAlignment="1">
      <alignment horizontal="center" vertical="center"/>
    </xf>
    <xf numFmtId="0" fontId="8" fillId="0" borderId="1" xfId="0" applyFont="1" applyBorder="1" applyAlignment="1" applyProtection="1">
      <alignment horizontal="center" vertical="top"/>
      <protection locked="0"/>
    </xf>
    <xf numFmtId="0" fontId="15" fillId="2" borderId="1" xfId="0" applyFont="1" applyFill="1" applyBorder="1" applyAlignment="1" applyProtection="1">
      <alignment horizontal="center" vertical="center"/>
      <protection locked="0"/>
    </xf>
    <xf numFmtId="0" fontId="6" fillId="0" borderId="2" xfId="0" applyFont="1" applyBorder="1" applyAlignment="1">
      <alignment horizontal="center" vertical="center" wrapText="1"/>
    </xf>
    <xf numFmtId="0" fontId="2" fillId="3" borderId="1" xfId="0" applyFont="1" applyFill="1" applyBorder="1" applyAlignment="1">
      <alignment horizontal="center" vertical="center"/>
    </xf>
    <xf numFmtId="0" fontId="16" fillId="2" borderId="1" xfId="0" applyFont="1" applyFill="1" applyBorder="1" applyAlignment="1" applyProtection="1">
      <alignment horizontal="center" vertical="center"/>
      <protection locked="0"/>
    </xf>
    <xf numFmtId="0" fontId="6" fillId="0" borderId="2" xfId="0" applyFont="1" applyBorder="1" applyAlignment="1" applyProtection="1">
      <alignment horizontal="left" vertical="top" wrapText="1"/>
      <protection locked="0"/>
    </xf>
    <xf numFmtId="2" fontId="0" fillId="0" borderId="1" xfId="0" applyNumberFormat="1" applyBorder="1" applyAlignment="1">
      <alignment horizontal="center" vertical="center"/>
    </xf>
    <xf numFmtId="0" fontId="6" fillId="0" borderId="1" xfId="0" applyFont="1" applyBorder="1" applyAlignment="1">
      <alignment horizontal="center" wrapText="1"/>
    </xf>
    <xf numFmtId="0" fontId="1" fillId="9" borderId="1" xfId="0"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wrapText="1"/>
      <protection locked="0"/>
    </xf>
    <xf numFmtId="0" fontId="6" fillId="0" borderId="1" xfId="0" applyFont="1" applyBorder="1" applyAlignment="1" applyProtection="1">
      <alignment horizontal="center" wrapText="1"/>
      <protection locked="0"/>
    </xf>
    <xf numFmtId="0" fontId="2" fillId="2" borderId="1" xfId="0" applyFont="1" applyFill="1" applyBorder="1" applyAlignment="1" applyProtection="1">
      <alignment horizontal="center" vertical="center" wrapText="1"/>
      <protection locked="0"/>
    </xf>
    <xf numFmtId="0" fontId="2" fillId="3" borderId="1" xfId="0" applyFont="1" applyFill="1" applyBorder="1" applyAlignment="1">
      <alignment horizontal="center" wrapText="1"/>
    </xf>
    <xf numFmtId="0" fontId="0" fillId="0" borderId="1" xfId="0" applyBorder="1" applyAlignment="1">
      <alignment horizontal="left" vertical="top" wrapText="1"/>
    </xf>
    <xf numFmtId="0" fontId="1" fillId="3" borderId="1" xfId="0" applyFont="1" applyFill="1" applyBorder="1" applyAlignment="1">
      <alignment horizontal="left" vertical="top" wrapText="1"/>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wrapText="1"/>
    </xf>
    <xf numFmtId="0" fontId="0" fillId="7" borderId="1" xfId="0" applyFill="1" applyBorder="1" applyAlignment="1">
      <alignment horizontal="center" vertical="center"/>
    </xf>
    <xf numFmtId="0" fontId="1" fillId="3" borderId="1" xfId="0" applyFont="1" applyFill="1" applyBorder="1" applyAlignment="1" applyProtection="1">
      <alignment horizontal="left" vertical="top" wrapText="1"/>
      <protection locked="0"/>
    </xf>
    <xf numFmtId="0" fontId="6" fillId="0" borderId="1" xfId="0" applyFont="1" applyBorder="1" applyAlignment="1" applyProtection="1">
      <alignment horizontal="center" vertical="top" wrapText="1"/>
      <protection locked="0"/>
    </xf>
    <xf numFmtId="0" fontId="2" fillId="3"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3" borderId="0" xfId="0" applyFont="1" applyFill="1" applyAlignment="1">
      <alignment horizontal="center" vertical="center" wrapText="1"/>
    </xf>
    <xf numFmtId="0" fontId="0" fillId="0" borderId="0" xfId="0" applyAlignment="1">
      <alignment horizontal="center"/>
    </xf>
    <xf numFmtId="0" fontId="2" fillId="3" borderId="3" xfId="0" applyFont="1" applyFill="1" applyBorder="1" applyAlignment="1">
      <alignment horizontal="center" vertical="center"/>
    </xf>
    <xf numFmtId="0" fontId="12" fillId="0" borderId="0" xfId="0" applyFont="1" applyAlignment="1">
      <alignment horizontal="left" vertical="center"/>
    </xf>
    <xf numFmtId="0" fontId="0" fillId="0" borderId="0" xfId="0"/>
    <xf numFmtId="0" fontId="16" fillId="2" borderId="1" xfId="0" applyFont="1" applyFill="1" applyBorder="1" applyAlignment="1">
      <alignment horizontal="center" vertical="center"/>
    </xf>
    <xf numFmtId="0" fontId="14" fillId="3" borderId="10" xfId="0" applyFont="1" applyFill="1" applyBorder="1" applyAlignment="1">
      <alignment horizontal="center" vertical="center"/>
    </xf>
    <xf numFmtId="0" fontId="0" fillId="0" borderId="10" xfId="0" applyBorder="1"/>
    <xf numFmtId="0" fontId="4" fillId="0" borderId="0" xfId="0" applyFont="1" applyAlignment="1">
      <alignment horizontal="left" vertical="center"/>
    </xf>
    <xf numFmtId="0" fontId="11" fillId="0" borderId="0" xfId="0" applyFont="1" applyAlignment="1">
      <alignment horizontal="left" vertical="center"/>
    </xf>
    <xf numFmtId="0" fontId="23" fillId="0" borderId="7" xfId="0" applyFont="1" applyBorder="1" applyAlignment="1">
      <alignment horizontal="center" vertical="center" wrapText="1"/>
    </xf>
    <xf numFmtId="0" fontId="0" fillId="0" borderId="7" xfId="0" applyBorder="1"/>
    <xf numFmtId="0" fontId="29" fillId="0" borderId="0" xfId="0" applyFont="1" applyAlignment="1">
      <alignment horizontal="left" vertical="center"/>
    </xf>
    <xf numFmtId="0" fontId="18" fillId="0" borderId="0" xfId="0" applyFont="1"/>
    <xf numFmtId="0" fontId="18" fillId="0" borderId="0" xfId="0" applyFont="1" applyAlignment="1">
      <alignment horizontal="center" vertical="center"/>
    </xf>
    <xf numFmtId="0" fontId="22" fillId="0" borderId="7" xfId="0" applyFont="1" applyBorder="1" applyAlignment="1">
      <alignment horizontal="center" vertical="center" wrapText="1"/>
    </xf>
    <xf numFmtId="0" fontId="28" fillId="0" borderId="0" xfId="0" applyFont="1" applyAlignment="1">
      <alignment horizontal="left" vertical="center" wrapText="1"/>
    </xf>
    <xf numFmtId="0" fontId="29" fillId="0" borderId="0" xfId="0" applyFont="1" applyAlignment="1">
      <alignment horizontal="left" vertical="center" wrapText="1"/>
    </xf>
    <xf numFmtId="0" fontId="18" fillId="4" borderId="0" xfId="0" applyFont="1" applyFill="1" applyAlignment="1">
      <alignment horizontal="center"/>
    </xf>
    <xf numFmtId="0" fontId="30" fillId="8" borderId="11" xfId="0" applyFont="1" applyFill="1" applyBorder="1" applyAlignment="1">
      <alignment horizontal="center" vertical="center" wrapText="1"/>
    </xf>
    <xf numFmtId="0" fontId="30" fillId="2" borderId="1" xfId="0" applyFont="1" applyFill="1" applyBorder="1" applyAlignment="1" applyProtection="1">
      <alignment horizontal="center" vertical="center" wrapText="1"/>
      <protection locked="0"/>
    </xf>
    <xf numFmtId="0" fontId="31" fillId="2" borderId="1" xfId="0" applyFont="1" applyFill="1" applyBorder="1" applyAlignment="1" applyProtection="1">
      <alignment horizontal="center" vertical="center" wrapText="1"/>
      <protection locked="0"/>
    </xf>
    <xf numFmtId="0" fontId="30" fillId="11" borderId="1" xfId="0" applyFont="1" applyFill="1" applyBorder="1" applyAlignment="1" applyProtection="1">
      <alignment horizontal="center" vertical="center" wrapText="1"/>
      <protection locked="0"/>
    </xf>
    <xf numFmtId="0" fontId="30" fillId="2" borderId="11" xfId="0" applyFont="1" applyFill="1" applyBorder="1" applyAlignment="1" applyProtection="1">
      <alignment horizontal="center" vertical="center" wrapText="1"/>
      <protection locked="0"/>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9"/>
  <sheetViews>
    <sheetView topLeftCell="I12" zoomScaleNormal="100" zoomScaleSheetLayoutView="93" workbookViewId="0">
      <selection activeCell="R13" sqref="R13:R14"/>
    </sheetView>
  </sheetViews>
  <sheetFormatPr baseColWidth="10" defaultColWidth="11.44140625" defaultRowHeight="14.4"/>
  <cols>
    <col min="1" max="1" width="11.44140625" style="2" customWidth="1"/>
    <col min="2" max="2" width="19.88671875" style="12" bestFit="1" customWidth="1"/>
    <col min="3" max="3" width="60.6640625" style="13" customWidth="1"/>
    <col min="4" max="4" width="22.33203125" style="12" bestFit="1" customWidth="1"/>
    <col min="5" max="5" width="57.5546875" style="13" customWidth="1"/>
    <col min="6" max="6" width="11.44140625" style="13" customWidth="1"/>
    <col min="7" max="7" width="38.5546875" style="10" customWidth="1"/>
    <col min="8" max="8" width="32.109375" style="1" customWidth="1"/>
    <col min="9" max="9" width="45.6640625" style="10" customWidth="1"/>
    <col min="10" max="10" width="16.33203125" style="2" customWidth="1"/>
    <col min="11" max="11" width="36.6640625" style="10" customWidth="1"/>
    <col min="12" max="12" width="43.44140625" style="10" customWidth="1"/>
    <col min="13" max="22" width="12.33203125" style="2" customWidth="1"/>
    <col min="23" max="23" width="18.88671875" style="2" customWidth="1"/>
    <col min="24" max="24" width="29" style="10" customWidth="1"/>
    <col min="25" max="39" width="11.44140625" style="10" customWidth="1"/>
    <col min="40" max="40" width="20.44140625" style="11" customWidth="1"/>
    <col min="41" max="41" width="11.44140625" style="10" customWidth="1"/>
    <col min="42" max="16384" width="11.44140625" style="10"/>
  </cols>
  <sheetData>
    <row r="1" spans="1:40" s="2" customFormat="1" ht="18.75" customHeight="1">
      <c r="A1" s="165" t="s">
        <v>0</v>
      </c>
      <c r="B1" s="165" t="s">
        <v>1</v>
      </c>
      <c r="C1" s="150" t="s">
        <v>2</v>
      </c>
      <c r="D1" s="165" t="s">
        <v>3</v>
      </c>
      <c r="E1" s="150" t="s">
        <v>4</v>
      </c>
      <c r="F1" s="150" t="s">
        <v>5</v>
      </c>
      <c r="G1" s="150" t="s">
        <v>6</v>
      </c>
      <c r="H1" s="164" t="s">
        <v>7</v>
      </c>
      <c r="I1" s="180" t="s">
        <v>8</v>
      </c>
      <c r="J1" s="165" t="s">
        <v>9</v>
      </c>
      <c r="K1" s="168" t="s">
        <v>10</v>
      </c>
      <c r="L1" s="182" t="s">
        <v>11</v>
      </c>
      <c r="M1" s="145" t="s">
        <v>12</v>
      </c>
      <c r="N1" s="146"/>
      <c r="O1" s="146"/>
      <c r="P1" s="146"/>
      <c r="Q1" s="147"/>
      <c r="R1" s="166" t="s">
        <v>13</v>
      </c>
      <c r="S1" s="146"/>
      <c r="T1" s="146"/>
      <c r="U1" s="146"/>
      <c r="V1" s="147"/>
      <c r="W1" s="171" t="s">
        <v>14</v>
      </c>
      <c r="X1" s="183" t="s">
        <v>15</v>
      </c>
      <c r="Y1" s="96"/>
      <c r="Z1" s="96"/>
      <c r="AA1" s="96"/>
      <c r="AB1" s="96"/>
      <c r="AN1" s="3" t="s">
        <v>63</v>
      </c>
    </row>
    <row r="2" spans="1:40" s="2" customFormat="1" ht="24" customHeight="1">
      <c r="A2" s="137"/>
      <c r="B2" s="137"/>
      <c r="C2" s="137"/>
      <c r="D2" s="137"/>
      <c r="E2" s="137"/>
      <c r="F2" s="137"/>
      <c r="G2" s="137"/>
      <c r="H2" s="139"/>
      <c r="I2" s="139"/>
      <c r="J2" s="137"/>
      <c r="K2" s="137"/>
      <c r="L2" s="137"/>
      <c r="M2" s="5" t="s">
        <v>16</v>
      </c>
      <c r="N2" s="6">
        <v>2027</v>
      </c>
      <c r="O2" s="6">
        <v>2028</v>
      </c>
      <c r="P2" s="6">
        <v>2029</v>
      </c>
      <c r="Q2" s="109">
        <v>2030</v>
      </c>
      <c r="R2" s="7" t="s">
        <v>16</v>
      </c>
      <c r="S2" s="4">
        <v>2027</v>
      </c>
      <c r="T2" s="4">
        <v>2028</v>
      </c>
      <c r="U2" s="4">
        <v>2029</v>
      </c>
      <c r="V2" s="4">
        <v>2030</v>
      </c>
      <c r="W2" s="137"/>
      <c r="X2" s="139"/>
      <c r="Y2" s="96"/>
      <c r="Z2" s="96"/>
      <c r="AA2" s="96"/>
      <c r="AB2" s="96"/>
      <c r="AN2" s="3"/>
    </row>
    <row r="3" spans="1:40" ht="105" customHeight="1">
      <c r="A3" s="44">
        <v>1</v>
      </c>
      <c r="B3" s="88" t="s">
        <v>64</v>
      </c>
      <c r="C3" s="48" t="s">
        <v>65</v>
      </c>
      <c r="D3" s="89" t="s">
        <v>66</v>
      </c>
      <c r="E3" s="48" t="s">
        <v>67</v>
      </c>
      <c r="F3" s="44">
        <v>3</v>
      </c>
      <c r="G3" s="48" t="s">
        <v>68</v>
      </c>
      <c r="H3" s="43" t="s">
        <v>69</v>
      </c>
      <c r="I3" s="16" t="s">
        <v>70</v>
      </c>
      <c r="J3" s="44" t="s">
        <v>24</v>
      </c>
      <c r="K3" s="48" t="s">
        <v>25</v>
      </c>
      <c r="L3" s="48" t="s">
        <v>71</v>
      </c>
      <c r="M3" s="8"/>
      <c r="N3" s="8">
        <v>1</v>
      </c>
      <c r="O3" s="8">
        <v>0</v>
      </c>
      <c r="P3" s="8">
        <v>0</v>
      </c>
      <c r="Q3" s="8">
        <v>0</v>
      </c>
      <c r="R3" s="92" t="str">
        <f t="shared" ref="R3:V4" si="0">IF(M3="","",M3)</f>
        <v/>
      </c>
      <c r="S3" s="92">
        <f t="shared" si="0"/>
        <v>1</v>
      </c>
      <c r="T3" s="92">
        <f t="shared" si="0"/>
        <v>0</v>
      </c>
      <c r="U3" s="92">
        <f t="shared" si="0"/>
        <v>0</v>
      </c>
      <c r="V3" s="92">
        <f t="shared" si="0"/>
        <v>0</v>
      </c>
      <c r="W3" s="44" t="s">
        <v>27</v>
      </c>
      <c r="X3" s="9" t="s">
        <v>72</v>
      </c>
      <c r="Y3" s="95"/>
      <c r="Z3" s="95"/>
      <c r="AA3" s="95"/>
      <c r="AB3" s="95"/>
    </row>
    <row r="4" spans="1:40" ht="105" customHeight="1">
      <c r="A4" s="44">
        <v>2</v>
      </c>
      <c r="B4" s="88" t="s">
        <v>64</v>
      </c>
      <c r="C4" s="48" t="s">
        <v>65</v>
      </c>
      <c r="D4" s="89" t="s">
        <v>66</v>
      </c>
      <c r="E4" s="48" t="s">
        <v>67</v>
      </c>
      <c r="F4" s="44">
        <v>4</v>
      </c>
      <c r="G4" s="48" t="s">
        <v>73</v>
      </c>
      <c r="H4" s="43" t="s">
        <v>74</v>
      </c>
      <c r="I4" s="16" t="s">
        <v>75</v>
      </c>
      <c r="J4" s="44" t="s">
        <v>24</v>
      </c>
      <c r="K4" s="48" t="s">
        <v>25</v>
      </c>
      <c r="L4" s="48" t="s">
        <v>76</v>
      </c>
      <c r="M4" s="8"/>
      <c r="N4" s="8">
        <v>1</v>
      </c>
      <c r="O4" s="8">
        <v>1</v>
      </c>
      <c r="P4" s="8">
        <v>1</v>
      </c>
      <c r="Q4" s="8">
        <v>0</v>
      </c>
      <c r="R4" s="92" t="str">
        <f t="shared" si="0"/>
        <v/>
      </c>
      <c r="S4" s="92">
        <f t="shared" si="0"/>
        <v>1</v>
      </c>
      <c r="T4" s="92">
        <f t="shared" si="0"/>
        <v>1</v>
      </c>
      <c r="U4" s="92">
        <f t="shared" si="0"/>
        <v>1</v>
      </c>
      <c r="V4" s="92">
        <f t="shared" si="0"/>
        <v>0</v>
      </c>
      <c r="W4" s="44" t="s">
        <v>27</v>
      </c>
      <c r="X4" s="9" t="s">
        <v>72</v>
      </c>
      <c r="Y4" s="95"/>
      <c r="Z4" s="95"/>
      <c r="AA4" s="95"/>
      <c r="AB4" s="95"/>
    </row>
    <row r="5" spans="1:40" ht="48" customHeight="1">
      <c r="A5" s="140">
        <v>3</v>
      </c>
      <c r="B5" s="140" t="s">
        <v>64</v>
      </c>
      <c r="C5" s="162" t="s">
        <v>65</v>
      </c>
      <c r="D5" s="149" t="s">
        <v>66</v>
      </c>
      <c r="E5" s="159" t="s">
        <v>67</v>
      </c>
      <c r="F5" s="140">
        <v>7</v>
      </c>
      <c r="G5" s="159" t="s">
        <v>77</v>
      </c>
      <c r="H5" s="142" t="s">
        <v>78</v>
      </c>
      <c r="I5" s="158" t="s">
        <v>79</v>
      </c>
      <c r="J5" s="152" t="s">
        <v>49</v>
      </c>
      <c r="K5" s="159" t="s">
        <v>80</v>
      </c>
      <c r="L5" s="48" t="s">
        <v>81</v>
      </c>
      <c r="M5" s="8"/>
      <c r="N5" s="8">
        <v>4</v>
      </c>
      <c r="O5" s="8">
        <v>4</v>
      </c>
      <c r="P5" s="8">
        <v>4</v>
      </c>
      <c r="Q5" s="8">
        <v>4</v>
      </c>
      <c r="R5" s="163" t="str">
        <f>IF(M6,M5/M6*100,"")</f>
        <v/>
      </c>
      <c r="S5" s="163">
        <f>IF(N6,N5/N6*100,"")</f>
        <v>80</v>
      </c>
      <c r="T5" s="163">
        <f>IF(O6,O5/O6*100,"")</f>
        <v>80</v>
      </c>
      <c r="U5" s="163">
        <f>IF(P6,P5/P6*100,"")</f>
        <v>80</v>
      </c>
      <c r="V5" s="163">
        <f>IF(Q6,Q5/Q6*100,"")</f>
        <v>80</v>
      </c>
      <c r="W5" s="140" t="s">
        <v>27</v>
      </c>
      <c r="X5" s="172" t="s">
        <v>72</v>
      </c>
      <c r="Y5" s="95"/>
      <c r="Z5" s="95"/>
      <c r="AA5" s="95"/>
      <c r="AB5" s="95"/>
    </row>
    <row r="6" spans="1:40" ht="30" customHeight="1">
      <c r="A6" s="137"/>
      <c r="B6" s="137"/>
      <c r="C6" s="137"/>
      <c r="D6" s="137"/>
      <c r="E6" s="137"/>
      <c r="F6" s="137"/>
      <c r="G6" s="137"/>
      <c r="H6" s="139"/>
      <c r="I6" s="139"/>
      <c r="J6" s="137"/>
      <c r="K6" s="137"/>
      <c r="L6" s="48" t="s">
        <v>82</v>
      </c>
      <c r="M6" s="8"/>
      <c r="N6" s="8">
        <v>5</v>
      </c>
      <c r="O6" s="8">
        <v>5</v>
      </c>
      <c r="P6" s="8">
        <v>5</v>
      </c>
      <c r="Q6" s="8">
        <v>5</v>
      </c>
      <c r="R6" s="137"/>
      <c r="S6" s="137"/>
      <c r="T6" s="137"/>
      <c r="U6" s="137"/>
      <c r="V6" s="137"/>
      <c r="W6" s="137"/>
      <c r="X6" s="139"/>
      <c r="Y6" s="95"/>
      <c r="Z6" s="95"/>
      <c r="AA6" s="95"/>
      <c r="AB6" s="95"/>
    </row>
    <row r="7" spans="1:40" ht="59.25" customHeight="1">
      <c r="A7" s="140">
        <v>4</v>
      </c>
      <c r="B7" s="140" t="s">
        <v>64</v>
      </c>
      <c r="C7" s="162" t="s">
        <v>65</v>
      </c>
      <c r="D7" s="149" t="s">
        <v>66</v>
      </c>
      <c r="E7" s="159" t="s">
        <v>67</v>
      </c>
      <c r="F7" s="140">
        <v>8</v>
      </c>
      <c r="G7" s="159" t="s">
        <v>83</v>
      </c>
      <c r="H7" s="142" t="s">
        <v>84</v>
      </c>
      <c r="I7" s="158" t="s">
        <v>85</v>
      </c>
      <c r="J7" s="152" t="s">
        <v>49</v>
      </c>
      <c r="K7" s="159" t="s">
        <v>86</v>
      </c>
      <c r="L7" s="48" t="s">
        <v>87</v>
      </c>
      <c r="M7" s="8"/>
      <c r="N7" s="8">
        <v>2657</v>
      </c>
      <c r="O7" s="8">
        <v>2711</v>
      </c>
      <c r="P7" s="8">
        <v>2764</v>
      </c>
      <c r="Q7" s="8">
        <v>2819</v>
      </c>
      <c r="R7" s="163" t="str">
        <f>IF(M8,M7/M8*100,"")</f>
        <v/>
      </c>
      <c r="S7" s="163">
        <f>IF(N8,N7/N8*100,"")</f>
        <v>88.892606222816994</v>
      </c>
      <c r="T7" s="163">
        <f>IF(O8,O7/O8*100,"")</f>
        <v>90.246338215712385</v>
      </c>
      <c r="U7" s="163">
        <f>IF(P8,P7/P8*100,"")</f>
        <v>91.553494534614117</v>
      </c>
      <c r="V7" s="163">
        <f>IF(Q8,Q7/Q8*100,"")</f>
        <v>92.913645352669732</v>
      </c>
      <c r="W7" s="140" t="s">
        <v>27</v>
      </c>
      <c r="X7" s="172" t="s">
        <v>72</v>
      </c>
      <c r="Y7" s="95"/>
      <c r="Z7" s="95"/>
      <c r="AA7" s="95"/>
      <c r="AB7" s="95"/>
      <c r="AC7" s="95"/>
    </row>
    <row r="8" spans="1:40" ht="54.75" customHeight="1">
      <c r="A8" s="137"/>
      <c r="B8" s="137"/>
      <c r="C8" s="137"/>
      <c r="D8" s="137"/>
      <c r="E8" s="137"/>
      <c r="F8" s="137"/>
      <c r="G8" s="137"/>
      <c r="H8" s="139"/>
      <c r="I8" s="139"/>
      <c r="J8" s="137"/>
      <c r="K8" s="137"/>
      <c r="L8" s="48" t="s">
        <v>88</v>
      </c>
      <c r="M8" s="8"/>
      <c r="N8" s="8">
        <v>2989</v>
      </c>
      <c r="O8" s="8">
        <v>3004</v>
      </c>
      <c r="P8" s="8">
        <v>3019</v>
      </c>
      <c r="Q8" s="8">
        <v>3034</v>
      </c>
      <c r="R8" s="137"/>
      <c r="S8" s="137"/>
      <c r="T8" s="137"/>
      <c r="U8" s="137"/>
      <c r="V8" s="137"/>
      <c r="W8" s="137"/>
      <c r="X8" s="139"/>
      <c r="Y8" s="95"/>
      <c r="Z8" s="95"/>
      <c r="AA8" s="95"/>
      <c r="AB8" s="95"/>
    </row>
    <row r="9" spans="1:40" ht="68.25" customHeight="1">
      <c r="A9" s="140">
        <v>5</v>
      </c>
      <c r="B9" s="140" t="s">
        <v>64</v>
      </c>
      <c r="C9" s="162" t="s">
        <v>65</v>
      </c>
      <c r="D9" s="149" t="s">
        <v>89</v>
      </c>
      <c r="E9" s="159" t="s">
        <v>90</v>
      </c>
      <c r="F9" s="140">
        <v>9</v>
      </c>
      <c r="G9" s="159" t="s">
        <v>91</v>
      </c>
      <c r="H9" s="140" t="s">
        <v>92</v>
      </c>
      <c r="I9" s="175" t="s">
        <v>93</v>
      </c>
      <c r="J9" s="152" t="s">
        <v>49</v>
      </c>
      <c r="K9" s="159" t="s">
        <v>94</v>
      </c>
      <c r="L9" s="48" t="s">
        <v>95</v>
      </c>
      <c r="M9" s="8"/>
      <c r="N9" s="8">
        <v>68</v>
      </c>
      <c r="O9" s="8">
        <v>70</v>
      </c>
      <c r="P9" s="8">
        <v>72</v>
      </c>
      <c r="Q9" s="8">
        <v>73</v>
      </c>
      <c r="R9" s="163" t="str">
        <f>IF(M10,M9/M10*100,"")</f>
        <v/>
      </c>
      <c r="S9" s="163">
        <f>IF(N10,N9/N10*100,"")</f>
        <v>68</v>
      </c>
      <c r="T9" s="163">
        <f>IF(O10,O9/O10*100,"")</f>
        <v>70</v>
      </c>
      <c r="U9" s="163">
        <f>IF(P10,P9/P10*100,"")</f>
        <v>71.287128712871279</v>
      </c>
      <c r="V9" s="163">
        <f>IF(Q10,Q9/Q10*100,"")</f>
        <v>71.568627450980387</v>
      </c>
      <c r="W9" s="140" t="s">
        <v>27</v>
      </c>
      <c r="X9" s="179" t="s">
        <v>72</v>
      </c>
      <c r="Y9" s="95"/>
      <c r="Z9" s="95"/>
      <c r="AA9" s="95"/>
      <c r="AB9" s="95"/>
    </row>
    <row r="10" spans="1:40" ht="30" customHeight="1">
      <c r="A10" s="137"/>
      <c r="B10" s="137"/>
      <c r="C10" s="137"/>
      <c r="D10" s="137"/>
      <c r="E10" s="137"/>
      <c r="F10" s="137"/>
      <c r="G10" s="137"/>
      <c r="H10" s="137"/>
      <c r="I10" s="139"/>
      <c r="J10" s="137"/>
      <c r="K10" s="137"/>
      <c r="L10" s="48" t="s">
        <v>96</v>
      </c>
      <c r="M10" s="8"/>
      <c r="N10" s="8">
        <v>100</v>
      </c>
      <c r="O10" s="8">
        <v>100</v>
      </c>
      <c r="P10" s="8">
        <v>101</v>
      </c>
      <c r="Q10" s="8">
        <v>102</v>
      </c>
      <c r="R10" s="137"/>
      <c r="S10" s="137"/>
      <c r="T10" s="137"/>
      <c r="U10" s="137"/>
      <c r="V10" s="137"/>
      <c r="W10" s="137"/>
      <c r="X10" s="139"/>
      <c r="Y10" s="95"/>
      <c r="Z10" s="95"/>
      <c r="AA10" s="95"/>
      <c r="AB10" s="95"/>
    </row>
    <row r="11" spans="1:40" ht="37.5" customHeight="1">
      <c r="A11" s="44">
        <v>6</v>
      </c>
      <c r="B11" s="88" t="s">
        <v>64</v>
      </c>
      <c r="C11" s="48" t="s">
        <v>65</v>
      </c>
      <c r="D11" s="89" t="s">
        <v>89</v>
      </c>
      <c r="E11" s="48" t="s">
        <v>90</v>
      </c>
      <c r="F11" s="44">
        <v>10</v>
      </c>
      <c r="G11" s="48" t="s">
        <v>97</v>
      </c>
      <c r="H11" s="114" t="s">
        <v>98</v>
      </c>
      <c r="I11" s="16" t="s">
        <v>99</v>
      </c>
      <c r="J11" s="44" t="s">
        <v>24</v>
      </c>
      <c r="K11" s="48" t="s">
        <v>25</v>
      </c>
      <c r="L11" s="48" t="s">
        <v>100</v>
      </c>
      <c r="M11" s="8">
        <v>0</v>
      </c>
      <c r="N11" s="8">
        <v>1</v>
      </c>
      <c r="O11" s="8">
        <v>1</v>
      </c>
      <c r="P11" s="8">
        <v>1</v>
      </c>
      <c r="Q11" s="8">
        <v>1</v>
      </c>
      <c r="R11" s="92">
        <f t="shared" ref="R11:V12" si="1">IF(M11="","",M11)</f>
        <v>0</v>
      </c>
      <c r="S11" s="92">
        <f t="shared" si="1"/>
        <v>1</v>
      </c>
      <c r="T11" s="92">
        <f t="shared" si="1"/>
        <v>1</v>
      </c>
      <c r="U11" s="92">
        <f t="shared" si="1"/>
        <v>1</v>
      </c>
      <c r="V11" s="92">
        <f t="shared" si="1"/>
        <v>1</v>
      </c>
      <c r="W11" s="44" t="s">
        <v>27</v>
      </c>
      <c r="X11" s="9" t="s">
        <v>72</v>
      </c>
      <c r="Y11" s="95"/>
      <c r="Z11" s="95"/>
      <c r="AA11" s="95"/>
      <c r="AB11" s="95"/>
    </row>
    <row r="12" spans="1:40" ht="54" customHeight="1">
      <c r="A12" s="44">
        <v>7</v>
      </c>
      <c r="B12" s="88" t="s">
        <v>64</v>
      </c>
      <c r="C12" s="48" t="s">
        <v>65</v>
      </c>
      <c r="D12" s="89" t="s">
        <v>89</v>
      </c>
      <c r="E12" s="48" t="s">
        <v>90</v>
      </c>
      <c r="F12" s="44">
        <v>14</v>
      </c>
      <c r="G12" s="48" t="s">
        <v>101</v>
      </c>
      <c r="H12" s="43" t="s">
        <v>102</v>
      </c>
      <c r="I12" s="16" t="s">
        <v>103</v>
      </c>
      <c r="J12" s="44" t="s">
        <v>24</v>
      </c>
      <c r="K12" s="48" t="s">
        <v>25</v>
      </c>
      <c r="L12" s="48" t="s">
        <v>104</v>
      </c>
      <c r="M12" s="8"/>
      <c r="N12" s="8">
        <v>3</v>
      </c>
      <c r="O12" s="8">
        <v>3</v>
      </c>
      <c r="P12" s="8">
        <v>2</v>
      </c>
      <c r="Q12" s="8">
        <v>2</v>
      </c>
      <c r="R12" s="92" t="str">
        <f t="shared" si="1"/>
        <v/>
      </c>
      <c r="S12" s="92">
        <f t="shared" si="1"/>
        <v>3</v>
      </c>
      <c r="T12" s="92">
        <f t="shared" si="1"/>
        <v>3</v>
      </c>
      <c r="U12" s="92">
        <f t="shared" si="1"/>
        <v>2</v>
      </c>
      <c r="V12" s="92">
        <f t="shared" si="1"/>
        <v>2</v>
      </c>
      <c r="W12" s="44" t="s">
        <v>27</v>
      </c>
      <c r="X12" s="9" t="s">
        <v>72</v>
      </c>
      <c r="Y12" s="95"/>
      <c r="Z12" s="95"/>
      <c r="AA12" s="95"/>
      <c r="AB12" s="95"/>
    </row>
    <row r="13" spans="1:40" ht="48" customHeight="1">
      <c r="A13" s="140">
        <v>8</v>
      </c>
      <c r="B13" s="140" t="s">
        <v>64</v>
      </c>
      <c r="C13" s="162" t="s">
        <v>65</v>
      </c>
      <c r="D13" s="149" t="s">
        <v>89</v>
      </c>
      <c r="E13" s="159" t="s">
        <v>90</v>
      </c>
      <c r="F13" s="140">
        <v>15</v>
      </c>
      <c r="G13" s="159" t="s">
        <v>105</v>
      </c>
      <c r="H13" s="142" t="s">
        <v>106</v>
      </c>
      <c r="I13" s="158" t="s">
        <v>107</v>
      </c>
      <c r="J13" s="152" t="s">
        <v>49</v>
      </c>
      <c r="K13" s="159" t="s">
        <v>108</v>
      </c>
      <c r="L13" s="48" t="s">
        <v>109</v>
      </c>
      <c r="M13" s="8"/>
      <c r="N13" s="8">
        <v>2933</v>
      </c>
      <c r="O13" s="8">
        <v>2966</v>
      </c>
      <c r="P13" s="8">
        <v>3000</v>
      </c>
      <c r="Q13" s="8">
        <v>3034</v>
      </c>
      <c r="R13" s="157" t="str">
        <f>IF(M14,M13/M14*100,"")</f>
        <v/>
      </c>
      <c r="S13" s="157">
        <f>IF(N14,N13/N14*100,"")</f>
        <v>98.126463700234183</v>
      </c>
      <c r="T13" s="157">
        <f>IF(O14,O13/O14*100,"")</f>
        <v>98.73501997336885</v>
      </c>
      <c r="U13" s="157">
        <f>IF(P14,P13/P14*100,"")</f>
        <v>99.370652533951642</v>
      </c>
      <c r="V13" s="157">
        <f>IF(Q14,Q13/Q14*100,"")</f>
        <v>100</v>
      </c>
      <c r="W13" s="140" t="s">
        <v>27</v>
      </c>
      <c r="X13" s="179" t="s">
        <v>72</v>
      </c>
      <c r="Y13" s="95"/>
      <c r="Z13" s="95"/>
      <c r="AA13" s="95"/>
      <c r="AB13" s="95"/>
    </row>
    <row r="14" spans="1:40" ht="37.5" customHeight="1">
      <c r="A14" s="137"/>
      <c r="B14" s="137"/>
      <c r="C14" s="137"/>
      <c r="D14" s="137"/>
      <c r="E14" s="137"/>
      <c r="F14" s="137"/>
      <c r="G14" s="137"/>
      <c r="H14" s="139"/>
      <c r="I14" s="139"/>
      <c r="J14" s="137"/>
      <c r="K14" s="137"/>
      <c r="L14" s="90" t="s">
        <v>110</v>
      </c>
      <c r="M14" s="97"/>
      <c r="N14" s="97">
        <v>2989</v>
      </c>
      <c r="O14" s="97">
        <v>3004</v>
      </c>
      <c r="P14" s="97">
        <v>3019</v>
      </c>
      <c r="Q14" s="97">
        <v>3034</v>
      </c>
      <c r="R14" s="137"/>
      <c r="S14" s="137"/>
      <c r="T14" s="137"/>
      <c r="U14" s="137"/>
      <c r="V14" s="137"/>
      <c r="W14" s="137"/>
      <c r="X14" s="139"/>
      <c r="Y14" s="95"/>
      <c r="Z14" s="95"/>
      <c r="AA14" s="95"/>
      <c r="AB14" s="95"/>
    </row>
    <row r="15" spans="1:40" ht="75" customHeight="1">
      <c r="A15" s="44">
        <v>9</v>
      </c>
      <c r="B15" s="88" t="s">
        <v>64</v>
      </c>
      <c r="C15" s="48" t="s">
        <v>65</v>
      </c>
      <c r="D15" s="89" t="s">
        <v>89</v>
      </c>
      <c r="E15" s="48" t="s">
        <v>90</v>
      </c>
      <c r="F15" s="44">
        <v>17</v>
      </c>
      <c r="G15" s="48" t="s">
        <v>111</v>
      </c>
      <c r="H15" s="43" t="s">
        <v>112</v>
      </c>
      <c r="I15" s="16" t="s">
        <v>113</v>
      </c>
      <c r="J15" s="44" t="s">
        <v>24</v>
      </c>
      <c r="K15" s="48" t="s">
        <v>25</v>
      </c>
      <c r="L15" s="48" t="s">
        <v>114</v>
      </c>
      <c r="M15" s="8"/>
      <c r="N15" s="8">
        <v>5</v>
      </c>
      <c r="O15" s="8">
        <v>5</v>
      </c>
      <c r="P15" s="8">
        <v>5</v>
      </c>
      <c r="Q15" s="8">
        <v>4</v>
      </c>
      <c r="R15" s="92" t="str">
        <f t="shared" ref="R15:V17" si="2">IF(M15="","",M15)</f>
        <v/>
      </c>
      <c r="S15" s="92">
        <f t="shared" si="2"/>
        <v>5</v>
      </c>
      <c r="T15" s="92">
        <f t="shared" si="2"/>
        <v>5</v>
      </c>
      <c r="U15" s="92">
        <f t="shared" si="2"/>
        <v>5</v>
      </c>
      <c r="V15" s="92">
        <f t="shared" si="2"/>
        <v>4</v>
      </c>
      <c r="W15" s="44" t="s">
        <v>27</v>
      </c>
      <c r="X15" s="9" t="s">
        <v>72</v>
      </c>
      <c r="Y15" s="95"/>
      <c r="Z15" s="95"/>
      <c r="AA15" s="95"/>
      <c r="AB15" s="95"/>
    </row>
    <row r="16" spans="1:40" ht="75" customHeight="1">
      <c r="A16" s="44">
        <v>10</v>
      </c>
      <c r="B16" s="88" t="s">
        <v>64</v>
      </c>
      <c r="C16" s="48" t="s">
        <v>65</v>
      </c>
      <c r="D16" s="89" t="s">
        <v>89</v>
      </c>
      <c r="E16" s="48" t="s">
        <v>90</v>
      </c>
      <c r="F16" s="44">
        <v>19</v>
      </c>
      <c r="G16" s="48" t="s">
        <v>115</v>
      </c>
      <c r="H16" s="43" t="s">
        <v>116</v>
      </c>
      <c r="I16" s="16" t="s">
        <v>117</v>
      </c>
      <c r="J16" s="44" t="s">
        <v>24</v>
      </c>
      <c r="K16" s="48" t="s">
        <v>25</v>
      </c>
      <c r="L16" s="48" t="s">
        <v>118</v>
      </c>
      <c r="M16" s="8"/>
      <c r="N16" s="8">
        <v>1</v>
      </c>
      <c r="O16" s="8">
        <v>1</v>
      </c>
      <c r="P16" s="8">
        <v>1</v>
      </c>
      <c r="Q16" s="8">
        <v>1</v>
      </c>
      <c r="R16" s="92" t="str">
        <f t="shared" si="2"/>
        <v/>
      </c>
      <c r="S16" s="92">
        <f t="shared" si="2"/>
        <v>1</v>
      </c>
      <c r="T16" s="92">
        <f t="shared" si="2"/>
        <v>1</v>
      </c>
      <c r="U16" s="92">
        <f t="shared" si="2"/>
        <v>1</v>
      </c>
      <c r="V16" s="92">
        <f t="shared" si="2"/>
        <v>1</v>
      </c>
      <c r="W16" s="44" t="s">
        <v>27</v>
      </c>
      <c r="X16" s="9" t="s">
        <v>72</v>
      </c>
      <c r="Y16" s="95"/>
      <c r="Z16" s="95"/>
      <c r="AA16" s="95"/>
      <c r="AB16" s="95"/>
    </row>
    <row r="17" spans="1:28" ht="75" customHeight="1">
      <c r="A17" s="44">
        <v>11</v>
      </c>
      <c r="B17" s="88" t="s">
        <v>64</v>
      </c>
      <c r="C17" s="48" t="s">
        <v>65</v>
      </c>
      <c r="D17" s="89" t="s">
        <v>89</v>
      </c>
      <c r="E17" s="48" t="s">
        <v>90</v>
      </c>
      <c r="F17" s="44">
        <v>21</v>
      </c>
      <c r="G17" s="48" t="s">
        <v>119</v>
      </c>
      <c r="H17" s="43" t="s">
        <v>120</v>
      </c>
      <c r="I17" s="16" t="s">
        <v>121</v>
      </c>
      <c r="J17" s="44" t="s">
        <v>24</v>
      </c>
      <c r="K17" s="48" t="s">
        <v>25</v>
      </c>
      <c r="L17" s="48" t="s">
        <v>122</v>
      </c>
      <c r="M17" s="8"/>
      <c r="N17" s="8">
        <v>2</v>
      </c>
      <c r="O17" s="8">
        <v>2</v>
      </c>
      <c r="P17" s="8">
        <v>2</v>
      </c>
      <c r="Q17" s="8">
        <v>2</v>
      </c>
      <c r="R17" s="92" t="str">
        <f t="shared" si="2"/>
        <v/>
      </c>
      <c r="S17" s="92">
        <f t="shared" si="2"/>
        <v>2</v>
      </c>
      <c r="T17" s="92">
        <f t="shared" si="2"/>
        <v>2</v>
      </c>
      <c r="U17" s="92">
        <f t="shared" si="2"/>
        <v>2</v>
      </c>
      <c r="V17" s="92">
        <f t="shared" si="2"/>
        <v>2</v>
      </c>
      <c r="W17" s="44" t="s">
        <v>27</v>
      </c>
      <c r="X17" s="9" t="s">
        <v>72</v>
      </c>
      <c r="Y17" s="95"/>
      <c r="Z17" s="95"/>
      <c r="AA17" s="95"/>
      <c r="AB17" s="95"/>
    </row>
    <row r="18" spans="1:28" ht="48" customHeight="1">
      <c r="A18" s="140">
        <v>12</v>
      </c>
      <c r="B18" s="140" t="s">
        <v>64</v>
      </c>
      <c r="C18" s="162" t="s">
        <v>65</v>
      </c>
      <c r="D18" s="149" t="s">
        <v>89</v>
      </c>
      <c r="E18" s="159" t="s">
        <v>90</v>
      </c>
      <c r="F18" s="140">
        <v>29</v>
      </c>
      <c r="G18" s="159" t="s">
        <v>123</v>
      </c>
      <c r="H18" s="142" t="s">
        <v>124</v>
      </c>
      <c r="I18" s="158" t="s">
        <v>125</v>
      </c>
      <c r="J18" s="152" t="s">
        <v>49</v>
      </c>
      <c r="K18" s="159" t="s">
        <v>126</v>
      </c>
      <c r="L18" s="48" t="s">
        <v>127</v>
      </c>
      <c r="M18" s="8"/>
      <c r="N18" s="8">
        <v>8</v>
      </c>
      <c r="O18" s="8">
        <v>8</v>
      </c>
      <c r="P18" s="8">
        <v>8</v>
      </c>
      <c r="Q18" s="8">
        <v>8</v>
      </c>
      <c r="R18" s="157" t="str">
        <f>IF(M19,M18/M19*100,"")</f>
        <v/>
      </c>
      <c r="S18" s="157">
        <f>IF(N19,N18/N19*100,"")</f>
        <v>80</v>
      </c>
      <c r="T18" s="157">
        <f>IF(O19,O18/O19*100,"")</f>
        <v>80</v>
      </c>
      <c r="U18" s="157">
        <f>IF(P19,P18/P19*100,"")</f>
        <v>80</v>
      </c>
      <c r="V18" s="157">
        <f>IF(Q19,Q18/Q19*100,"")</f>
        <v>80</v>
      </c>
      <c r="W18" s="140" t="s">
        <v>27</v>
      </c>
      <c r="X18" s="179" t="s">
        <v>72</v>
      </c>
      <c r="Y18" s="95"/>
      <c r="Z18" s="95"/>
      <c r="AA18" s="95"/>
      <c r="AB18" s="95"/>
    </row>
    <row r="19" spans="1:28" ht="45" customHeight="1">
      <c r="A19" s="137"/>
      <c r="B19" s="137"/>
      <c r="C19" s="137"/>
      <c r="D19" s="137"/>
      <c r="E19" s="137"/>
      <c r="F19" s="137"/>
      <c r="G19" s="137"/>
      <c r="H19" s="139"/>
      <c r="I19" s="139"/>
      <c r="J19" s="137"/>
      <c r="K19" s="137"/>
      <c r="L19" s="48" t="s">
        <v>128</v>
      </c>
      <c r="M19" s="8"/>
      <c r="N19" s="8">
        <v>10</v>
      </c>
      <c r="O19" s="8">
        <v>10</v>
      </c>
      <c r="P19" s="8">
        <v>10</v>
      </c>
      <c r="Q19" s="8">
        <v>10</v>
      </c>
      <c r="R19" s="137"/>
      <c r="S19" s="137"/>
      <c r="T19" s="137"/>
      <c r="U19" s="137"/>
      <c r="V19" s="137"/>
      <c r="W19" s="137"/>
      <c r="X19" s="139"/>
      <c r="Y19" s="95"/>
      <c r="Z19" s="95"/>
      <c r="AA19" s="95"/>
      <c r="AB19" s="95"/>
    </row>
    <row r="20" spans="1:28" ht="75" customHeight="1">
      <c r="A20" s="44">
        <v>13</v>
      </c>
      <c r="B20" s="88" t="s">
        <v>64</v>
      </c>
      <c r="C20" s="48" t="s">
        <v>65</v>
      </c>
      <c r="D20" s="89" t="s">
        <v>89</v>
      </c>
      <c r="E20" s="48" t="s">
        <v>90</v>
      </c>
      <c r="F20" s="44">
        <v>30</v>
      </c>
      <c r="G20" s="48" t="s">
        <v>129</v>
      </c>
      <c r="H20" s="43" t="s">
        <v>130</v>
      </c>
      <c r="I20" s="16" t="s">
        <v>131</v>
      </c>
      <c r="J20" s="44" t="s">
        <v>24</v>
      </c>
      <c r="K20" s="48" t="s">
        <v>25</v>
      </c>
      <c r="L20" s="48" t="s">
        <v>132</v>
      </c>
      <c r="M20" s="8"/>
      <c r="N20" s="8">
        <v>473</v>
      </c>
      <c r="O20" s="8">
        <v>710</v>
      </c>
      <c r="P20" s="8">
        <v>946</v>
      </c>
      <c r="Q20" s="8">
        <v>946</v>
      </c>
      <c r="R20" s="92" t="str">
        <f t="shared" ref="R20:V23" si="3">IF(M20="","",M20)</f>
        <v/>
      </c>
      <c r="S20" s="92">
        <f t="shared" si="3"/>
        <v>473</v>
      </c>
      <c r="T20" s="92">
        <f t="shared" si="3"/>
        <v>710</v>
      </c>
      <c r="U20" s="92">
        <f t="shared" si="3"/>
        <v>946</v>
      </c>
      <c r="V20" s="92">
        <f t="shared" si="3"/>
        <v>946</v>
      </c>
      <c r="W20" s="44" t="s">
        <v>27</v>
      </c>
      <c r="X20" s="9" t="s">
        <v>72</v>
      </c>
      <c r="Y20" s="95"/>
      <c r="Z20" s="95"/>
      <c r="AA20" s="95"/>
      <c r="AB20" s="95"/>
    </row>
    <row r="21" spans="1:28" ht="75" customHeight="1">
      <c r="A21" s="44">
        <v>14</v>
      </c>
      <c r="B21" s="88" t="s">
        <v>64</v>
      </c>
      <c r="C21" s="48" t="s">
        <v>65</v>
      </c>
      <c r="D21" s="89" t="s">
        <v>89</v>
      </c>
      <c r="E21" s="48" t="s">
        <v>90</v>
      </c>
      <c r="F21" s="44">
        <v>33</v>
      </c>
      <c r="G21" s="48" t="s">
        <v>133</v>
      </c>
      <c r="H21" s="43" t="s">
        <v>134</v>
      </c>
      <c r="I21" s="16" t="s">
        <v>135</v>
      </c>
      <c r="J21" s="44" t="s">
        <v>24</v>
      </c>
      <c r="K21" s="48" t="s">
        <v>25</v>
      </c>
      <c r="L21" s="48" t="s">
        <v>136</v>
      </c>
      <c r="M21" s="8"/>
      <c r="N21" s="8">
        <v>9</v>
      </c>
      <c r="O21" s="8">
        <v>9</v>
      </c>
      <c r="P21" s="8">
        <v>9</v>
      </c>
      <c r="Q21" s="8">
        <v>9</v>
      </c>
      <c r="R21" s="92" t="str">
        <f t="shared" si="3"/>
        <v/>
      </c>
      <c r="S21" s="92">
        <f t="shared" si="3"/>
        <v>9</v>
      </c>
      <c r="T21" s="92">
        <f t="shared" si="3"/>
        <v>9</v>
      </c>
      <c r="U21" s="92">
        <f t="shared" si="3"/>
        <v>9</v>
      </c>
      <c r="V21" s="92">
        <f t="shared" si="3"/>
        <v>9</v>
      </c>
      <c r="W21" s="44" t="s">
        <v>27</v>
      </c>
      <c r="X21" s="9" t="s">
        <v>72</v>
      </c>
      <c r="Y21" s="95"/>
      <c r="Z21" s="95"/>
      <c r="AA21" s="95"/>
      <c r="AB21" s="95"/>
    </row>
    <row r="22" spans="1:28" ht="75" customHeight="1">
      <c r="A22" s="44">
        <v>16</v>
      </c>
      <c r="B22" s="88" t="s">
        <v>64</v>
      </c>
      <c r="C22" s="48" t="s">
        <v>65</v>
      </c>
      <c r="D22" s="89" t="s">
        <v>89</v>
      </c>
      <c r="E22" s="48" t="s">
        <v>90</v>
      </c>
      <c r="F22" s="44">
        <v>37</v>
      </c>
      <c r="G22" s="48" t="s">
        <v>137</v>
      </c>
      <c r="H22" s="43" t="s">
        <v>138</v>
      </c>
      <c r="I22" s="16" t="s">
        <v>139</v>
      </c>
      <c r="J22" s="44" t="s">
        <v>24</v>
      </c>
      <c r="K22" s="48" t="s">
        <v>25</v>
      </c>
      <c r="L22" s="48" t="s">
        <v>140</v>
      </c>
      <c r="M22" s="8"/>
      <c r="N22" s="8">
        <v>14</v>
      </c>
      <c r="O22" s="8">
        <v>14</v>
      </c>
      <c r="P22" s="8">
        <v>14</v>
      </c>
      <c r="Q22" s="8">
        <v>14</v>
      </c>
      <c r="R22" s="92" t="str">
        <f t="shared" si="3"/>
        <v/>
      </c>
      <c r="S22" s="92">
        <f t="shared" si="3"/>
        <v>14</v>
      </c>
      <c r="T22" s="92">
        <f t="shared" si="3"/>
        <v>14</v>
      </c>
      <c r="U22" s="92">
        <f t="shared" si="3"/>
        <v>14</v>
      </c>
      <c r="V22" s="92">
        <f t="shared" si="3"/>
        <v>14</v>
      </c>
      <c r="W22" s="44" t="s">
        <v>27</v>
      </c>
      <c r="X22" s="9" t="s">
        <v>72</v>
      </c>
      <c r="Y22" s="95"/>
      <c r="Z22" s="95"/>
      <c r="AA22" s="95"/>
      <c r="AB22" s="95"/>
    </row>
    <row r="23" spans="1:28" ht="60" customHeight="1">
      <c r="A23" s="44">
        <v>17</v>
      </c>
      <c r="B23" s="88" t="s">
        <v>64</v>
      </c>
      <c r="C23" s="48" t="s">
        <v>65</v>
      </c>
      <c r="D23" s="89" t="s">
        <v>141</v>
      </c>
      <c r="E23" s="48" t="s">
        <v>142</v>
      </c>
      <c r="F23" s="44">
        <v>42</v>
      </c>
      <c r="G23" s="48" t="s">
        <v>143</v>
      </c>
      <c r="H23" s="43" t="s">
        <v>144</v>
      </c>
      <c r="I23" s="16" t="s">
        <v>145</v>
      </c>
      <c r="J23" s="44" t="s">
        <v>24</v>
      </c>
      <c r="K23" s="48" t="s">
        <v>25</v>
      </c>
      <c r="L23" s="48" t="s">
        <v>146</v>
      </c>
      <c r="M23" s="93">
        <f>M14</f>
        <v>0</v>
      </c>
      <c r="N23" s="93">
        <v>3004</v>
      </c>
      <c r="O23" s="93">
        <v>3019</v>
      </c>
      <c r="P23" s="93">
        <v>3034</v>
      </c>
      <c r="Q23" s="93">
        <v>3049</v>
      </c>
      <c r="R23" s="92">
        <f t="shared" si="3"/>
        <v>0</v>
      </c>
      <c r="S23" s="92">
        <f t="shared" si="3"/>
        <v>3004</v>
      </c>
      <c r="T23" s="92">
        <f t="shared" si="3"/>
        <v>3019</v>
      </c>
      <c r="U23" s="92">
        <f t="shared" si="3"/>
        <v>3034</v>
      </c>
      <c r="V23" s="92">
        <f t="shared" si="3"/>
        <v>3049</v>
      </c>
      <c r="W23" s="44" t="s">
        <v>27</v>
      </c>
      <c r="X23" s="9" t="s">
        <v>72</v>
      </c>
      <c r="Y23" s="95"/>
      <c r="Z23" s="95"/>
      <c r="AA23" s="95"/>
      <c r="AB23" s="95"/>
    </row>
    <row r="24" spans="1:28" ht="43.5" customHeight="1">
      <c r="A24" s="140">
        <v>18</v>
      </c>
      <c r="B24" s="140" t="s">
        <v>64</v>
      </c>
      <c r="C24" s="159" t="s">
        <v>65</v>
      </c>
      <c r="D24" s="149" t="s">
        <v>141</v>
      </c>
      <c r="E24" s="159" t="s">
        <v>142</v>
      </c>
      <c r="F24" s="140">
        <v>43</v>
      </c>
      <c r="G24" s="159" t="s">
        <v>147</v>
      </c>
      <c r="H24" s="142" t="s">
        <v>148</v>
      </c>
      <c r="I24" s="158" t="s">
        <v>149</v>
      </c>
      <c r="J24" s="152" t="s">
        <v>49</v>
      </c>
      <c r="K24" s="159" t="s">
        <v>150</v>
      </c>
      <c r="L24" s="48" t="s">
        <v>151</v>
      </c>
      <c r="M24" s="8"/>
      <c r="N24" s="8">
        <v>3</v>
      </c>
      <c r="O24" s="8">
        <v>4</v>
      </c>
      <c r="P24" s="8">
        <v>5</v>
      </c>
      <c r="Q24" s="8">
        <v>6</v>
      </c>
      <c r="R24" s="157" t="str">
        <f>IF(M25,M24/M25*100,"")</f>
        <v/>
      </c>
      <c r="S24" s="157">
        <f>IF(N25,N24/N25*100,"")</f>
        <v>3</v>
      </c>
      <c r="T24" s="157">
        <f>IF(O25,O24/O25*100,"")</f>
        <v>4</v>
      </c>
      <c r="U24" s="157">
        <f>IF(P25,P24/P25*100,"")</f>
        <v>4.9504950495049505</v>
      </c>
      <c r="V24" s="157">
        <f>IF(Q25,Q24/Q25*100,"")</f>
        <v>5.8823529411764701</v>
      </c>
      <c r="W24" s="140" t="s">
        <v>27</v>
      </c>
      <c r="X24" s="179" t="s">
        <v>72</v>
      </c>
      <c r="Y24" s="95"/>
      <c r="Z24" s="95"/>
      <c r="AA24" s="95"/>
      <c r="AB24" s="95"/>
    </row>
    <row r="25" spans="1:28" ht="43.5" customHeight="1">
      <c r="A25" s="137"/>
      <c r="B25" s="137"/>
      <c r="C25" s="137"/>
      <c r="D25" s="137"/>
      <c r="E25" s="137"/>
      <c r="F25" s="137"/>
      <c r="G25" s="137"/>
      <c r="H25" s="139"/>
      <c r="I25" s="139"/>
      <c r="J25" s="137"/>
      <c r="K25" s="137"/>
      <c r="L25" s="48" t="s">
        <v>152</v>
      </c>
      <c r="M25" s="8"/>
      <c r="N25" s="8">
        <v>100</v>
      </c>
      <c r="O25" s="8">
        <v>100</v>
      </c>
      <c r="P25" s="8">
        <v>101</v>
      </c>
      <c r="Q25" s="8">
        <v>102</v>
      </c>
      <c r="R25" s="137"/>
      <c r="S25" s="137"/>
      <c r="T25" s="137"/>
      <c r="U25" s="137"/>
      <c r="V25" s="137"/>
      <c r="W25" s="137"/>
      <c r="X25" s="139"/>
      <c r="Y25" s="95"/>
      <c r="Z25" s="95"/>
      <c r="AA25" s="95"/>
      <c r="AB25" s="95"/>
    </row>
    <row r="26" spans="1:28" ht="60" customHeight="1">
      <c r="A26" s="44">
        <v>19</v>
      </c>
      <c r="B26" s="88" t="s">
        <v>64</v>
      </c>
      <c r="C26" s="48" t="s">
        <v>65</v>
      </c>
      <c r="D26" s="89" t="s">
        <v>141</v>
      </c>
      <c r="E26" s="48" t="s">
        <v>142</v>
      </c>
      <c r="F26" s="44">
        <v>44</v>
      </c>
      <c r="G26" s="48" t="s">
        <v>153</v>
      </c>
      <c r="H26" s="115" t="s">
        <v>154</v>
      </c>
      <c r="I26" s="16" t="s">
        <v>155</v>
      </c>
      <c r="J26" s="44" t="s">
        <v>24</v>
      </c>
      <c r="K26" s="48" t="s">
        <v>25</v>
      </c>
      <c r="L26" s="48" t="s">
        <v>156</v>
      </c>
      <c r="M26" s="8"/>
      <c r="N26" s="8">
        <v>0</v>
      </c>
      <c r="O26" s="8">
        <v>0</v>
      </c>
      <c r="P26" s="8">
        <v>2</v>
      </c>
      <c r="Q26" s="8">
        <v>0</v>
      </c>
      <c r="R26" s="92" t="str">
        <f>IF(M26="","",M26)</f>
        <v/>
      </c>
      <c r="S26" s="92">
        <f>IF(N26="","",N26)</f>
        <v>0</v>
      </c>
      <c r="T26" s="92">
        <f>IF(O26="","",O26)</f>
        <v>0</v>
      </c>
      <c r="U26" s="92">
        <f>IF(P26="","",P26)</f>
        <v>2</v>
      </c>
      <c r="V26" s="92">
        <f>IF(Q26="","",Q26)</f>
        <v>0</v>
      </c>
      <c r="W26" s="44" t="s">
        <v>27</v>
      </c>
      <c r="X26" s="9" t="s">
        <v>72</v>
      </c>
      <c r="Y26" s="95"/>
      <c r="Z26" s="95"/>
      <c r="AA26" s="95"/>
      <c r="AB26" s="95"/>
    </row>
    <row r="27" spans="1:28" ht="60" customHeight="1">
      <c r="A27" s="140">
        <v>20</v>
      </c>
      <c r="B27" s="140" t="s">
        <v>64</v>
      </c>
      <c r="C27" s="162" t="s">
        <v>65</v>
      </c>
      <c r="D27" s="149" t="s">
        <v>141</v>
      </c>
      <c r="E27" s="159" t="s">
        <v>142</v>
      </c>
      <c r="F27" s="140">
        <v>45</v>
      </c>
      <c r="G27" s="159" t="s">
        <v>157</v>
      </c>
      <c r="H27" s="142" t="s">
        <v>158</v>
      </c>
      <c r="I27" s="158" t="s">
        <v>159</v>
      </c>
      <c r="J27" s="152" t="s">
        <v>49</v>
      </c>
      <c r="K27" s="159" t="s">
        <v>160</v>
      </c>
      <c r="L27" s="48" t="s">
        <v>161</v>
      </c>
      <c r="M27" s="8"/>
      <c r="N27" s="8">
        <v>155</v>
      </c>
      <c r="O27" s="8">
        <v>186</v>
      </c>
      <c r="P27" s="8">
        <v>217</v>
      </c>
      <c r="Q27" s="8">
        <v>249</v>
      </c>
      <c r="R27" s="163" t="str">
        <f>IF(M28,M27/M28*100,"")</f>
        <v/>
      </c>
      <c r="S27" s="163">
        <f>IF(N28,N27/N28*100,"")</f>
        <v>5.1856808297089332</v>
      </c>
      <c r="T27" s="163">
        <f>IF(O28,O27/O28*100,"")</f>
        <v>6.1917443408788282</v>
      </c>
      <c r="U27" s="163">
        <f>IF(P28,P27/P28*100,"")</f>
        <v>7.1878105332891682</v>
      </c>
      <c r="V27" s="163">
        <f>IF(Q28,Q27/Q28*100,"")</f>
        <v>8.2069874752801582</v>
      </c>
      <c r="W27" s="140" t="s">
        <v>27</v>
      </c>
      <c r="X27" s="179" t="s">
        <v>72</v>
      </c>
      <c r="Y27" s="95"/>
      <c r="Z27" s="95"/>
      <c r="AA27" s="95"/>
      <c r="AB27" s="95"/>
    </row>
    <row r="28" spans="1:28" ht="42" customHeight="1">
      <c r="A28" s="137"/>
      <c r="B28" s="137"/>
      <c r="C28" s="137"/>
      <c r="D28" s="137"/>
      <c r="E28" s="137"/>
      <c r="F28" s="137"/>
      <c r="G28" s="137"/>
      <c r="H28" s="139"/>
      <c r="I28" s="139"/>
      <c r="J28" s="137"/>
      <c r="K28" s="137"/>
      <c r="L28" s="48" t="s">
        <v>162</v>
      </c>
      <c r="M28" s="8"/>
      <c r="N28" s="8">
        <v>2989</v>
      </c>
      <c r="O28" s="8">
        <v>3004</v>
      </c>
      <c r="P28" s="8">
        <v>3019</v>
      </c>
      <c r="Q28" s="8">
        <v>3034</v>
      </c>
      <c r="R28" s="137"/>
      <c r="S28" s="137"/>
      <c r="T28" s="137"/>
      <c r="U28" s="137"/>
      <c r="V28" s="137"/>
      <c r="W28" s="137"/>
      <c r="X28" s="139"/>
      <c r="Y28" s="95"/>
      <c r="Z28" s="95"/>
      <c r="AA28" s="95"/>
      <c r="AB28" s="95"/>
    </row>
    <row r="29" spans="1:28" ht="27.75" customHeight="1">
      <c r="A29" s="160">
        <v>21</v>
      </c>
      <c r="B29" s="160" t="s">
        <v>64</v>
      </c>
      <c r="C29" s="167" t="s">
        <v>65</v>
      </c>
      <c r="D29" s="181" t="s">
        <v>141</v>
      </c>
      <c r="E29" s="169" t="s">
        <v>142</v>
      </c>
      <c r="F29" s="160">
        <v>46</v>
      </c>
      <c r="G29" s="169" t="s">
        <v>163</v>
      </c>
      <c r="H29" s="177" t="s">
        <v>164</v>
      </c>
      <c r="I29" s="184" t="s">
        <v>165</v>
      </c>
      <c r="J29" s="178" t="s">
        <v>49</v>
      </c>
      <c r="K29" s="169" t="s">
        <v>166</v>
      </c>
      <c r="L29" s="48" t="s">
        <v>167</v>
      </c>
      <c r="M29" s="127">
        <f>M14</f>
        <v>0</v>
      </c>
      <c r="N29" s="127">
        <v>3004</v>
      </c>
      <c r="O29" s="127">
        <v>3019</v>
      </c>
      <c r="P29" s="127">
        <v>3034</v>
      </c>
      <c r="Q29" s="8">
        <v>3049</v>
      </c>
      <c r="R29" s="176" t="str">
        <f>IF(M32,(1-((M29-M30+M31)/M32))*100,"")</f>
        <v/>
      </c>
      <c r="S29" s="176">
        <f>IF(N32,(1-((N29-N30+N31)/N32))*100,"")</f>
        <v>8.0294412847106038</v>
      </c>
      <c r="T29" s="176">
        <f>IF(O32,(1-((O29-O30+O31)/O32))*100,"")</f>
        <v>7.9560585885485979</v>
      </c>
      <c r="U29" s="176">
        <f>IF(P32,(1-((P29-P30+P31)/P32))*100,"")</f>
        <v>7.8834051010268302</v>
      </c>
      <c r="V29" s="176">
        <f>IF(Q32,(1-((Q29-Q30+Q31)/Q32))*100,"")</f>
        <v>7.8114700065919589</v>
      </c>
      <c r="W29" s="160" t="s">
        <v>27</v>
      </c>
      <c r="X29" s="173" t="s">
        <v>72</v>
      </c>
      <c r="Y29" s="95"/>
      <c r="Z29" s="95"/>
      <c r="AA29" s="95"/>
      <c r="AB29" s="95"/>
    </row>
    <row r="30" spans="1:28" ht="27.75" customHeight="1">
      <c r="A30" s="161"/>
      <c r="B30" s="161"/>
      <c r="C30" s="161"/>
      <c r="D30" s="161"/>
      <c r="E30" s="161"/>
      <c r="F30" s="161"/>
      <c r="G30" s="161"/>
      <c r="H30" s="174"/>
      <c r="I30" s="174"/>
      <c r="J30" s="161"/>
      <c r="K30" s="161"/>
      <c r="L30" s="48" t="s">
        <v>168</v>
      </c>
      <c r="M30" s="8"/>
      <c r="N30" s="8">
        <v>722</v>
      </c>
      <c r="O30" s="8">
        <v>726</v>
      </c>
      <c r="P30" s="8">
        <v>729</v>
      </c>
      <c r="Q30" s="8">
        <v>733</v>
      </c>
      <c r="R30" s="161"/>
      <c r="S30" s="161"/>
      <c r="T30" s="161"/>
      <c r="U30" s="161"/>
      <c r="V30" s="161"/>
      <c r="W30" s="161"/>
      <c r="X30" s="174"/>
      <c r="Y30" s="95"/>
      <c r="Z30" s="95"/>
      <c r="AA30" s="95"/>
      <c r="AB30" s="95"/>
    </row>
    <row r="31" spans="1:28" ht="27.75" customHeight="1">
      <c r="A31" s="161"/>
      <c r="B31" s="161"/>
      <c r="C31" s="161"/>
      <c r="D31" s="161"/>
      <c r="E31" s="161"/>
      <c r="F31" s="161"/>
      <c r="G31" s="161"/>
      <c r="H31" s="174"/>
      <c r="I31" s="174"/>
      <c r="J31" s="161"/>
      <c r="K31" s="161"/>
      <c r="L31" s="48" t="s">
        <v>169</v>
      </c>
      <c r="M31" s="8"/>
      <c r="N31" s="8">
        <v>467</v>
      </c>
      <c r="O31" s="8">
        <v>472</v>
      </c>
      <c r="P31" s="8">
        <v>476</v>
      </c>
      <c r="Q31" s="8">
        <v>481</v>
      </c>
      <c r="R31" s="161"/>
      <c r="S31" s="161"/>
      <c r="T31" s="161"/>
      <c r="U31" s="161"/>
      <c r="V31" s="161"/>
      <c r="W31" s="161"/>
      <c r="X31" s="174"/>
      <c r="Y31" s="95"/>
      <c r="Z31" s="95"/>
      <c r="AA31" s="95"/>
      <c r="AB31" s="95"/>
    </row>
    <row r="32" spans="1:28" ht="27.75" customHeight="1">
      <c r="A32" s="161"/>
      <c r="B32" s="161"/>
      <c r="C32" s="161"/>
      <c r="D32" s="161"/>
      <c r="E32" s="161"/>
      <c r="F32" s="161"/>
      <c r="G32" s="161"/>
      <c r="H32" s="174"/>
      <c r="I32" s="174"/>
      <c r="J32" s="161"/>
      <c r="K32" s="161"/>
      <c r="L32" s="90" t="s">
        <v>170</v>
      </c>
      <c r="M32" s="8"/>
      <c r="N32" s="127">
        <v>2989</v>
      </c>
      <c r="O32" s="127">
        <v>3004</v>
      </c>
      <c r="P32" s="127">
        <v>3019</v>
      </c>
      <c r="Q32" s="8">
        <v>3034</v>
      </c>
      <c r="R32" s="161"/>
      <c r="S32" s="161"/>
      <c r="T32" s="161"/>
      <c r="U32" s="161"/>
      <c r="V32" s="161"/>
      <c r="W32" s="161"/>
      <c r="X32" s="174"/>
      <c r="Y32" s="95"/>
      <c r="Z32" s="95"/>
      <c r="AA32" s="95"/>
      <c r="AB32" s="95"/>
    </row>
    <row r="33" spans="1:28" ht="60" customHeight="1">
      <c r="A33" s="44">
        <v>22</v>
      </c>
      <c r="B33" s="88" t="s">
        <v>64</v>
      </c>
      <c r="C33" s="48" t="s">
        <v>65</v>
      </c>
      <c r="D33" s="89" t="s">
        <v>141</v>
      </c>
      <c r="E33" s="48" t="s">
        <v>142</v>
      </c>
      <c r="F33" s="44">
        <v>53</v>
      </c>
      <c r="G33" s="48" t="s">
        <v>171</v>
      </c>
      <c r="H33" s="43" t="s">
        <v>172</v>
      </c>
      <c r="I33" s="16" t="s">
        <v>173</v>
      </c>
      <c r="J33" s="44" t="s">
        <v>24</v>
      </c>
      <c r="K33" s="48" t="s">
        <v>25</v>
      </c>
      <c r="L33" s="48" t="s">
        <v>174</v>
      </c>
      <c r="M33" s="8"/>
      <c r="N33" s="8">
        <v>691</v>
      </c>
      <c r="O33" s="8">
        <v>691</v>
      </c>
      <c r="P33" s="8">
        <v>691</v>
      </c>
      <c r="Q33" s="8">
        <v>691</v>
      </c>
      <c r="R33" s="92" t="str">
        <f>IF(M33="","",M33)</f>
        <v/>
      </c>
      <c r="S33" s="92">
        <f>IF(N33="","",N33)</f>
        <v>691</v>
      </c>
      <c r="T33" s="92">
        <f>IF(O33="","",O33)</f>
        <v>691</v>
      </c>
      <c r="U33" s="92">
        <f>IF(P33="","",P33)</f>
        <v>691</v>
      </c>
      <c r="V33" s="92">
        <f>IF(Q33="","",Q33)</f>
        <v>691</v>
      </c>
      <c r="W33" s="44" t="s">
        <v>27</v>
      </c>
      <c r="X33" s="9" t="s">
        <v>72</v>
      </c>
      <c r="Y33" s="95"/>
      <c r="Z33" s="95"/>
      <c r="AA33" s="95"/>
      <c r="AB33" s="95"/>
    </row>
    <row r="34" spans="1:28" ht="40.5" customHeight="1">
      <c r="A34" s="140">
        <v>23</v>
      </c>
      <c r="B34" s="140" t="s">
        <v>64</v>
      </c>
      <c r="C34" s="162" t="s">
        <v>65</v>
      </c>
      <c r="D34" s="149" t="s">
        <v>141</v>
      </c>
      <c r="E34" s="159" t="s">
        <v>142</v>
      </c>
      <c r="F34" s="140">
        <v>55</v>
      </c>
      <c r="G34" s="159" t="s">
        <v>175</v>
      </c>
      <c r="H34" s="142" t="s">
        <v>176</v>
      </c>
      <c r="I34" s="158" t="s">
        <v>177</v>
      </c>
      <c r="J34" s="152" t="s">
        <v>49</v>
      </c>
      <c r="K34" s="159" t="s">
        <v>178</v>
      </c>
      <c r="L34" s="48" t="s">
        <v>179</v>
      </c>
      <c r="M34" s="8"/>
      <c r="N34" s="8">
        <v>2810</v>
      </c>
      <c r="O34" s="8">
        <v>2864</v>
      </c>
      <c r="P34" s="8">
        <v>2918</v>
      </c>
      <c r="Q34" s="8">
        <v>2973</v>
      </c>
      <c r="R34" s="157" t="str">
        <f>IF(M35,M34/M35*100,"")</f>
        <v/>
      </c>
      <c r="S34" s="157">
        <f>IF(N35,N34/N35*100,"")</f>
        <v>94.011375041820017</v>
      </c>
      <c r="T34" s="157">
        <f>IF(O35,O34/O35*100,"")</f>
        <v>95.339547270306255</v>
      </c>
      <c r="U34" s="157">
        <f>IF(P35,P34/P35*100,"")</f>
        <v>96.654521364690297</v>
      </c>
      <c r="V34" s="157">
        <f>IF(Q35,Q34/Q35*100,"")</f>
        <v>97.989452867501655</v>
      </c>
      <c r="W34" s="140" t="s">
        <v>27</v>
      </c>
      <c r="X34" s="170" t="s">
        <v>72</v>
      </c>
      <c r="Y34" s="95"/>
      <c r="Z34" s="95"/>
      <c r="AA34" s="95"/>
      <c r="AB34" s="95"/>
    </row>
    <row r="35" spans="1:28" ht="40.5" customHeight="1">
      <c r="A35" s="137"/>
      <c r="B35" s="137"/>
      <c r="C35" s="137"/>
      <c r="D35" s="137"/>
      <c r="E35" s="137"/>
      <c r="F35" s="137"/>
      <c r="G35" s="137"/>
      <c r="H35" s="139"/>
      <c r="I35" s="139"/>
      <c r="J35" s="137"/>
      <c r="K35" s="137"/>
      <c r="L35" s="91" t="s">
        <v>180</v>
      </c>
      <c r="M35" s="94">
        <f>M14</f>
        <v>0</v>
      </c>
      <c r="N35" s="94">
        <v>2989</v>
      </c>
      <c r="O35" s="94">
        <v>3004</v>
      </c>
      <c r="P35" s="94">
        <v>3019</v>
      </c>
      <c r="Q35" s="94">
        <v>3034</v>
      </c>
      <c r="R35" s="137"/>
      <c r="S35" s="137"/>
      <c r="T35" s="137"/>
      <c r="U35" s="137"/>
      <c r="V35" s="137"/>
      <c r="W35" s="137"/>
      <c r="X35" s="139"/>
      <c r="Y35" s="95"/>
      <c r="Z35" s="95"/>
      <c r="AA35" s="95"/>
      <c r="AB35" s="95"/>
    </row>
    <row r="36" spans="1:28" ht="90" customHeight="1">
      <c r="A36" s="44">
        <v>24</v>
      </c>
      <c r="B36" s="88" t="s">
        <v>64</v>
      </c>
      <c r="C36" s="48" t="s">
        <v>65</v>
      </c>
      <c r="D36" s="89" t="s">
        <v>141</v>
      </c>
      <c r="E36" s="48" t="s">
        <v>142</v>
      </c>
      <c r="F36" s="44">
        <v>57</v>
      </c>
      <c r="G36" s="48" t="s">
        <v>181</v>
      </c>
      <c r="H36" s="43" t="s">
        <v>182</v>
      </c>
      <c r="I36" s="16" t="s">
        <v>183</v>
      </c>
      <c r="J36" s="44" t="s">
        <v>24</v>
      </c>
      <c r="K36" s="48" t="s">
        <v>25</v>
      </c>
      <c r="L36" s="48" t="s">
        <v>184</v>
      </c>
      <c r="M36" s="8"/>
      <c r="N36" s="8">
        <v>0</v>
      </c>
      <c r="O36" s="8">
        <v>0</v>
      </c>
      <c r="P36" s="8">
        <v>588</v>
      </c>
      <c r="Q36" s="8">
        <v>0</v>
      </c>
      <c r="R36" s="92" t="str">
        <f t="shared" ref="R36:V39" si="4">IF(M36="","",M36)</f>
        <v/>
      </c>
      <c r="S36" s="92">
        <f t="shared" si="4"/>
        <v>0</v>
      </c>
      <c r="T36" s="92">
        <f t="shared" si="4"/>
        <v>0</v>
      </c>
      <c r="U36" s="92">
        <f t="shared" si="4"/>
        <v>588</v>
      </c>
      <c r="V36" s="92">
        <f t="shared" si="4"/>
        <v>0</v>
      </c>
      <c r="W36" s="44" t="s">
        <v>27</v>
      </c>
      <c r="X36" s="9" t="s">
        <v>72</v>
      </c>
      <c r="Y36" s="95"/>
      <c r="Z36" s="95"/>
      <c r="AA36" s="95"/>
      <c r="AB36" s="95"/>
    </row>
    <row r="37" spans="1:28" ht="75" customHeight="1">
      <c r="A37" s="44">
        <v>25</v>
      </c>
      <c r="B37" s="88" t="s">
        <v>64</v>
      </c>
      <c r="C37" s="48" t="s">
        <v>65</v>
      </c>
      <c r="D37" s="89" t="s">
        <v>141</v>
      </c>
      <c r="E37" s="48" t="s">
        <v>142</v>
      </c>
      <c r="F37" s="44">
        <v>58</v>
      </c>
      <c r="G37" s="48" t="s">
        <v>185</v>
      </c>
      <c r="H37" s="43" t="s">
        <v>186</v>
      </c>
      <c r="I37" s="16" t="s">
        <v>187</v>
      </c>
      <c r="J37" s="44" t="s">
        <v>24</v>
      </c>
      <c r="K37" s="48" t="s">
        <v>25</v>
      </c>
      <c r="L37" s="48" t="s">
        <v>188</v>
      </c>
      <c r="M37" s="8"/>
      <c r="N37" s="8">
        <v>10</v>
      </c>
      <c r="O37" s="8">
        <v>10</v>
      </c>
      <c r="P37" s="8">
        <v>10</v>
      </c>
      <c r="Q37" s="8">
        <v>10</v>
      </c>
      <c r="R37" s="92" t="str">
        <f t="shared" si="4"/>
        <v/>
      </c>
      <c r="S37" s="92">
        <f t="shared" si="4"/>
        <v>10</v>
      </c>
      <c r="T37" s="92">
        <f t="shared" si="4"/>
        <v>10</v>
      </c>
      <c r="U37" s="92">
        <f t="shared" si="4"/>
        <v>10</v>
      </c>
      <c r="V37" s="92">
        <f t="shared" si="4"/>
        <v>10</v>
      </c>
      <c r="W37" s="44" t="s">
        <v>27</v>
      </c>
      <c r="X37" s="9" t="s">
        <v>72</v>
      </c>
      <c r="Y37" s="95"/>
      <c r="Z37" s="95"/>
      <c r="AA37" s="95"/>
      <c r="AB37" s="95"/>
    </row>
    <row r="38" spans="1:28" ht="60" customHeight="1">
      <c r="A38" s="44">
        <v>26</v>
      </c>
      <c r="B38" s="88" t="s">
        <v>64</v>
      </c>
      <c r="C38" s="48" t="s">
        <v>65</v>
      </c>
      <c r="D38" s="89" t="s">
        <v>141</v>
      </c>
      <c r="E38" s="48" t="s">
        <v>142</v>
      </c>
      <c r="F38" s="44">
        <v>61</v>
      </c>
      <c r="G38" s="48" t="s">
        <v>189</v>
      </c>
      <c r="H38" s="43" t="s">
        <v>190</v>
      </c>
      <c r="I38" s="16" t="s">
        <v>191</v>
      </c>
      <c r="J38" s="44" t="s">
        <v>24</v>
      </c>
      <c r="K38" s="48" t="s">
        <v>25</v>
      </c>
      <c r="L38" s="48" t="s">
        <v>192</v>
      </c>
      <c r="M38" s="8"/>
      <c r="N38" s="8">
        <v>1</v>
      </c>
      <c r="O38" s="8">
        <v>0</v>
      </c>
      <c r="P38" s="8">
        <v>0</v>
      </c>
      <c r="Q38" s="8">
        <v>0</v>
      </c>
      <c r="R38" s="92" t="str">
        <f t="shared" si="4"/>
        <v/>
      </c>
      <c r="S38" s="92">
        <f t="shared" si="4"/>
        <v>1</v>
      </c>
      <c r="T38" s="92">
        <f t="shared" si="4"/>
        <v>0</v>
      </c>
      <c r="U38" s="92">
        <f t="shared" si="4"/>
        <v>0</v>
      </c>
      <c r="V38" s="92">
        <f t="shared" si="4"/>
        <v>0</v>
      </c>
      <c r="W38" s="44" t="s">
        <v>27</v>
      </c>
      <c r="X38" s="9" t="s">
        <v>72</v>
      </c>
      <c r="Y38" s="95"/>
      <c r="Z38" s="95"/>
      <c r="AA38" s="95"/>
      <c r="AB38" s="95"/>
    </row>
    <row r="39" spans="1:28" ht="60" customHeight="1">
      <c r="A39" s="44">
        <v>27</v>
      </c>
      <c r="B39" s="88" t="s">
        <v>64</v>
      </c>
      <c r="C39" s="48" t="s">
        <v>65</v>
      </c>
      <c r="D39" s="89" t="s">
        <v>193</v>
      </c>
      <c r="E39" s="48" t="s">
        <v>194</v>
      </c>
      <c r="F39" s="44">
        <v>64</v>
      </c>
      <c r="G39" s="48" t="s">
        <v>195</v>
      </c>
      <c r="H39" s="43" t="s">
        <v>196</v>
      </c>
      <c r="I39" s="16" t="s">
        <v>197</v>
      </c>
      <c r="J39" s="44" t="s">
        <v>24</v>
      </c>
      <c r="K39" s="48" t="s">
        <v>25</v>
      </c>
      <c r="L39" s="48" t="s">
        <v>198</v>
      </c>
      <c r="M39" s="8"/>
      <c r="N39" s="8">
        <v>1</v>
      </c>
      <c r="O39" s="8">
        <v>1</v>
      </c>
      <c r="P39" s="8">
        <v>1</v>
      </c>
      <c r="Q39" s="8">
        <v>1</v>
      </c>
      <c r="R39" s="93" t="str">
        <f t="shared" si="4"/>
        <v/>
      </c>
      <c r="S39" s="93">
        <f t="shared" si="4"/>
        <v>1</v>
      </c>
      <c r="T39" s="93">
        <f t="shared" si="4"/>
        <v>1</v>
      </c>
      <c r="U39" s="93">
        <f t="shared" si="4"/>
        <v>1</v>
      </c>
      <c r="V39" s="93">
        <f t="shared" si="4"/>
        <v>1</v>
      </c>
      <c r="W39" s="44" t="s">
        <v>27</v>
      </c>
      <c r="X39" s="9" t="s">
        <v>72</v>
      </c>
      <c r="Y39" s="95"/>
      <c r="Z39" s="95"/>
      <c r="AA39" s="95"/>
      <c r="AB39" s="95"/>
    </row>
  </sheetData>
  <sheetProtection algorithmName="SHA-512" hashValue="AF7udlXFGohJXBDblyejxvH9wh50fK+HWqf/2WrzPA4Zl7hOb20su5od7fzbIEIj+vcX16X5NaMON5f5Ihe+cg==" saltValue="gCJb936V7Ph5S1Zae5Ro5g==" spinCount="100000" sheet="1" formatCells="0" formatColumns="0" formatRows="0"/>
  <mergeCells count="178">
    <mergeCell ref="X1:X2"/>
    <mergeCell ref="S5:S6"/>
    <mergeCell ref="F27:F28"/>
    <mergeCell ref="U5:U6"/>
    <mergeCell ref="W9:W10"/>
    <mergeCell ref="H27:H28"/>
    <mergeCell ref="R18:R19"/>
    <mergeCell ref="I13:I14"/>
    <mergeCell ref="K13:K14"/>
    <mergeCell ref="K7:K8"/>
    <mergeCell ref="K24:K25"/>
    <mergeCell ref="T24:T25"/>
    <mergeCell ref="T18:T19"/>
    <mergeCell ref="V18:V19"/>
    <mergeCell ref="W24:W25"/>
    <mergeCell ref="B1:B2"/>
    <mergeCell ref="H7:H8"/>
    <mergeCell ref="J7:J8"/>
    <mergeCell ref="A18:A19"/>
    <mergeCell ref="L1:L2"/>
    <mergeCell ref="B24:B25"/>
    <mergeCell ref="I5:I6"/>
    <mergeCell ref="D24:D25"/>
    <mergeCell ref="A5:A6"/>
    <mergeCell ref="B5:B6"/>
    <mergeCell ref="D5:D6"/>
    <mergeCell ref="C13:C14"/>
    <mergeCell ref="C24:C25"/>
    <mergeCell ref="E24:E25"/>
    <mergeCell ref="A1:A2"/>
    <mergeCell ref="A24:A25"/>
    <mergeCell ref="U27:U28"/>
    <mergeCell ref="V13:V14"/>
    <mergeCell ref="X13:X14"/>
    <mergeCell ref="X7:X8"/>
    <mergeCell ref="T29:T32"/>
    <mergeCell ref="V29:V32"/>
    <mergeCell ref="R24:R25"/>
    <mergeCell ref="E34:E35"/>
    <mergeCell ref="G34:G35"/>
    <mergeCell ref="C9:C10"/>
    <mergeCell ref="E9:E10"/>
    <mergeCell ref="S9:S10"/>
    <mergeCell ref="U18:U19"/>
    <mergeCell ref="G29:G32"/>
    <mergeCell ref="I29:I32"/>
    <mergeCell ref="A34:A35"/>
    <mergeCell ref="C7:C8"/>
    <mergeCell ref="X9:X10"/>
    <mergeCell ref="E7:E8"/>
    <mergeCell ref="A29:A32"/>
    <mergeCell ref="G1:G2"/>
    <mergeCell ref="I1:I2"/>
    <mergeCell ref="T34:T35"/>
    <mergeCell ref="S29:S32"/>
    <mergeCell ref="U29:U32"/>
    <mergeCell ref="H18:H19"/>
    <mergeCell ref="R9:R10"/>
    <mergeCell ref="H5:H6"/>
    <mergeCell ref="R5:R6"/>
    <mergeCell ref="J5:J6"/>
    <mergeCell ref="E18:E19"/>
    <mergeCell ref="D29:D32"/>
    <mergeCell ref="F29:F32"/>
    <mergeCell ref="T5:T6"/>
    <mergeCell ref="W34:W35"/>
    <mergeCell ref="X27:X28"/>
    <mergeCell ref="V5:V6"/>
    <mergeCell ref="I27:I28"/>
    <mergeCell ref="K18:K19"/>
    <mergeCell ref="S18:S19"/>
    <mergeCell ref="X24:X25"/>
    <mergeCell ref="R27:R28"/>
    <mergeCell ref="S13:S14"/>
    <mergeCell ref="J24:J25"/>
    <mergeCell ref="U13:U14"/>
    <mergeCell ref="B34:B35"/>
    <mergeCell ref="G24:G25"/>
    <mergeCell ref="X18:X19"/>
    <mergeCell ref="I24:I25"/>
    <mergeCell ref="J18:J19"/>
    <mergeCell ref="J13:J14"/>
    <mergeCell ref="X34:X35"/>
    <mergeCell ref="U7:U8"/>
    <mergeCell ref="J27:J28"/>
    <mergeCell ref="W1:W2"/>
    <mergeCell ref="T9:T10"/>
    <mergeCell ref="W7:W8"/>
    <mergeCell ref="V9:V10"/>
    <mergeCell ref="V27:V28"/>
    <mergeCell ref="V24:V25"/>
    <mergeCell ref="X5:X6"/>
    <mergeCell ref="S24:S25"/>
    <mergeCell ref="U24:U25"/>
    <mergeCell ref="W18:W19"/>
    <mergeCell ref="X29:X32"/>
    <mergeCell ref="K34:K35"/>
    <mergeCell ref="U9:U10"/>
    <mergeCell ref="R29:R32"/>
    <mergeCell ref="J29:J32"/>
    <mergeCell ref="K5:K6"/>
    <mergeCell ref="W5:W6"/>
    <mergeCell ref="U34:U35"/>
    <mergeCell ref="R7:R8"/>
    <mergeCell ref="R34:R35"/>
    <mergeCell ref="S27:S28"/>
    <mergeCell ref="W27:W28"/>
    <mergeCell ref="H24:H25"/>
    <mergeCell ref="T27:T28"/>
    <mergeCell ref="K9:K10"/>
    <mergeCell ref="W13:W14"/>
    <mergeCell ref="D34:D35"/>
    <mergeCell ref="F7:F8"/>
    <mergeCell ref="W29:W32"/>
    <mergeCell ref="F34:F35"/>
    <mergeCell ref="D27:D28"/>
    <mergeCell ref="E13:E14"/>
    <mergeCell ref="G13:G14"/>
    <mergeCell ref="J34:J35"/>
    <mergeCell ref="G7:G8"/>
    <mergeCell ref="I7:I8"/>
    <mergeCell ref="E29:E32"/>
    <mergeCell ref="S7:S8"/>
    <mergeCell ref="E27:E28"/>
    <mergeCell ref="D9:D10"/>
    <mergeCell ref="F9:F10"/>
    <mergeCell ref="I34:I35"/>
    <mergeCell ref="G9:G10"/>
    <mergeCell ref="I9:I10"/>
    <mergeCell ref="G27:G28"/>
    <mergeCell ref="V34:V35"/>
    <mergeCell ref="D13:D14"/>
    <mergeCell ref="D7:D8"/>
    <mergeCell ref="B29:B32"/>
    <mergeCell ref="S34:S35"/>
    <mergeCell ref="G18:G19"/>
    <mergeCell ref="G5:G6"/>
    <mergeCell ref="F13:F14"/>
    <mergeCell ref="H13:H14"/>
    <mergeCell ref="D18:D19"/>
    <mergeCell ref="T13:T14"/>
    <mergeCell ref="C27:C28"/>
    <mergeCell ref="T7:T8"/>
    <mergeCell ref="V7:V8"/>
    <mergeCell ref="B27:B28"/>
    <mergeCell ref="C29:C32"/>
    <mergeCell ref="F5:F6"/>
    <mergeCell ref="C34:C35"/>
    <mergeCell ref="B7:B8"/>
    <mergeCell ref="C18:C19"/>
    <mergeCell ref="H29:H32"/>
    <mergeCell ref="F24:F25"/>
    <mergeCell ref="C5:C6"/>
    <mergeCell ref="E5:E6"/>
    <mergeCell ref="H9:H10"/>
    <mergeCell ref="R13:R14"/>
    <mergeCell ref="J9:J10"/>
    <mergeCell ref="A7:A8"/>
    <mergeCell ref="C1:C2"/>
    <mergeCell ref="E1:E2"/>
    <mergeCell ref="M1:Q1"/>
    <mergeCell ref="H34:H35"/>
    <mergeCell ref="F18:F19"/>
    <mergeCell ref="A27:A28"/>
    <mergeCell ref="I18:I19"/>
    <mergeCell ref="K27:K28"/>
    <mergeCell ref="B13:B14"/>
    <mergeCell ref="H1:H2"/>
    <mergeCell ref="J1:J2"/>
    <mergeCell ref="R1:V1"/>
    <mergeCell ref="K1:K2"/>
    <mergeCell ref="A9:A10"/>
    <mergeCell ref="D1:D2"/>
    <mergeCell ref="F1:F2"/>
    <mergeCell ref="B18:B19"/>
    <mergeCell ref="K29:K32"/>
    <mergeCell ref="B9:B10"/>
    <mergeCell ref="A13:A1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election activeCell="F10" sqref="F10"/>
    </sheetView>
  </sheetViews>
  <sheetFormatPr baseColWidth="10" defaultRowHeight="14.4"/>
  <cols>
    <col min="1" max="1" width="32.44140625" customWidth="1"/>
    <col min="2" max="2" width="15.33203125" customWidth="1"/>
    <col min="3" max="3" width="14.33203125" customWidth="1"/>
  </cols>
  <sheetData>
    <row r="1" spans="1:4" ht="30" customHeight="1">
      <c r="A1" s="124" t="s">
        <v>199</v>
      </c>
      <c r="B1" s="124" t="s">
        <v>200</v>
      </c>
      <c r="C1" s="124" t="s">
        <v>201</v>
      </c>
      <c r="D1" s="124" t="s">
        <v>202</v>
      </c>
    </row>
    <row r="2" spans="1:4" ht="15.75" customHeight="1">
      <c r="A2" s="123" t="s">
        <v>203</v>
      </c>
      <c r="B2" s="125">
        <v>18</v>
      </c>
      <c r="C2" s="125">
        <v>9</v>
      </c>
      <c r="D2" s="125">
        <f t="shared" ref="D2:D19" si="0">B2+C2</f>
        <v>27</v>
      </c>
    </row>
    <row r="3" spans="1:4" ht="15.75" customHeight="1">
      <c r="A3" s="123" t="s">
        <v>204</v>
      </c>
      <c r="B3" s="125">
        <v>6</v>
      </c>
      <c r="C3" s="125">
        <v>1</v>
      </c>
      <c r="D3" s="125">
        <f t="shared" si="0"/>
        <v>7</v>
      </c>
    </row>
    <row r="4" spans="1:4" ht="15.75" customHeight="1">
      <c r="A4" s="123" t="s">
        <v>205</v>
      </c>
      <c r="B4" s="125">
        <v>3</v>
      </c>
      <c r="C4" s="125">
        <v>5</v>
      </c>
      <c r="D4" s="125">
        <f t="shared" si="0"/>
        <v>8</v>
      </c>
    </row>
    <row r="5" spans="1:4" ht="15.75" customHeight="1">
      <c r="A5" s="123" t="s">
        <v>206</v>
      </c>
      <c r="B5" s="125">
        <v>2</v>
      </c>
      <c r="C5" s="125">
        <v>0</v>
      </c>
      <c r="D5" s="125">
        <f t="shared" si="0"/>
        <v>2</v>
      </c>
    </row>
    <row r="6" spans="1:4" ht="15.75" customHeight="1">
      <c r="A6" s="123" t="s">
        <v>207</v>
      </c>
      <c r="B6" s="125">
        <v>4</v>
      </c>
      <c r="C6" s="125">
        <v>0</v>
      </c>
      <c r="D6" s="125">
        <f t="shared" si="0"/>
        <v>4</v>
      </c>
    </row>
    <row r="7" spans="1:4" ht="15.75" customHeight="1">
      <c r="A7" s="123" t="s">
        <v>208</v>
      </c>
      <c r="B7" s="125">
        <v>6</v>
      </c>
      <c r="C7" s="125">
        <v>0</v>
      </c>
      <c r="D7" s="125">
        <f t="shared" si="0"/>
        <v>6</v>
      </c>
    </row>
    <row r="8" spans="1:4" ht="15.75" customHeight="1">
      <c r="A8" s="123" t="s">
        <v>209</v>
      </c>
      <c r="B8" s="125">
        <v>2</v>
      </c>
      <c r="C8" s="125">
        <v>3</v>
      </c>
      <c r="D8" s="125">
        <f t="shared" si="0"/>
        <v>5</v>
      </c>
    </row>
    <row r="9" spans="1:4" ht="15.75" customHeight="1">
      <c r="A9" s="123" t="s">
        <v>210</v>
      </c>
      <c r="B9" s="125">
        <v>4</v>
      </c>
      <c r="C9" s="125">
        <v>6</v>
      </c>
      <c r="D9" s="125">
        <f t="shared" si="0"/>
        <v>10</v>
      </c>
    </row>
    <row r="10" spans="1:4" ht="15.75" customHeight="1">
      <c r="A10" s="123" t="s">
        <v>211</v>
      </c>
      <c r="B10" s="125">
        <v>0</v>
      </c>
      <c r="C10" s="125">
        <v>3</v>
      </c>
      <c r="D10" s="125">
        <f t="shared" si="0"/>
        <v>3</v>
      </c>
    </row>
    <row r="11" spans="1:4" ht="15.75" customHeight="1">
      <c r="A11" s="123" t="s">
        <v>212</v>
      </c>
      <c r="B11" s="125">
        <v>2</v>
      </c>
      <c r="C11" s="125">
        <v>0</v>
      </c>
      <c r="D11" s="125">
        <f t="shared" si="0"/>
        <v>2</v>
      </c>
    </row>
    <row r="12" spans="1:4" ht="15.75" customHeight="1">
      <c r="A12" s="123" t="s">
        <v>213</v>
      </c>
      <c r="B12" s="125">
        <v>2</v>
      </c>
      <c r="C12" s="125">
        <v>0</v>
      </c>
      <c r="D12" s="125">
        <f t="shared" si="0"/>
        <v>2</v>
      </c>
    </row>
    <row r="13" spans="1:4" ht="15.75" customHeight="1">
      <c r="A13" s="123" t="s">
        <v>214</v>
      </c>
      <c r="B13" s="125">
        <v>8</v>
      </c>
      <c r="C13" s="125">
        <v>0</v>
      </c>
      <c r="D13" s="125">
        <f t="shared" si="0"/>
        <v>8</v>
      </c>
    </row>
    <row r="14" spans="1:4" ht="15.75" customHeight="1">
      <c r="A14" s="123" t="s">
        <v>215</v>
      </c>
      <c r="B14" s="125">
        <v>1</v>
      </c>
      <c r="C14" s="125">
        <v>0</v>
      </c>
      <c r="D14" s="125">
        <f t="shared" si="0"/>
        <v>1</v>
      </c>
    </row>
    <row r="15" spans="1:4" ht="15.75" customHeight="1">
      <c r="A15" s="123" t="s">
        <v>216</v>
      </c>
      <c r="B15" s="125">
        <v>6</v>
      </c>
      <c r="C15" s="125">
        <v>2</v>
      </c>
      <c r="D15" s="125">
        <f t="shared" si="0"/>
        <v>8</v>
      </c>
    </row>
    <row r="16" spans="1:4" ht="15.75" customHeight="1">
      <c r="A16" s="123" t="s">
        <v>217</v>
      </c>
      <c r="B16" s="125">
        <v>5</v>
      </c>
      <c r="C16" s="125">
        <v>2</v>
      </c>
      <c r="D16" s="125">
        <f t="shared" si="0"/>
        <v>7</v>
      </c>
    </row>
    <row r="17" spans="1:4" ht="15.75" customHeight="1">
      <c r="A17" s="123" t="s">
        <v>218</v>
      </c>
      <c r="B17" s="125">
        <v>9</v>
      </c>
      <c r="C17" s="125">
        <v>1</v>
      </c>
      <c r="D17" s="125">
        <f t="shared" si="0"/>
        <v>10</v>
      </c>
    </row>
    <row r="18" spans="1:4" ht="15.75" customHeight="1">
      <c r="A18" s="123" t="s">
        <v>219</v>
      </c>
      <c r="B18" s="125">
        <v>1</v>
      </c>
      <c r="C18" s="125">
        <v>0</v>
      </c>
      <c r="D18" s="125">
        <f t="shared" si="0"/>
        <v>1</v>
      </c>
    </row>
    <row r="19" spans="1:4" ht="15.75" customHeight="1">
      <c r="A19" s="123" t="s">
        <v>220</v>
      </c>
      <c r="B19" s="125">
        <v>12</v>
      </c>
      <c r="C19" s="125">
        <v>0</v>
      </c>
      <c r="D19" s="125">
        <f t="shared" si="0"/>
        <v>12</v>
      </c>
    </row>
    <row r="20" spans="1:4" ht="15.75" customHeight="1">
      <c r="A20" s="123"/>
      <c r="B20" s="125">
        <f>SUM(B2:B19)</f>
        <v>91</v>
      </c>
      <c r="C20" s="125">
        <f>SUM(C2:C19)</f>
        <v>32</v>
      </c>
      <c r="D20" s="125">
        <f>SUM(D2:D19)</f>
        <v>123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2"/>
  <sheetViews>
    <sheetView topLeftCell="E6" zoomScale="85" zoomScaleNormal="85" workbookViewId="0">
      <selection activeCell="R1" sqref="R1:V1"/>
    </sheetView>
  </sheetViews>
  <sheetFormatPr baseColWidth="10" defaultRowHeight="14.4"/>
  <cols>
    <col min="3" max="3" width="40" customWidth="1"/>
    <col min="5" max="5" width="40" customWidth="1"/>
    <col min="7" max="7" width="40" customWidth="1"/>
    <col min="8" max="8" width="26.5546875" customWidth="1"/>
    <col min="9" max="9" width="45.6640625" customWidth="1"/>
    <col min="11" max="12" width="27.5546875" customWidth="1"/>
    <col min="13" max="22" width="11.44140625" style="1" customWidth="1"/>
    <col min="23" max="23" width="13.6640625" customWidth="1"/>
    <col min="24" max="24" width="29" customWidth="1"/>
  </cols>
  <sheetData>
    <row r="1" spans="1:24" s="31" customFormat="1" ht="18.75" customHeight="1">
      <c r="A1" s="150" t="s">
        <v>0</v>
      </c>
      <c r="B1" s="150" t="s">
        <v>1</v>
      </c>
      <c r="C1" s="150" t="s">
        <v>2</v>
      </c>
      <c r="D1" s="150" t="s">
        <v>3</v>
      </c>
      <c r="E1" s="150" t="s">
        <v>4</v>
      </c>
      <c r="F1" s="150" t="s">
        <v>5</v>
      </c>
      <c r="G1" s="150" t="s">
        <v>6</v>
      </c>
      <c r="H1" s="187" t="s">
        <v>7</v>
      </c>
      <c r="I1" s="155" t="s">
        <v>8</v>
      </c>
      <c r="J1" s="150" t="s">
        <v>9</v>
      </c>
      <c r="K1" s="148" t="s">
        <v>10</v>
      </c>
      <c r="L1" s="148" t="s">
        <v>11</v>
      </c>
      <c r="M1" s="145" t="s">
        <v>12</v>
      </c>
      <c r="N1" s="146"/>
      <c r="O1" s="146"/>
      <c r="P1" s="146"/>
      <c r="Q1" s="147"/>
      <c r="R1" s="133" t="s">
        <v>13</v>
      </c>
      <c r="S1" s="134"/>
      <c r="T1" s="134"/>
      <c r="U1" s="134"/>
      <c r="V1" s="135"/>
      <c r="W1" s="148" t="s">
        <v>14</v>
      </c>
      <c r="X1" s="154" t="s">
        <v>15</v>
      </c>
    </row>
    <row r="2" spans="1:24" s="31" customFormat="1"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20" customHeight="1">
      <c r="A3" s="44">
        <v>1</v>
      </c>
      <c r="B3" s="45" t="s">
        <v>221</v>
      </c>
      <c r="C3" s="46" t="s">
        <v>222</v>
      </c>
      <c r="D3" s="47" t="s">
        <v>223</v>
      </c>
      <c r="E3" s="46" t="s">
        <v>224</v>
      </c>
      <c r="F3" s="44">
        <v>6</v>
      </c>
      <c r="G3" s="47" t="s">
        <v>225</v>
      </c>
      <c r="H3" s="116" t="s">
        <v>226</v>
      </c>
      <c r="I3" s="17" t="s">
        <v>227</v>
      </c>
      <c r="J3" s="44" t="s">
        <v>24</v>
      </c>
      <c r="K3" s="47" t="s">
        <v>25</v>
      </c>
      <c r="L3" s="47" t="s">
        <v>228</v>
      </c>
      <c r="M3" s="25"/>
      <c r="N3" s="25">
        <v>3</v>
      </c>
      <c r="O3" s="25">
        <v>4</v>
      </c>
      <c r="P3" s="25">
        <v>5</v>
      </c>
      <c r="Q3" s="25">
        <v>5</v>
      </c>
      <c r="R3" s="52" t="str">
        <f t="shared" ref="R3:V8" si="0">IF(M3="","",M3)</f>
        <v/>
      </c>
      <c r="S3" s="52">
        <f t="shared" si="0"/>
        <v>3</v>
      </c>
      <c r="T3" s="52">
        <f t="shared" si="0"/>
        <v>4</v>
      </c>
      <c r="U3" s="52">
        <f t="shared" si="0"/>
        <v>5</v>
      </c>
      <c r="V3" s="52">
        <f t="shared" si="0"/>
        <v>5</v>
      </c>
      <c r="W3" s="44" t="s">
        <v>27</v>
      </c>
      <c r="X3" s="26" t="s">
        <v>229</v>
      </c>
    </row>
    <row r="4" spans="1:24" ht="120" customHeight="1">
      <c r="A4" s="44">
        <v>2</v>
      </c>
      <c r="B4" s="45" t="s">
        <v>221</v>
      </c>
      <c r="C4" s="46" t="s">
        <v>222</v>
      </c>
      <c r="D4" s="47" t="s">
        <v>223</v>
      </c>
      <c r="E4" s="46" t="s">
        <v>224</v>
      </c>
      <c r="F4" s="44">
        <v>16</v>
      </c>
      <c r="G4" s="47" t="s">
        <v>230</v>
      </c>
      <c r="H4" s="117" t="s">
        <v>231</v>
      </c>
      <c r="I4" s="17" t="s">
        <v>232</v>
      </c>
      <c r="J4" s="44" t="s">
        <v>24</v>
      </c>
      <c r="K4" s="47" t="s">
        <v>25</v>
      </c>
      <c r="L4" s="46" t="s">
        <v>233</v>
      </c>
      <c r="M4" s="25"/>
      <c r="N4" s="25">
        <v>40</v>
      </c>
      <c r="O4" s="25">
        <v>60</v>
      </c>
      <c r="P4" s="25">
        <v>80</v>
      </c>
      <c r="Q4" s="25">
        <v>80</v>
      </c>
      <c r="R4" s="52" t="str">
        <f t="shared" si="0"/>
        <v/>
      </c>
      <c r="S4" s="52">
        <f t="shared" si="0"/>
        <v>40</v>
      </c>
      <c r="T4" s="52">
        <f t="shared" si="0"/>
        <v>60</v>
      </c>
      <c r="U4" s="52">
        <f t="shared" si="0"/>
        <v>80</v>
      </c>
      <c r="V4" s="52">
        <f t="shared" si="0"/>
        <v>80</v>
      </c>
      <c r="W4" s="44" t="s">
        <v>27</v>
      </c>
      <c r="X4" s="26" t="s">
        <v>229</v>
      </c>
    </row>
    <row r="5" spans="1:24" ht="120" customHeight="1">
      <c r="A5" s="44">
        <v>3</v>
      </c>
      <c r="B5" s="45" t="s">
        <v>221</v>
      </c>
      <c r="C5" s="46" t="s">
        <v>222</v>
      </c>
      <c r="D5" s="47" t="s">
        <v>234</v>
      </c>
      <c r="E5" s="46" t="s">
        <v>235</v>
      </c>
      <c r="F5" s="44">
        <v>12</v>
      </c>
      <c r="G5" s="47" t="s">
        <v>236</v>
      </c>
      <c r="H5" s="116" t="s">
        <v>237</v>
      </c>
      <c r="I5" s="17" t="s">
        <v>238</v>
      </c>
      <c r="J5" s="44" t="s">
        <v>24</v>
      </c>
      <c r="K5" s="47" t="s">
        <v>25</v>
      </c>
      <c r="L5" s="47" t="s">
        <v>239</v>
      </c>
      <c r="M5" s="25"/>
      <c r="N5" s="25">
        <v>1</v>
      </c>
      <c r="O5" s="25">
        <v>1</v>
      </c>
      <c r="P5" s="25">
        <v>1</v>
      </c>
      <c r="Q5" s="25">
        <v>1</v>
      </c>
      <c r="R5" s="52" t="str">
        <f t="shared" si="0"/>
        <v/>
      </c>
      <c r="S5" s="52">
        <f t="shared" si="0"/>
        <v>1</v>
      </c>
      <c r="T5" s="52">
        <f t="shared" si="0"/>
        <v>1</v>
      </c>
      <c r="U5" s="52">
        <f t="shared" si="0"/>
        <v>1</v>
      </c>
      <c r="V5" s="52">
        <f t="shared" si="0"/>
        <v>1</v>
      </c>
      <c r="W5" s="44" t="s">
        <v>27</v>
      </c>
      <c r="X5" s="26" t="s">
        <v>229</v>
      </c>
    </row>
    <row r="6" spans="1:24" ht="120" customHeight="1">
      <c r="A6" s="44">
        <v>4</v>
      </c>
      <c r="B6" s="45" t="s">
        <v>221</v>
      </c>
      <c r="C6" s="46" t="s">
        <v>222</v>
      </c>
      <c r="D6" s="47" t="s">
        <v>234</v>
      </c>
      <c r="E6" s="46" t="s">
        <v>235</v>
      </c>
      <c r="F6" s="44">
        <v>15</v>
      </c>
      <c r="G6" s="47" t="s">
        <v>240</v>
      </c>
      <c r="H6" s="116" t="s">
        <v>241</v>
      </c>
      <c r="I6" s="17" t="s">
        <v>242</v>
      </c>
      <c r="J6" s="44" t="s">
        <v>24</v>
      </c>
      <c r="K6" s="47" t="s">
        <v>25</v>
      </c>
      <c r="L6" s="47" t="s">
        <v>243</v>
      </c>
      <c r="M6" s="25"/>
      <c r="N6" s="25">
        <v>1</v>
      </c>
      <c r="O6" s="25">
        <v>1</v>
      </c>
      <c r="P6" s="25">
        <v>1</v>
      </c>
      <c r="Q6" s="25">
        <v>1</v>
      </c>
      <c r="R6" s="52" t="str">
        <f t="shared" si="0"/>
        <v/>
      </c>
      <c r="S6" s="52">
        <f t="shared" si="0"/>
        <v>1</v>
      </c>
      <c r="T6" s="52">
        <f t="shared" si="0"/>
        <v>1</v>
      </c>
      <c r="U6" s="52">
        <f t="shared" si="0"/>
        <v>1</v>
      </c>
      <c r="V6" s="52">
        <f t="shared" si="0"/>
        <v>1</v>
      </c>
      <c r="W6" s="44" t="s">
        <v>27</v>
      </c>
      <c r="X6" s="26" t="s">
        <v>229</v>
      </c>
    </row>
    <row r="7" spans="1:24" ht="120" customHeight="1">
      <c r="A7" s="44">
        <v>5</v>
      </c>
      <c r="B7" s="45" t="s">
        <v>221</v>
      </c>
      <c r="C7" s="46" t="s">
        <v>222</v>
      </c>
      <c r="D7" s="47" t="s">
        <v>234</v>
      </c>
      <c r="E7" s="46" t="s">
        <v>235</v>
      </c>
      <c r="F7" s="44">
        <v>18</v>
      </c>
      <c r="G7" s="47" t="s">
        <v>244</v>
      </c>
      <c r="H7" s="116" t="s">
        <v>245</v>
      </c>
      <c r="I7" s="17" t="s">
        <v>246</v>
      </c>
      <c r="J7" s="44" t="s">
        <v>24</v>
      </c>
      <c r="K7" s="47" t="s">
        <v>25</v>
      </c>
      <c r="L7" s="47" t="s">
        <v>247</v>
      </c>
      <c r="M7" s="25"/>
      <c r="N7" s="25">
        <v>0</v>
      </c>
      <c r="O7" s="25">
        <v>0</v>
      </c>
      <c r="P7" s="25">
        <v>1</v>
      </c>
      <c r="Q7" s="25">
        <v>0</v>
      </c>
      <c r="R7" s="52" t="str">
        <f t="shared" si="0"/>
        <v/>
      </c>
      <c r="S7" s="52">
        <f t="shared" si="0"/>
        <v>0</v>
      </c>
      <c r="T7" s="52">
        <f t="shared" si="0"/>
        <v>0</v>
      </c>
      <c r="U7" s="52">
        <f t="shared" si="0"/>
        <v>1</v>
      </c>
      <c r="V7" s="52">
        <f t="shared" si="0"/>
        <v>0</v>
      </c>
      <c r="W7" s="44" t="s">
        <v>27</v>
      </c>
      <c r="X7" s="26" t="s">
        <v>229</v>
      </c>
    </row>
    <row r="8" spans="1:24" ht="120" customHeight="1">
      <c r="A8" s="44">
        <v>6</v>
      </c>
      <c r="B8" s="45" t="s">
        <v>221</v>
      </c>
      <c r="C8" s="46" t="s">
        <v>222</v>
      </c>
      <c r="D8" s="47" t="s">
        <v>234</v>
      </c>
      <c r="E8" s="46" t="s">
        <v>235</v>
      </c>
      <c r="F8" s="44">
        <v>19</v>
      </c>
      <c r="G8" s="47" t="s">
        <v>248</v>
      </c>
      <c r="H8" s="116" t="s">
        <v>249</v>
      </c>
      <c r="I8" s="17" t="s">
        <v>250</v>
      </c>
      <c r="J8" s="44" t="s">
        <v>24</v>
      </c>
      <c r="K8" s="47" t="s">
        <v>25</v>
      </c>
      <c r="L8" s="47" t="s">
        <v>251</v>
      </c>
      <c r="M8" s="25"/>
      <c r="N8" s="25">
        <v>11</v>
      </c>
      <c r="O8" s="25">
        <v>17</v>
      </c>
      <c r="P8" s="25">
        <v>22</v>
      </c>
      <c r="Q8" s="25">
        <v>22</v>
      </c>
      <c r="R8" s="52" t="str">
        <f t="shared" si="0"/>
        <v/>
      </c>
      <c r="S8" s="52">
        <f t="shared" si="0"/>
        <v>11</v>
      </c>
      <c r="T8" s="52">
        <f t="shared" si="0"/>
        <v>17</v>
      </c>
      <c r="U8" s="52">
        <f t="shared" si="0"/>
        <v>22</v>
      </c>
      <c r="V8" s="52">
        <f t="shared" si="0"/>
        <v>22</v>
      </c>
      <c r="W8" s="44" t="s">
        <v>27</v>
      </c>
      <c r="X8" s="26" t="s">
        <v>229</v>
      </c>
    </row>
    <row r="9" spans="1:24" ht="120" customHeight="1">
      <c r="A9" s="140">
        <v>7</v>
      </c>
      <c r="B9" s="140" t="s">
        <v>221</v>
      </c>
      <c r="C9" s="186" t="s">
        <v>222</v>
      </c>
      <c r="D9" s="149" t="s">
        <v>234</v>
      </c>
      <c r="E9" s="186" t="s">
        <v>235</v>
      </c>
      <c r="F9" s="140">
        <v>20</v>
      </c>
      <c r="G9" s="149" t="s">
        <v>252</v>
      </c>
      <c r="H9" s="142" t="s">
        <v>253</v>
      </c>
      <c r="I9" s="142" t="s">
        <v>254</v>
      </c>
      <c r="J9" s="152" t="s">
        <v>49</v>
      </c>
      <c r="K9" s="149" t="s">
        <v>255</v>
      </c>
      <c r="L9" s="47" t="s">
        <v>256</v>
      </c>
      <c r="M9" s="25"/>
      <c r="N9" s="25">
        <v>5</v>
      </c>
      <c r="O9" s="25">
        <v>6</v>
      </c>
      <c r="P9" s="25">
        <v>6</v>
      </c>
      <c r="Q9" s="25">
        <v>6</v>
      </c>
      <c r="R9" s="185" t="str">
        <f>IF(M10,M9/M10*100,"")</f>
        <v/>
      </c>
      <c r="S9" s="185">
        <f>IF(N10,N9/N10*100,"")</f>
        <v>15.151515151515152</v>
      </c>
      <c r="T9" s="185">
        <f>IF(O10,O9/O10*100,"")</f>
        <v>18.181818181818183</v>
      </c>
      <c r="U9" s="185">
        <f>IF(P10,P9/P10*100,"")</f>
        <v>18.181818181818183</v>
      </c>
      <c r="V9" s="185">
        <f>IF(Q10,Q9/Q10*100,"")</f>
        <v>18.181818181818183</v>
      </c>
      <c r="W9" s="140" t="s">
        <v>27</v>
      </c>
      <c r="X9" s="138" t="s">
        <v>229</v>
      </c>
    </row>
    <row r="10" spans="1:24" ht="120" customHeight="1">
      <c r="A10" s="137"/>
      <c r="B10" s="137"/>
      <c r="C10" s="137"/>
      <c r="D10" s="137"/>
      <c r="E10" s="137"/>
      <c r="F10" s="137"/>
      <c r="G10" s="137"/>
      <c r="H10" s="139"/>
      <c r="I10" s="139"/>
      <c r="J10" s="137"/>
      <c r="K10" s="137"/>
      <c r="L10" s="47" t="s">
        <v>257</v>
      </c>
      <c r="M10" s="25"/>
      <c r="N10" s="25">
        <v>33</v>
      </c>
      <c r="O10" s="25">
        <v>33</v>
      </c>
      <c r="P10" s="25">
        <v>33</v>
      </c>
      <c r="Q10" s="112">
        <v>33</v>
      </c>
      <c r="R10" s="137"/>
      <c r="S10" s="137"/>
      <c r="T10" s="137"/>
      <c r="U10" s="137"/>
      <c r="V10" s="137"/>
      <c r="W10" s="137"/>
      <c r="X10" s="139"/>
    </row>
    <row r="32" spans="5:5">
      <c r="E32" s="27"/>
    </row>
  </sheetData>
  <sheetProtection algorithmName="SHA-512" hashValue="OqnyWEeXAE2UcYwOQ9a5HHo1SxcNjWvJKJe9QxJdtVf5LuKx5ZnadVz+x9ZhhyIAyZwzEyUaaPQ9FVdAyTqfQQ==" saltValue="2G+Aa2LwoGyg9izWB6MxUQ==" spinCount="100000" sheet="1" formatCells="0" formatColumns="0" formatRows="0"/>
  <mergeCells count="34">
    <mergeCell ref="A9:A10"/>
    <mergeCell ref="U9:U10"/>
    <mergeCell ref="D1:D2"/>
    <mergeCell ref="F1:F2"/>
    <mergeCell ref="H1:H2"/>
    <mergeCell ref="J1:J2"/>
    <mergeCell ref="A1:A2"/>
    <mergeCell ref="B1:B2"/>
    <mergeCell ref="L1:L2"/>
    <mergeCell ref="B9:B10"/>
    <mergeCell ref="X1:X2"/>
    <mergeCell ref="D9:D10"/>
    <mergeCell ref="W9:W10"/>
    <mergeCell ref="F9:F10"/>
    <mergeCell ref="X9:X10"/>
    <mergeCell ref="G1:G2"/>
    <mergeCell ref="I1:I2"/>
    <mergeCell ref="R9:R10"/>
    <mergeCell ref="G9:G10"/>
    <mergeCell ref="I9:I10"/>
    <mergeCell ref="K9:K10"/>
    <mergeCell ref="W1:W2"/>
    <mergeCell ref="T9:T10"/>
    <mergeCell ref="C9:C10"/>
    <mergeCell ref="V9:V10"/>
    <mergeCell ref="E9:E10"/>
    <mergeCell ref="S9:S10"/>
    <mergeCell ref="R1:V1"/>
    <mergeCell ref="H9:H10"/>
    <mergeCell ref="J9:J10"/>
    <mergeCell ref="C1:C2"/>
    <mergeCell ref="E1:E2"/>
    <mergeCell ref="K1:K2"/>
    <mergeCell ref="M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38"/>
  <sheetViews>
    <sheetView topLeftCell="E1" zoomScale="85" zoomScaleNormal="85" workbookViewId="0">
      <selection activeCell="Q3" sqref="Q3"/>
    </sheetView>
  </sheetViews>
  <sheetFormatPr baseColWidth="10" defaultRowHeight="14.4"/>
  <cols>
    <col min="1" max="1" width="11.5546875" style="1" customWidth="1"/>
    <col min="3" max="3" width="38.6640625" style="22" customWidth="1"/>
    <col min="5" max="5" width="28.88671875" style="22" customWidth="1"/>
    <col min="7" max="7" width="28.88671875" style="22" customWidth="1"/>
    <col min="8" max="8" width="11.44140625" customWidth="1"/>
    <col min="9" max="9" width="45.6640625" customWidth="1"/>
    <col min="11" max="11" width="34.109375" style="22" customWidth="1"/>
    <col min="12" max="12" width="28.88671875" style="31" customWidth="1"/>
    <col min="13" max="22" width="11.44140625" style="1" customWidth="1"/>
    <col min="23" max="23" width="13.44140625" customWidth="1"/>
    <col min="24" max="24" width="33.6640625" customWidth="1"/>
  </cols>
  <sheetData>
    <row r="1" spans="1:32" s="1" customFormat="1" ht="18.75" customHeight="1">
      <c r="A1" s="150" t="s">
        <v>0</v>
      </c>
      <c r="B1" s="150" t="s">
        <v>1</v>
      </c>
      <c r="C1" s="150" t="s">
        <v>2</v>
      </c>
      <c r="D1" s="150" t="s">
        <v>3</v>
      </c>
      <c r="E1" s="150" t="s">
        <v>4</v>
      </c>
      <c r="F1" s="150" t="s">
        <v>5</v>
      </c>
      <c r="G1" s="150" t="s">
        <v>6</v>
      </c>
      <c r="H1" s="188" t="s">
        <v>7</v>
      </c>
      <c r="I1" s="155" t="s">
        <v>8</v>
      </c>
      <c r="J1" s="150" t="s">
        <v>9</v>
      </c>
      <c r="K1" s="148" t="s">
        <v>10</v>
      </c>
      <c r="L1" s="148" t="s">
        <v>11</v>
      </c>
      <c r="M1" s="145" t="s">
        <v>12</v>
      </c>
      <c r="N1" s="146"/>
      <c r="O1" s="146"/>
      <c r="P1" s="146"/>
      <c r="Q1" s="147"/>
      <c r="R1" s="133" t="s">
        <v>13</v>
      </c>
      <c r="S1" s="134"/>
      <c r="T1" s="134"/>
      <c r="U1" s="134"/>
      <c r="V1" s="135"/>
      <c r="W1" s="148" t="s">
        <v>14</v>
      </c>
      <c r="X1" s="190" t="s">
        <v>15</v>
      </c>
    </row>
    <row r="2" spans="1:32" s="1" customFormat="1"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32" ht="165" customHeight="1">
      <c r="A3" s="44">
        <v>1</v>
      </c>
      <c r="B3" s="45" t="s">
        <v>258</v>
      </c>
      <c r="C3" s="48" t="s">
        <v>259</v>
      </c>
      <c r="D3" s="47" t="s">
        <v>260</v>
      </c>
      <c r="E3" s="48" t="s">
        <v>261</v>
      </c>
      <c r="F3" s="44">
        <v>19</v>
      </c>
      <c r="G3" s="51" t="s">
        <v>262</v>
      </c>
      <c r="H3" s="115" t="s">
        <v>263</v>
      </c>
      <c r="I3" s="16" t="s">
        <v>264</v>
      </c>
      <c r="J3" s="44" t="s">
        <v>24</v>
      </c>
      <c r="K3" s="47" t="s">
        <v>25</v>
      </c>
      <c r="L3" s="47" t="s">
        <v>265</v>
      </c>
      <c r="M3" s="25">
        <v>3</v>
      </c>
      <c r="N3" s="25">
        <v>3</v>
      </c>
      <c r="O3" s="25">
        <v>3</v>
      </c>
      <c r="P3" s="25">
        <v>3</v>
      </c>
      <c r="Q3" s="25">
        <v>3</v>
      </c>
      <c r="R3" s="52">
        <f>IF(M3="","",M3)</f>
        <v>3</v>
      </c>
      <c r="S3" s="52">
        <f>IF(N3="","",N3)</f>
        <v>3</v>
      </c>
      <c r="T3" s="52">
        <f>IF(O3="","",O3)</f>
        <v>3</v>
      </c>
      <c r="U3" s="52">
        <f>IF(P3="","",P3)</f>
        <v>3</v>
      </c>
      <c r="V3" s="52">
        <f>IF(Q3="","",Q3)</f>
        <v>3</v>
      </c>
      <c r="W3" s="44" t="s">
        <v>27</v>
      </c>
      <c r="X3" s="26" t="s">
        <v>266</v>
      </c>
    </row>
    <row r="4" spans="1:32" ht="75" customHeight="1">
      <c r="A4" s="140">
        <v>2</v>
      </c>
      <c r="B4" s="140" t="s">
        <v>258</v>
      </c>
      <c r="C4" s="159" t="s">
        <v>259</v>
      </c>
      <c r="D4" s="149" t="s">
        <v>260</v>
      </c>
      <c r="E4" s="159" t="s">
        <v>261</v>
      </c>
      <c r="F4" s="140">
        <v>20</v>
      </c>
      <c r="G4" s="159" t="s">
        <v>267</v>
      </c>
      <c r="H4" s="189" t="s">
        <v>268</v>
      </c>
      <c r="I4" s="158" t="s">
        <v>269</v>
      </c>
      <c r="J4" s="152" t="s">
        <v>49</v>
      </c>
      <c r="K4" s="159" t="s">
        <v>270</v>
      </c>
      <c r="L4" s="47" t="s">
        <v>271</v>
      </c>
      <c r="M4" s="25"/>
      <c r="N4" s="25">
        <v>3</v>
      </c>
      <c r="O4" s="25">
        <v>3</v>
      </c>
      <c r="P4" s="25">
        <v>3</v>
      </c>
      <c r="Q4" s="25">
        <v>3</v>
      </c>
      <c r="R4" s="136" t="str">
        <f>IF(M5,M4/M5*100,"")</f>
        <v/>
      </c>
      <c r="S4" s="136">
        <f>IF(N5,N4/N5*100,"")</f>
        <v>100</v>
      </c>
      <c r="T4" s="136">
        <f>IF(O5,O4/O5*100,"")</f>
        <v>100</v>
      </c>
      <c r="U4" s="136">
        <f>IF(P5,P4/P5*100,"")</f>
        <v>100</v>
      </c>
      <c r="V4" s="136">
        <f>IF(Q5,Q4/Q5*100,"")</f>
        <v>100</v>
      </c>
      <c r="W4" s="140" t="s">
        <v>27</v>
      </c>
      <c r="X4" s="138" t="s">
        <v>266</v>
      </c>
    </row>
    <row r="5" spans="1:32" ht="75" customHeight="1">
      <c r="A5" s="137"/>
      <c r="B5" s="137"/>
      <c r="C5" s="137"/>
      <c r="D5" s="137"/>
      <c r="E5" s="137"/>
      <c r="F5" s="137"/>
      <c r="G5" s="137"/>
      <c r="H5" s="139"/>
      <c r="I5" s="139"/>
      <c r="J5" s="137"/>
      <c r="K5" s="137"/>
      <c r="L5" s="47" t="s">
        <v>272</v>
      </c>
      <c r="M5" s="25"/>
      <c r="N5" s="25">
        <v>3</v>
      </c>
      <c r="O5" s="25">
        <v>3</v>
      </c>
      <c r="P5" s="25">
        <v>3</v>
      </c>
      <c r="Q5" s="25">
        <v>3</v>
      </c>
      <c r="R5" s="137"/>
      <c r="S5" s="137"/>
      <c r="T5" s="137"/>
      <c r="U5" s="137"/>
      <c r="V5" s="137"/>
      <c r="W5" s="137"/>
      <c r="X5" s="139"/>
    </row>
    <row r="6" spans="1:32" ht="75" customHeight="1">
      <c r="A6" s="140">
        <v>3</v>
      </c>
      <c r="B6" s="140" t="s">
        <v>258</v>
      </c>
      <c r="C6" s="159" t="s">
        <v>259</v>
      </c>
      <c r="D6" s="149" t="s">
        <v>260</v>
      </c>
      <c r="E6" s="159" t="s">
        <v>261</v>
      </c>
      <c r="F6" s="140">
        <v>21</v>
      </c>
      <c r="G6" s="159" t="s">
        <v>273</v>
      </c>
      <c r="H6" s="142" t="s">
        <v>274</v>
      </c>
      <c r="I6" s="158" t="s">
        <v>275</v>
      </c>
      <c r="J6" s="152" t="s">
        <v>49</v>
      </c>
      <c r="K6" s="159" t="s">
        <v>276</v>
      </c>
      <c r="L6" s="47" t="s">
        <v>277</v>
      </c>
      <c r="M6" s="25"/>
      <c r="N6" s="25">
        <v>33</v>
      </c>
      <c r="O6" s="25">
        <v>34</v>
      </c>
      <c r="P6" s="25">
        <v>35</v>
      </c>
      <c r="Q6" s="25">
        <v>35</v>
      </c>
      <c r="R6" s="136" t="str">
        <f>IF(M7,M6/M7*100,"")</f>
        <v/>
      </c>
      <c r="S6" s="136">
        <f>IF(N7,N6/N7*100,"")</f>
        <v>47.142857142857139</v>
      </c>
      <c r="T6" s="136">
        <f>IF(O7,O6/O7*100,"")</f>
        <v>48.571428571428569</v>
      </c>
      <c r="U6" s="136">
        <f>IF(P7,P6/P7*100,"")</f>
        <v>49.295774647887328</v>
      </c>
      <c r="V6" s="136">
        <f>IF(Q7,Q6/Q7*100,"")</f>
        <v>49.295774647887328</v>
      </c>
      <c r="W6" s="140" t="s">
        <v>27</v>
      </c>
      <c r="X6" s="138" t="s">
        <v>266</v>
      </c>
    </row>
    <row r="7" spans="1:32" ht="75" customHeight="1">
      <c r="A7" s="137"/>
      <c r="B7" s="137"/>
      <c r="C7" s="137"/>
      <c r="D7" s="137"/>
      <c r="E7" s="137"/>
      <c r="F7" s="137"/>
      <c r="G7" s="137"/>
      <c r="H7" s="139"/>
      <c r="I7" s="139"/>
      <c r="J7" s="137"/>
      <c r="K7" s="137"/>
      <c r="L7" s="98" t="s">
        <v>278</v>
      </c>
      <c r="M7" s="21"/>
      <c r="N7" s="21">
        <v>70</v>
      </c>
      <c r="O7" s="21">
        <v>70</v>
      </c>
      <c r="P7" s="21">
        <v>71</v>
      </c>
      <c r="Q7" s="21">
        <v>71</v>
      </c>
      <c r="R7" s="137"/>
      <c r="S7" s="137"/>
      <c r="T7" s="137"/>
      <c r="U7" s="137"/>
      <c r="V7" s="137"/>
      <c r="W7" s="137"/>
      <c r="X7" s="139"/>
    </row>
    <row r="8" spans="1:32" ht="75" customHeight="1">
      <c r="A8" s="140">
        <v>4</v>
      </c>
      <c r="B8" s="140" t="s">
        <v>258</v>
      </c>
      <c r="C8" s="159" t="s">
        <v>259</v>
      </c>
      <c r="D8" s="149" t="s">
        <v>260</v>
      </c>
      <c r="E8" s="159" t="s">
        <v>261</v>
      </c>
      <c r="F8" s="140">
        <v>22</v>
      </c>
      <c r="G8" s="159" t="s">
        <v>279</v>
      </c>
      <c r="H8" s="142" t="s">
        <v>280</v>
      </c>
      <c r="I8" s="158" t="s">
        <v>281</v>
      </c>
      <c r="J8" s="152" t="s">
        <v>49</v>
      </c>
      <c r="K8" s="159" t="s">
        <v>282</v>
      </c>
      <c r="L8" s="47" t="s">
        <v>283</v>
      </c>
      <c r="M8" s="25"/>
      <c r="N8" s="25">
        <v>33</v>
      </c>
      <c r="O8" s="25">
        <v>34</v>
      </c>
      <c r="P8" s="25">
        <v>35</v>
      </c>
      <c r="Q8" s="25">
        <v>35</v>
      </c>
      <c r="R8" s="136" t="str">
        <f>IF(M9,M8/M9*100,"")</f>
        <v/>
      </c>
      <c r="S8" s="136">
        <f>IF(N9,N8/N9*100,"")</f>
        <v>47.142857142857139</v>
      </c>
      <c r="T8" s="136">
        <f>IF(O9,O8/O9*100,"")</f>
        <v>48.571428571428569</v>
      </c>
      <c r="U8" s="136">
        <f>IF(P9,P8/P9*100,"")</f>
        <v>49.295774647887328</v>
      </c>
      <c r="V8" s="136">
        <f>IF(Q9,Q8/Q9*100,"")</f>
        <v>49.295774647887328</v>
      </c>
      <c r="W8" s="140" t="s">
        <v>27</v>
      </c>
      <c r="X8" s="138" t="s">
        <v>266</v>
      </c>
      <c r="AF8" s="27"/>
    </row>
    <row r="9" spans="1:32" ht="75" customHeight="1">
      <c r="A9" s="137"/>
      <c r="B9" s="137"/>
      <c r="C9" s="137"/>
      <c r="D9" s="137"/>
      <c r="E9" s="137"/>
      <c r="F9" s="137"/>
      <c r="G9" s="137"/>
      <c r="H9" s="139"/>
      <c r="I9" s="139"/>
      <c r="J9" s="137"/>
      <c r="K9" s="137"/>
      <c r="L9" s="99" t="s">
        <v>278</v>
      </c>
      <c r="M9" s="100">
        <f>M7</f>
        <v>0</v>
      </c>
      <c r="N9" s="100">
        <v>70</v>
      </c>
      <c r="O9" s="100">
        <v>70</v>
      </c>
      <c r="P9" s="100">
        <v>71</v>
      </c>
      <c r="Q9" s="100">
        <v>71</v>
      </c>
      <c r="R9" s="137"/>
      <c r="S9" s="137"/>
      <c r="T9" s="137"/>
      <c r="U9" s="137"/>
      <c r="V9" s="137"/>
      <c r="W9" s="137"/>
      <c r="X9" s="139"/>
    </row>
    <row r="10" spans="1:32" ht="158.25" customHeight="1">
      <c r="A10" s="44">
        <v>5</v>
      </c>
      <c r="B10" s="45" t="s">
        <v>258</v>
      </c>
      <c r="C10" s="48" t="s">
        <v>259</v>
      </c>
      <c r="D10" s="47" t="s">
        <v>284</v>
      </c>
      <c r="E10" s="48" t="s">
        <v>285</v>
      </c>
      <c r="F10" s="44">
        <v>3</v>
      </c>
      <c r="G10" s="51" t="s">
        <v>286</v>
      </c>
      <c r="H10" s="115" t="s">
        <v>287</v>
      </c>
      <c r="I10" s="19" t="s">
        <v>288</v>
      </c>
      <c r="J10" s="44" t="s">
        <v>24</v>
      </c>
      <c r="K10" s="47" t="s">
        <v>25</v>
      </c>
      <c r="L10" s="47" t="s">
        <v>289</v>
      </c>
      <c r="M10" s="25"/>
      <c r="N10" s="25">
        <v>2</v>
      </c>
      <c r="O10" s="25">
        <v>3</v>
      </c>
      <c r="P10" s="25">
        <v>3</v>
      </c>
      <c r="Q10" s="25">
        <v>3</v>
      </c>
      <c r="R10" s="52" t="str">
        <f t="shared" ref="R10:V11" si="0">IF(M10="","",M10)</f>
        <v/>
      </c>
      <c r="S10" s="52">
        <f t="shared" si="0"/>
        <v>2</v>
      </c>
      <c r="T10" s="52">
        <f t="shared" si="0"/>
        <v>3</v>
      </c>
      <c r="U10" s="52">
        <f t="shared" si="0"/>
        <v>3</v>
      </c>
      <c r="V10" s="52">
        <f t="shared" si="0"/>
        <v>3</v>
      </c>
      <c r="W10" s="44" t="s">
        <v>27</v>
      </c>
      <c r="X10" s="26" t="s">
        <v>266</v>
      </c>
    </row>
    <row r="11" spans="1:32" ht="165" customHeight="1">
      <c r="A11" s="44">
        <v>6</v>
      </c>
      <c r="B11" s="45" t="s">
        <v>258</v>
      </c>
      <c r="C11" s="48" t="s">
        <v>259</v>
      </c>
      <c r="D11" s="47" t="s">
        <v>284</v>
      </c>
      <c r="E11" s="48" t="s">
        <v>285</v>
      </c>
      <c r="F11" s="44">
        <v>7</v>
      </c>
      <c r="G11" s="51" t="s">
        <v>290</v>
      </c>
      <c r="H11" s="115" t="s">
        <v>291</v>
      </c>
      <c r="I11" s="19" t="s">
        <v>292</v>
      </c>
      <c r="J11" s="44" t="s">
        <v>24</v>
      </c>
      <c r="K11" s="47" t="s">
        <v>25</v>
      </c>
      <c r="L11" s="47" t="s">
        <v>293</v>
      </c>
      <c r="M11" s="25"/>
      <c r="N11" s="25">
        <v>1</v>
      </c>
      <c r="O11" s="25">
        <v>1</v>
      </c>
      <c r="P11" s="25">
        <v>1</v>
      </c>
      <c r="Q11" s="25">
        <v>1</v>
      </c>
      <c r="R11" s="52" t="str">
        <f t="shared" si="0"/>
        <v/>
      </c>
      <c r="S11" s="52">
        <f t="shared" si="0"/>
        <v>1</v>
      </c>
      <c r="T11" s="52">
        <f t="shared" si="0"/>
        <v>1</v>
      </c>
      <c r="U11" s="52">
        <f t="shared" si="0"/>
        <v>1</v>
      </c>
      <c r="V11" s="52">
        <f t="shared" si="0"/>
        <v>1</v>
      </c>
      <c r="W11" s="44" t="s">
        <v>27</v>
      </c>
      <c r="X11" s="26" t="s">
        <v>266</v>
      </c>
    </row>
    <row r="12" spans="1:32" ht="75" customHeight="1">
      <c r="A12" s="140">
        <v>7</v>
      </c>
      <c r="B12" s="140" t="s">
        <v>258</v>
      </c>
      <c r="C12" s="159" t="s">
        <v>259</v>
      </c>
      <c r="D12" s="149" t="s">
        <v>284</v>
      </c>
      <c r="E12" s="159" t="s">
        <v>285</v>
      </c>
      <c r="F12" s="140">
        <v>17</v>
      </c>
      <c r="G12" s="159" t="s">
        <v>294</v>
      </c>
      <c r="H12" s="142" t="s">
        <v>295</v>
      </c>
      <c r="I12" s="158" t="s">
        <v>296</v>
      </c>
      <c r="J12" s="152" t="s">
        <v>49</v>
      </c>
      <c r="K12" s="159" t="s">
        <v>297</v>
      </c>
      <c r="L12" s="47" t="s">
        <v>298</v>
      </c>
      <c r="M12" s="25"/>
      <c r="N12" s="25">
        <v>4</v>
      </c>
      <c r="O12" s="25">
        <v>4</v>
      </c>
      <c r="P12" s="25">
        <v>4</v>
      </c>
      <c r="Q12" s="25">
        <v>4</v>
      </c>
      <c r="R12" s="136" t="str">
        <f>IF(M13,M12/M13*100,"")</f>
        <v/>
      </c>
      <c r="S12" s="136">
        <f>IF(N13,N12/N13*100,"")</f>
        <v>20</v>
      </c>
      <c r="T12" s="136">
        <f>IF(O13,O12/O13*100,"")</f>
        <v>20</v>
      </c>
      <c r="U12" s="136">
        <f>IF(P13,P12/P13*100,"")</f>
        <v>20</v>
      </c>
      <c r="V12" s="136">
        <f>IF(Q13,Q12/Q13*100,"")</f>
        <v>20</v>
      </c>
      <c r="W12" s="140" t="s">
        <v>27</v>
      </c>
      <c r="X12" s="138" t="s">
        <v>266</v>
      </c>
    </row>
    <row r="13" spans="1:32" ht="75" customHeight="1">
      <c r="A13" s="137"/>
      <c r="B13" s="137"/>
      <c r="C13" s="137"/>
      <c r="D13" s="137"/>
      <c r="E13" s="137"/>
      <c r="F13" s="137"/>
      <c r="G13" s="137"/>
      <c r="H13" s="139"/>
      <c r="I13" s="139"/>
      <c r="J13" s="137"/>
      <c r="K13" s="137"/>
      <c r="L13" s="46" t="s">
        <v>299</v>
      </c>
      <c r="M13" s="25"/>
      <c r="N13" s="25">
        <v>20</v>
      </c>
      <c r="O13" s="25">
        <v>20</v>
      </c>
      <c r="P13" s="25">
        <v>20</v>
      </c>
      <c r="Q13" s="25">
        <v>20</v>
      </c>
      <c r="R13" s="137"/>
      <c r="S13" s="137"/>
      <c r="T13" s="137"/>
      <c r="U13" s="137"/>
      <c r="V13" s="137"/>
      <c r="W13" s="137"/>
      <c r="X13" s="139"/>
    </row>
    <row r="14" spans="1:32" ht="75" customHeight="1">
      <c r="A14" s="140">
        <v>8</v>
      </c>
      <c r="B14" s="140" t="s">
        <v>258</v>
      </c>
      <c r="C14" s="159" t="s">
        <v>259</v>
      </c>
      <c r="D14" s="149" t="s">
        <v>284</v>
      </c>
      <c r="E14" s="159" t="s">
        <v>285</v>
      </c>
      <c r="F14" s="140">
        <v>18</v>
      </c>
      <c r="G14" s="159" t="s">
        <v>300</v>
      </c>
      <c r="H14" s="189" t="s">
        <v>301</v>
      </c>
      <c r="I14" s="158" t="s">
        <v>302</v>
      </c>
      <c r="J14" s="152" t="s">
        <v>49</v>
      </c>
      <c r="K14" s="159" t="s">
        <v>303</v>
      </c>
      <c r="L14" s="46" t="s">
        <v>304</v>
      </c>
      <c r="M14" s="25"/>
      <c r="N14" s="25">
        <v>20</v>
      </c>
      <c r="O14" s="25">
        <v>21</v>
      </c>
      <c r="P14" s="25">
        <v>21</v>
      </c>
      <c r="Q14" s="25">
        <v>22</v>
      </c>
      <c r="R14" s="136" t="str">
        <f>IF(M15,M14/M15*100,"")</f>
        <v/>
      </c>
      <c r="S14" s="136">
        <f>IF(N15,N14/N15*100,"")</f>
        <v>50</v>
      </c>
      <c r="T14" s="136">
        <f>IF(O15,O14/O15*100,"")</f>
        <v>52.5</v>
      </c>
      <c r="U14" s="136">
        <f>IF(P15,P14/P15*100,"")</f>
        <v>52.5</v>
      </c>
      <c r="V14" s="136">
        <f>IF(Q15,Q14/Q15*100,"")</f>
        <v>53.658536585365859</v>
      </c>
      <c r="W14" s="140" t="s">
        <v>27</v>
      </c>
      <c r="X14" s="138" t="s">
        <v>266</v>
      </c>
    </row>
    <row r="15" spans="1:32" ht="75" customHeight="1">
      <c r="A15" s="137"/>
      <c r="B15" s="137"/>
      <c r="C15" s="137"/>
      <c r="D15" s="137"/>
      <c r="E15" s="137"/>
      <c r="F15" s="137"/>
      <c r="G15" s="137"/>
      <c r="H15" s="139"/>
      <c r="I15" s="139"/>
      <c r="J15" s="137"/>
      <c r="K15" s="137"/>
      <c r="L15" s="46" t="s">
        <v>305</v>
      </c>
      <c r="M15" s="25"/>
      <c r="N15" s="25">
        <v>40</v>
      </c>
      <c r="O15" s="25">
        <v>40</v>
      </c>
      <c r="P15" s="25">
        <v>40</v>
      </c>
      <c r="Q15" s="25">
        <v>41</v>
      </c>
      <c r="R15" s="137"/>
      <c r="S15" s="137"/>
      <c r="T15" s="137"/>
      <c r="U15" s="137"/>
      <c r="V15" s="137"/>
      <c r="W15" s="137"/>
      <c r="X15" s="139"/>
    </row>
    <row r="16" spans="1:32">
      <c r="A16" s="30"/>
      <c r="B16" s="27"/>
      <c r="C16" s="28"/>
      <c r="D16" s="27"/>
      <c r="E16" s="28"/>
      <c r="F16" s="27"/>
      <c r="G16" s="28"/>
      <c r="H16" s="27"/>
      <c r="I16" s="27"/>
      <c r="J16" s="27"/>
      <c r="K16" s="28"/>
      <c r="L16" s="29"/>
      <c r="M16" s="30"/>
      <c r="N16" s="30"/>
      <c r="O16" s="30"/>
      <c r="P16" s="30"/>
      <c r="Q16" s="30"/>
      <c r="R16" s="30"/>
      <c r="S16" s="30"/>
      <c r="T16" s="30"/>
      <c r="U16" s="30"/>
      <c r="V16" s="30"/>
      <c r="W16" s="27"/>
      <c r="X16" s="27"/>
    </row>
    <row r="17" spans="1:24">
      <c r="A17" s="30"/>
      <c r="B17" s="27"/>
      <c r="C17" s="28"/>
      <c r="D17" s="27"/>
      <c r="E17" s="28"/>
      <c r="F17" s="27"/>
      <c r="G17" s="28"/>
      <c r="H17" s="27"/>
      <c r="I17" s="27"/>
      <c r="J17" s="27"/>
      <c r="K17" s="28"/>
      <c r="L17" s="29"/>
      <c r="M17" s="30"/>
      <c r="N17" s="30"/>
      <c r="O17" s="30"/>
      <c r="P17" s="30"/>
      <c r="Q17" s="30"/>
      <c r="R17" s="30"/>
      <c r="S17" s="30"/>
      <c r="T17" s="30"/>
      <c r="U17" s="30"/>
      <c r="V17" s="30"/>
      <c r="W17" s="27"/>
      <c r="X17" s="27"/>
    </row>
    <row r="18" spans="1:24">
      <c r="A18" s="30"/>
      <c r="B18" s="27"/>
      <c r="C18" s="28"/>
      <c r="D18" s="27"/>
      <c r="E18" s="28"/>
      <c r="F18" s="27"/>
      <c r="G18" s="28"/>
      <c r="H18" s="27"/>
      <c r="I18" s="27"/>
      <c r="J18" s="27"/>
      <c r="K18" s="28"/>
      <c r="L18" s="29"/>
      <c r="M18" s="30"/>
      <c r="N18" s="30"/>
      <c r="O18" s="30"/>
      <c r="P18" s="30"/>
      <c r="Q18" s="30"/>
      <c r="R18" s="30"/>
      <c r="S18" s="30"/>
      <c r="T18" s="30"/>
      <c r="U18" s="30"/>
      <c r="V18" s="30"/>
      <c r="W18" s="27"/>
      <c r="X18" s="27"/>
    </row>
    <row r="19" spans="1:24">
      <c r="A19" s="30"/>
      <c r="B19" s="27"/>
      <c r="C19" s="28"/>
      <c r="D19" s="27"/>
      <c r="E19" s="28"/>
      <c r="F19" s="27"/>
      <c r="G19" s="28"/>
      <c r="H19" s="27"/>
      <c r="I19" s="27"/>
      <c r="J19" s="27"/>
      <c r="K19" s="28"/>
      <c r="L19" s="29"/>
      <c r="M19" s="30"/>
      <c r="N19" s="30"/>
      <c r="O19" s="30"/>
      <c r="P19" s="30"/>
      <c r="Q19" s="30"/>
      <c r="R19" s="30"/>
      <c r="S19" s="30"/>
      <c r="T19" s="30"/>
      <c r="U19" s="30"/>
      <c r="V19" s="30"/>
      <c r="W19" s="27"/>
      <c r="X19" s="27"/>
    </row>
    <row r="20" spans="1:24">
      <c r="A20" s="30"/>
      <c r="B20" s="27"/>
      <c r="C20" s="28"/>
      <c r="D20" s="27"/>
      <c r="E20" s="28"/>
      <c r="F20" s="27"/>
      <c r="G20" s="28"/>
      <c r="H20" s="27"/>
      <c r="I20" s="27"/>
      <c r="J20" s="27"/>
      <c r="K20" s="28"/>
      <c r="L20" s="29"/>
      <c r="M20" s="30"/>
      <c r="N20" s="30"/>
      <c r="O20" s="30"/>
      <c r="P20" s="30"/>
      <c r="Q20" s="30"/>
      <c r="R20" s="30"/>
      <c r="S20" s="30"/>
      <c r="T20" s="30"/>
      <c r="U20" s="30"/>
      <c r="V20" s="30"/>
      <c r="W20" s="27"/>
      <c r="X20" s="27"/>
    </row>
    <row r="21" spans="1:24">
      <c r="A21" s="30"/>
      <c r="B21" s="27"/>
      <c r="C21" s="28"/>
      <c r="D21" s="27"/>
      <c r="E21" s="28"/>
      <c r="F21" s="27"/>
      <c r="G21" s="28"/>
      <c r="H21" s="27"/>
      <c r="I21" s="27"/>
      <c r="J21" s="27"/>
      <c r="K21" s="28"/>
      <c r="L21" s="29"/>
      <c r="M21" s="30"/>
      <c r="N21" s="30"/>
      <c r="O21" s="30"/>
      <c r="P21" s="30"/>
      <c r="Q21" s="30"/>
      <c r="R21" s="30"/>
      <c r="S21" s="30"/>
      <c r="T21" s="30"/>
      <c r="U21" s="30"/>
      <c r="V21" s="30"/>
      <c r="W21" s="27"/>
      <c r="X21" s="27"/>
    </row>
    <row r="22" spans="1:24">
      <c r="A22" s="30"/>
      <c r="B22" s="27"/>
      <c r="C22" s="28"/>
      <c r="D22" s="27"/>
      <c r="E22" s="28"/>
      <c r="F22" s="27"/>
      <c r="G22" s="28"/>
      <c r="H22" s="27"/>
      <c r="I22" s="27"/>
      <c r="J22" s="27"/>
      <c r="K22" s="28"/>
      <c r="L22" s="29"/>
      <c r="M22" s="30"/>
      <c r="N22" s="30"/>
      <c r="O22" s="30"/>
      <c r="P22" s="30"/>
      <c r="Q22" s="30"/>
      <c r="R22" s="30"/>
      <c r="S22" s="30"/>
      <c r="T22" s="30"/>
      <c r="U22" s="30"/>
      <c r="V22" s="30"/>
      <c r="W22" s="27"/>
      <c r="X22" s="27"/>
    </row>
    <row r="23" spans="1:24">
      <c r="A23" s="30"/>
      <c r="B23" s="27"/>
      <c r="C23" s="28"/>
      <c r="D23" s="27"/>
      <c r="E23" s="28"/>
      <c r="F23" s="27"/>
      <c r="G23" s="28"/>
      <c r="H23" s="27"/>
      <c r="I23" s="27"/>
      <c r="J23" s="27"/>
      <c r="K23" s="28"/>
      <c r="L23" s="29"/>
      <c r="M23" s="30"/>
      <c r="N23" s="30"/>
      <c r="O23" s="30"/>
      <c r="P23" s="30"/>
      <c r="Q23" s="30"/>
      <c r="R23" s="30"/>
      <c r="S23" s="30"/>
      <c r="T23" s="30"/>
      <c r="U23" s="30"/>
      <c r="V23" s="30"/>
      <c r="W23" s="27"/>
      <c r="X23" s="27"/>
    </row>
    <row r="24" spans="1:24">
      <c r="A24" s="30"/>
      <c r="B24" s="27"/>
      <c r="C24" s="28"/>
      <c r="D24" s="27"/>
      <c r="E24" s="28"/>
      <c r="F24" s="27"/>
      <c r="G24" s="28"/>
      <c r="H24" s="27"/>
      <c r="I24" s="27"/>
      <c r="J24" s="27"/>
      <c r="K24" s="28"/>
      <c r="L24" s="29"/>
      <c r="M24" s="30"/>
      <c r="N24" s="30"/>
      <c r="O24" s="30"/>
      <c r="P24" s="30"/>
      <c r="Q24" s="30"/>
      <c r="R24" s="30"/>
      <c r="S24" s="30"/>
      <c r="T24" s="30"/>
      <c r="U24" s="30"/>
      <c r="V24" s="30"/>
      <c r="W24" s="27"/>
      <c r="X24" s="27"/>
    </row>
    <row r="25" spans="1:24">
      <c r="A25" s="30"/>
      <c r="B25" s="27"/>
      <c r="C25" s="28"/>
      <c r="D25" s="27"/>
      <c r="E25" s="28"/>
      <c r="F25" s="27"/>
      <c r="G25" s="28"/>
      <c r="H25" s="27"/>
      <c r="I25" s="27"/>
      <c r="J25" s="27"/>
      <c r="K25" s="28"/>
      <c r="L25" s="29"/>
      <c r="M25" s="30"/>
      <c r="N25" s="30"/>
      <c r="O25" s="30"/>
      <c r="P25" s="30"/>
      <c r="Q25" s="30"/>
      <c r="R25" s="30"/>
      <c r="S25" s="30"/>
      <c r="T25" s="30"/>
      <c r="U25" s="30"/>
      <c r="V25" s="30"/>
      <c r="W25" s="27"/>
      <c r="X25" s="27"/>
    </row>
    <row r="26" spans="1:24">
      <c r="A26" s="30"/>
      <c r="B26" s="27"/>
      <c r="C26" s="28"/>
      <c r="D26" s="27"/>
      <c r="E26" s="28"/>
      <c r="F26" s="27"/>
      <c r="G26" s="28"/>
      <c r="H26" s="27"/>
      <c r="I26" s="27"/>
      <c r="J26" s="27"/>
      <c r="K26" s="28"/>
      <c r="L26" s="29"/>
      <c r="M26" s="30"/>
      <c r="N26" s="30"/>
      <c r="O26" s="30"/>
      <c r="P26" s="30"/>
      <c r="Q26" s="30"/>
      <c r="R26" s="30"/>
      <c r="S26" s="30"/>
      <c r="T26" s="30"/>
      <c r="U26" s="30"/>
      <c r="V26" s="30"/>
      <c r="W26" s="27"/>
      <c r="X26" s="27"/>
    </row>
    <row r="27" spans="1:24">
      <c r="A27" s="30"/>
      <c r="B27" s="27"/>
      <c r="C27" s="28"/>
      <c r="D27" s="27"/>
      <c r="E27" s="28"/>
      <c r="F27" s="27"/>
      <c r="G27" s="28"/>
      <c r="H27" s="27"/>
      <c r="I27" s="27"/>
      <c r="J27" s="27"/>
      <c r="K27" s="28"/>
      <c r="L27" s="29"/>
      <c r="M27" s="30"/>
      <c r="N27" s="30"/>
      <c r="O27" s="30"/>
      <c r="P27" s="30"/>
      <c r="Q27" s="30"/>
      <c r="R27" s="30"/>
      <c r="S27" s="30"/>
      <c r="T27" s="30"/>
      <c r="U27" s="30"/>
      <c r="V27" s="30"/>
      <c r="W27" s="27"/>
      <c r="X27" s="27"/>
    </row>
    <row r="28" spans="1:24">
      <c r="A28" s="30"/>
      <c r="B28" s="27"/>
      <c r="C28" s="28"/>
      <c r="D28" s="27"/>
      <c r="E28" s="28"/>
      <c r="F28" s="27"/>
      <c r="G28" s="28"/>
      <c r="H28" s="27"/>
      <c r="I28" s="27"/>
      <c r="J28" s="27"/>
      <c r="K28" s="28"/>
      <c r="L28" s="29"/>
      <c r="M28" s="30"/>
      <c r="N28" s="30"/>
      <c r="O28" s="30"/>
      <c r="P28" s="30"/>
      <c r="Q28" s="30"/>
      <c r="R28" s="30"/>
      <c r="S28" s="30"/>
      <c r="T28" s="30"/>
      <c r="U28" s="30"/>
      <c r="V28" s="30"/>
      <c r="W28" s="27"/>
      <c r="X28" s="27"/>
    </row>
    <row r="29" spans="1:24">
      <c r="A29" s="30"/>
      <c r="B29" s="27"/>
      <c r="C29" s="28"/>
      <c r="D29" s="27"/>
      <c r="E29" s="28"/>
      <c r="F29" s="27"/>
      <c r="G29" s="28"/>
      <c r="H29" s="27"/>
      <c r="I29" s="27"/>
      <c r="J29" s="27"/>
      <c r="K29" s="28"/>
      <c r="L29" s="29"/>
      <c r="M29" s="30"/>
      <c r="N29" s="30"/>
      <c r="O29" s="30"/>
      <c r="P29" s="30"/>
      <c r="Q29" s="30"/>
      <c r="R29" s="30"/>
      <c r="S29" s="30"/>
      <c r="T29" s="30"/>
      <c r="U29" s="30"/>
      <c r="V29" s="30"/>
      <c r="W29" s="27"/>
      <c r="X29" s="27"/>
    </row>
    <row r="30" spans="1:24">
      <c r="A30" s="30"/>
      <c r="B30" s="27"/>
      <c r="C30" s="28"/>
      <c r="D30" s="27"/>
      <c r="E30" s="28"/>
      <c r="F30" s="27"/>
      <c r="G30" s="28"/>
      <c r="H30" s="27"/>
      <c r="I30" s="27"/>
      <c r="J30" s="27"/>
      <c r="K30" s="28"/>
      <c r="L30" s="29"/>
      <c r="M30" s="30"/>
      <c r="N30" s="30"/>
      <c r="O30" s="30"/>
      <c r="P30" s="30"/>
      <c r="Q30" s="30"/>
      <c r="R30" s="30"/>
      <c r="S30" s="30"/>
      <c r="T30" s="30"/>
      <c r="U30" s="30"/>
      <c r="V30" s="30"/>
      <c r="W30" s="27"/>
      <c r="X30" s="27"/>
    </row>
    <row r="31" spans="1:24">
      <c r="A31" s="30"/>
      <c r="B31" s="27"/>
      <c r="C31" s="28"/>
      <c r="D31" s="27"/>
      <c r="E31" s="28"/>
      <c r="F31" s="27"/>
      <c r="G31" s="28"/>
      <c r="H31" s="27"/>
      <c r="I31" s="27"/>
      <c r="J31" s="27"/>
      <c r="K31" s="28"/>
      <c r="L31" s="29"/>
      <c r="M31" s="30"/>
      <c r="N31" s="30"/>
      <c r="O31" s="30"/>
      <c r="P31" s="30"/>
      <c r="Q31" s="30"/>
      <c r="R31" s="30"/>
      <c r="S31" s="30"/>
      <c r="T31" s="30"/>
      <c r="U31" s="30"/>
      <c r="V31" s="30"/>
      <c r="W31" s="27"/>
      <c r="X31" s="27"/>
    </row>
    <row r="32" spans="1:24">
      <c r="A32" s="30"/>
      <c r="B32" s="27"/>
      <c r="C32" s="28"/>
      <c r="D32" s="27"/>
      <c r="E32" s="28"/>
      <c r="F32" s="27"/>
      <c r="G32" s="28"/>
      <c r="H32" s="27"/>
      <c r="I32" s="27"/>
      <c r="J32" s="27"/>
      <c r="K32" s="28"/>
      <c r="L32" s="29"/>
      <c r="M32" s="30"/>
      <c r="N32" s="30"/>
      <c r="O32" s="30"/>
      <c r="P32" s="30"/>
      <c r="Q32" s="30"/>
      <c r="R32" s="30"/>
      <c r="S32" s="30"/>
      <c r="T32" s="30"/>
      <c r="U32" s="30"/>
      <c r="V32" s="30"/>
      <c r="W32" s="27"/>
      <c r="X32" s="27"/>
    </row>
    <row r="33" spans="1:24">
      <c r="A33" s="30"/>
      <c r="B33" s="27"/>
      <c r="C33" s="28"/>
      <c r="D33" s="27"/>
      <c r="E33" s="28"/>
      <c r="F33" s="27"/>
      <c r="G33" s="28"/>
      <c r="H33" s="27"/>
      <c r="I33" s="27"/>
      <c r="J33" s="27"/>
      <c r="K33" s="28"/>
      <c r="L33" s="29"/>
      <c r="M33" s="30"/>
      <c r="N33" s="30"/>
      <c r="O33" s="30"/>
      <c r="P33" s="30"/>
      <c r="Q33" s="30"/>
      <c r="R33" s="30"/>
      <c r="S33" s="30"/>
      <c r="T33" s="30"/>
      <c r="U33" s="30"/>
      <c r="V33" s="30"/>
      <c r="W33" s="27"/>
      <c r="X33" s="27"/>
    </row>
    <row r="34" spans="1:24">
      <c r="A34" s="30"/>
      <c r="B34" s="27"/>
      <c r="C34" s="28"/>
      <c r="D34" s="27"/>
      <c r="E34" s="28"/>
      <c r="F34" s="27"/>
      <c r="G34" s="28"/>
      <c r="H34" s="27"/>
      <c r="I34" s="27"/>
      <c r="J34" s="27"/>
      <c r="K34" s="28"/>
      <c r="L34" s="29"/>
      <c r="M34" s="30"/>
      <c r="N34" s="30"/>
      <c r="O34" s="30"/>
      <c r="P34" s="30"/>
      <c r="Q34" s="30"/>
      <c r="R34" s="30"/>
      <c r="S34" s="30"/>
      <c r="T34" s="30"/>
      <c r="U34" s="30"/>
      <c r="V34" s="30"/>
      <c r="W34" s="27"/>
      <c r="X34" s="27"/>
    </row>
    <row r="35" spans="1:24">
      <c r="A35" s="30"/>
      <c r="B35" s="27"/>
      <c r="C35" s="28"/>
      <c r="D35" s="27"/>
      <c r="E35" s="28"/>
      <c r="F35" s="27"/>
      <c r="G35" s="28"/>
      <c r="H35" s="27"/>
      <c r="I35" s="27"/>
      <c r="J35" s="27"/>
      <c r="K35" s="28"/>
      <c r="L35" s="29"/>
      <c r="M35" s="30"/>
      <c r="N35" s="30"/>
      <c r="O35" s="30"/>
      <c r="P35" s="30"/>
      <c r="Q35" s="30"/>
      <c r="R35" s="30"/>
      <c r="S35" s="30"/>
      <c r="T35" s="30"/>
      <c r="U35" s="30"/>
      <c r="V35" s="30"/>
      <c r="W35" s="27"/>
      <c r="X35" s="27"/>
    </row>
    <row r="36" spans="1:24">
      <c r="A36" s="30"/>
      <c r="B36" s="27"/>
      <c r="C36" s="28"/>
      <c r="D36" s="27"/>
      <c r="E36" s="28"/>
      <c r="F36" s="27"/>
      <c r="G36" s="28"/>
      <c r="H36" s="27"/>
      <c r="I36" s="27"/>
      <c r="J36" s="27"/>
      <c r="K36" s="28"/>
      <c r="L36" s="29"/>
      <c r="M36" s="30"/>
      <c r="N36" s="30"/>
      <c r="O36" s="30"/>
      <c r="P36" s="30"/>
      <c r="Q36" s="30"/>
      <c r="R36" s="30"/>
      <c r="S36" s="30"/>
      <c r="T36" s="30"/>
      <c r="U36" s="30"/>
      <c r="V36" s="30"/>
      <c r="W36" s="27"/>
      <c r="X36" s="27"/>
    </row>
    <row r="37" spans="1:24">
      <c r="A37" s="30"/>
      <c r="B37" s="27"/>
      <c r="C37" s="28"/>
      <c r="D37" s="27"/>
      <c r="E37" s="28"/>
      <c r="F37" s="27"/>
      <c r="G37" s="28"/>
      <c r="H37" s="27"/>
      <c r="I37" s="27"/>
      <c r="J37" s="27"/>
      <c r="K37" s="28"/>
      <c r="L37" s="29"/>
      <c r="M37" s="30"/>
      <c r="N37" s="30"/>
      <c r="O37" s="30"/>
      <c r="P37" s="30"/>
      <c r="Q37" s="30"/>
      <c r="R37" s="30"/>
      <c r="S37" s="30"/>
      <c r="T37" s="30"/>
      <c r="U37" s="30"/>
      <c r="V37" s="30"/>
      <c r="W37" s="27"/>
      <c r="X37" s="27"/>
    </row>
    <row r="38" spans="1:24">
      <c r="A38" s="30"/>
      <c r="B38" s="27"/>
      <c r="C38" s="28"/>
      <c r="D38" s="27"/>
      <c r="E38" s="28"/>
      <c r="F38" s="27"/>
      <c r="G38" s="28"/>
      <c r="H38" s="27"/>
      <c r="I38" s="27"/>
      <c r="J38" s="27"/>
      <c r="K38" s="28"/>
      <c r="L38" s="29"/>
      <c r="M38" s="30"/>
      <c r="N38" s="30"/>
      <c r="O38" s="30"/>
      <c r="P38" s="30"/>
      <c r="Q38" s="30"/>
      <c r="R38" s="30"/>
      <c r="S38" s="30"/>
      <c r="T38" s="30"/>
      <c r="U38" s="30"/>
      <c r="V38" s="30"/>
      <c r="W38" s="27"/>
      <c r="X38" s="27"/>
    </row>
    <row r="39" spans="1:24">
      <c r="A39" s="30"/>
      <c r="B39" s="27"/>
      <c r="C39" s="28"/>
      <c r="D39" s="27"/>
      <c r="E39" s="28"/>
      <c r="F39" s="27"/>
      <c r="G39" s="28"/>
      <c r="H39" s="27"/>
      <c r="I39" s="27"/>
      <c r="J39" s="27"/>
      <c r="K39" s="28"/>
      <c r="L39" s="29"/>
      <c r="M39" s="30"/>
      <c r="N39" s="30"/>
      <c r="O39" s="30"/>
      <c r="P39" s="30"/>
      <c r="Q39" s="30"/>
      <c r="R39" s="30"/>
      <c r="S39" s="30"/>
      <c r="T39" s="30"/>
      <c r="U39" s="30"/>
      <c r="V39" s="30"/>
      <c r="W39" s="27"/>
      <c r="X39" s="27"/>
    </row>
    <row r="40" spans="1:24">
      <c r="A40" s="30"/>
      <c r="B40" s="27"/>
      <c r="C40" s="28"/>
      <c r="D40" s="27"/>
      <c r="E40" s="28"/>
      <c r="F40" s="27"/>
      <c r="G40" s="28"/>
      <c r="H40" s="27"/>
      <c r="I40" s="27"/>
      <c r="J40" s="27"/>
      <c r="K40" s="28"/>
      <c r="L40" s="29"/>
      <c r="M40" s="30"/>
      <c r="N40" s="30"/>
      <c r="O40" s="30"/>
      <c r="P40" s="30"/>
      <c r="Q40" s="30"/>
      <c r="R40" s="30"/>
      <c r="S40" s="30"/>
      <c r="T40" s="30"/>
      <c r="U40" s="30"/>
      <c r="V40" s="30"/>
      <c r="W40" s="27"/>
      <c r="X40" s="27"/>
    </row>
    <row r="41" spans="1:24">
      <c r="A41" s="30"/>
      <c r="B41" s="27"/>
      <c r="C41" s="28"/>
      <c r="D41" s="27"/>
      <c r="E41" s="28"/>
      <c r="F41" s="27"/>
      <c r="G41" s="28"/>
      <c r="H41" s="27"/>
      <c r="I41" s="27"/>
      <c r="J41" s="27"/>
      <c r="K41" s="28"/>
      <c r="L41" s="29"/>
      <c r="M41" s="30"/>
      <c r="N41" s="30"/>
      <c r="O41" s="30"/>
      <c r="P41" s="30"/>
      <c r="Q41" s="30"/>
      <c r="R41" s="30"/>
      <c r="S41" s="30"/>
      <c r="T41" s="30"/>
      <c r="U41" s="30"/>
      <c r="V41" s="30"/>
      <c r="W41" s="27"/>
      <c r="X41" s="27"/>
    </row>
    <row r="42" spans="1:24">
      <c r="A42" s="30"/>
      <c r="B42" s="27"/>
      <c r="C42" s="28"/>
      <c r="D42" s="27"/>
      <c r="E42" s="28"/>
      <c r="F42" s="27"/>
      <c r="G42" s="28"/>
      <c r="H42" s="27"/>
      <c r="I42" s="27"/>
      <c r="J42" s="27"/>
      <c r="K42" s="28"/>
      <c r="L42" s="29"/>
      <c r="M42" s="30"/>
      <c r="N42" s="30"/>
      <c r="O42" s="30"/>
      <c r="P42" s="30"/>
      <c r="Q42" s="30"/>
      <c r="R42" s="30"/>
      <c r="S42" s="30"/>
      <c r="T42" s="30"/>
      <c r="U42" s="30"/>
      <c r="V42" s="30"/>
      <c r="W42" s="27"/>
      <c r="X42" s="27"/>
    </row>
    <row r="43" spans="1:24">
      <c r="A43" s="30"/>
      <c r="B43" s="27"/>
      <c r="C43" s="28"/>
      <c r="D43" s="27"/>
      <c r="E43" s="28"/>
      <c r="F43" s="27"/>
      <c r="G43" s="28"/>
      <c r="H43" s="27"/>
      <c r="I43" s="27"/>
      <c r="J43" s="27"/>
      <c r="K43" s="28"/>
      <c r="L43" s="29"/>
      <c r="M43" s="30"/>
      <c r="N43" s="30"/>
      <c r="O43" s="30"/>
      <c r="P43" s="30"/>
      <c r="Q43" s="30"/>
      <c r="R43" s="30"/>
      <c r="S43" s="30"/>
      <c r="T43" s="30"/>
      <c r="U43" s="30"/>
      <c r="V43" s="30"/>
      <c r="W43" s="27"/>
      <c r="X43" s="27"/>
    </row>
    <row r="44" spans="1:24">
      <c r="A44" s="30"/>
      <c r="B44" s="27"/>
      <c r="C44" s="28"/>
      <c r="D44" s="27"/>
      <c r="E44" s="28"/>
      <c r="F44" s="27"/>
      <c r="G44" s="28"/>
      <c r="H44" s="27"/>
      <c r="I44" s="27"/>
      <c r="J44" s="27"/>
      <c r="K44" s="28"/>
      <c r="L44" s="29"/>
      <c r="M44" s="30"/>
      <c r="N44" s="30"/>
      <c r="O44" s="30"/>
      <c r="P44" s="30"/>
      <c r="Q44" s="30"/>
      <c r="R44" s="30"/>
      <c r="S44" s="30"/>
      <c r="T44" s="30"/>
      <c r="U44" s="30"/>
      <c r="V44" s="30"/>
      <c r="W44" s="27"/>
      <c r="X44" s="27"/>
    </row>
    <row r="45" spans="1:24">
      <c r="A45" s="30"/>
      <c r="B45" s="27"/>
      <c r="C45" s="28"/>
      <c r="D45" s="27"/>
      <c r="E45" s="28"/>
      <c r="F45" s="27"/>
      <c r="G45" s="28"/>
      <c r="H45" s="27"/>
      <c r="I45" s="27"/>
      <c r="J45" s="27"/>
      <c r="K45" s="28"/>
      <c r="L45" s="29"/>
      <c r="M45" s="30"/>
      <c r="N45" s="30"/>
      <c r="O45" s="30"/>
      <c r="P45" s="30"/>
      <c r="Q45" s="30"/>
      <c r="R45" s="30"/>
      <c r="S45" s="30"/>
      <c r="T45" s="30"/>
      <c r="U45" s="30"/>
      <c r="V45" s="30"/>
      <c r="W45" s="27"/>
      <c r="X45" s="27"/>
    </row>
    <row r="46" spans="1:24">
      <c r="A46" s="30"/>
      <c r="B46" s="27"/>
      <c r="C46" s="28"/>
      <c r="D46" s="27"/>
      <c r="E46" s="28"/>
      <c r="F46" s="27"/>
      <c r="G46" s="28"/>
      <c r="H46" s="27"/>
      <c r="I46" s="27"/>
      <c r="J46" s="27"/>
      <c r="K46" s="28"/>
      <c r="L46" s="29"/>
      <c r="M46" s="30"/>
      <c r="N46" s="30"/>
      <c r="O46" s="30"/>
      <c r="P46" s="30"/>
      <c r="Q46" s="30"/>
      <c r="R46" s="30"/>
      <c r="S46" s="30"/>
      <c r="T46" s="30"/>
      <c r="U46" s="30"/>
      <c r="V46" s="30"/>
      <c r="W46" s="27"/>
      <c r="X46" s="27"/>
    </row>
    <row r="47" spans="1:24">
      <c r="A47" s="30"/>
      <c r="B47" s="27"/>
      <c r="C47" s="28"/>
      <c r="D47" s="27"/>
      <c r="E47" s="28"/>
      <c r="F47" s="27"/>
      <c r="G47" s="28"/>
      <c r="H47" s="27"/>
      <c r="I47" s="27"/>
      <c r="J47" s="27"/>
      <c r="K47" s="28"/>
      <c r="L47" s="29"/>
      <c r="M47" s="30"/>
      <c r="N47" s="30"/>
      <c r="O47" s="30"/>
      <c r="P47" s="30"/>
      <c r="Q47" s="30"/>
      <c r="R47" s="30"/>
      <c r="S47" s="30"/>
      <c r="T47" s="30"/>
      <c r="U47" s="30"/>
      <c r="V47" s="30"/>
      <c r="W47" s="27"/>
      <c r="X47" s="27"/>
    </row>
    <row r="48" spans="1:24">
      <c r="A48" s="30"/>
      <c r="B48" s="27"/>
      <c r="C48" s="28"/>
      <c r="D48" s="27"/>
      <c r="E48" s="28"/>
      <c r="F48" s="27"/>
      <c r="G48" s="28"/>
      <c r="H48" s="27"/>
      <c r="I48" s="27"/>
      <c r="J48" s="27"/>
      <c r="K48" s="28"/>
      <c r="L48" s="29"/>
      <c r="M48" s="30"/>
      <c r="N48" s="30"/>
      <c r="O48" s="30"/>
      <c r="P48" s="30"/>
      <c r="Q48" s="30"/>
      <c r="R48" s="30"/>
      <c r="S48" s="30"/>
      <c r="T48" s="30"/>
      <c r="U48" s="30"/>
      <c r="V48" s="30"/>
      <c r="W48" s="27"/>
      <c r="X48" s="27"/>
    </row>
    <row r="49" spans="1:24">
      <c r="A49" s="30"/>
      <c r="B49" s="27"/>
      <c r="C49" s="28"/>
      <c r="D49" s="27"/>
      <c r="E49" s="28"/>
      <c r="F49" s="27"/>
      <c r="G49" s="28"/>
      <c r="H49" s="27"/>
      <c r="I49" s="27"/>
      <c r="J49" s="27"/>
      <c r="K49" s="28"/>
      <c r="L49" s="29"/>
      <c r="M49" s="30"/>
      <c r="N49" s="30"/>
      <c r="O49" s="30"/>
      <c r="P49" s="30"/>
      <c r="Q49" s="30"/>
      <c r="R49" s="30"/>
      <c r="S49" s="30"/>
      <c r="T49" s="30"/>
      <c r="U49" s="30"/>
      <c r="V49" s="30"/>
      <c r="W49" s="27"/>
      <c r="X49" s="27"/>
    </row>
    <row r="50" spans="1:24">
      <c r="A50" s="30"/>
      <c r="B50" s="27"/>
      <c r="C50" s="28"/>
      <c r="D50" s="27"/>
      <c r="E50" s="28"/>
      <c r="F50" s="27"/>
      <c r="G50" s="28"/>
      <c r="H50" s="27"/>
      <c r="I50" s="27"/>
      <c r="J50" s="27"/>
      <c r="K50" s="28"/>
      <c r="L50" s="29"/>
      <c r="M50" s="30"/>
      <c r="N50" s="30"/>
      <c r="O50" s="30"/>
      <c r="P50" s="30"/>
      <c r="Q50" s="30"/>
      <c r="R50" s="30"/>
      <c r="S50" s="30"/>
      <c r="T50" s="30"/>
      <c r="U50" s="30"/>
      <c r="V50" s="30"/>
      <c r="W50" s="27"/>
      <c r="X50" s="27"/>
    </row>
    <row r="51" spans="1:24">
      <c r="A51" s="30"/>
      <c r="B51" s="27"/>
      <c r="C51" s="28"/>
      <c r="D51" s="27"/>
      <c r="E51" s="28"/>
      <c r="F51" s="27"/>
      <c r="G51" s="28"/>
      <c r="H51" s="27"/>
      <c r="I51" s="27"/>
      <c r="J51" s="27"/>
      <c r="K51" s="28"/>
      <c r="L51" s="29"/>
      <c r="M51" s="30"/>
      <c r="N51" s="30"/>
      <c r="O51" s="30"/>
      <c r="P51" s="30"/>
      <c r="Q51" s="30"/>
      <c r="R51" s="30"/>
      <c r="S51" s="30"/>
      <c r="T51" s="30"/>
      <c r="U51" s="30"/>
      <c r="V51" s="30"/>
      <c r="W51" s="27"/>
      <c r="X51" s="27"/>
    </row>
    <row r="52" spans="1:24">
      <c r="A52" s="30"/>
      <c r="B52" s="27"/>
      <c r="C52" s="28"/>
      <c r="D52" s="27"/>
      <c r="E52" s="28"/>
      <c r="F52" s="27"/>
      <c r="G52" s="28"/>
      <c r="H52" s="27"/>
      <c r="I52" s="27"/>
      <c r="J52" s="27"/>
      <c r="K52" s="28"/>
      <c r="L52" s="29"/>
      <c r="M52" s="30"/>
      <c r="N52" s="30"/>
      <c r="O52" s="30"/>
      <c r="P52" s="30"/>
      <c r="Q52" s="30"/>
      <c r="R52" s="30"/>
      <c r="S52" s="30"/>
      <c r="T52" s="30"/>
      <c r="U52" s="30"/>
      <c r="V52" s="30"/>
      <c r="W52" s="27"/>
      <c r="X52" s="27"/>
    </row>
    <row r="53" spans="1:24">
      <c r="A53" s="30"/>
      <c r="B53" s="27"/>
      <c r="C53" s="28"/>
      <c r="D53" s="27"/>
      <c r="E53" s="28"/>
      <c r="F53" s="27"/>
      <c r="G53" s="28"/>
      <c r="H53" s="27"/>
      <c r="I53" s="27"/>
      <c r="J53" s="27"/>
      <c r="K53" s="28"/>
      <c r="L53" s="29"/>
      <c r="M53" s="30"/>
      <c r="N53" s="30"/>
      <c r="O53" s="30"/>
      <c r="P53" s="30"/>
      <c r="Q53" s="30"/>
      <c r="R53" s="30"/>
      <c r="S53" s="30"/>
      <c r="T53" s="30"/>
      <c r="U53" s="30"/>
      <c r="V53" s="30"/>
      <c r="W53" s="27"/>
      <c r="X53" s="27"/>
    </row>
    <row r="54" spans="1:24">
      <c r="A54" s="30"/>
      <c r="B54" s="27"/>
      <c r="C54" s="28"/>
      <c r="D54" s="27"/>
      <c r="E54" s="28"/>
      <c r="F54" s="27"/>
      <c r="G54" s="28"/>
      <c r="H54" s="27"/>
      <c r="I54" s="27"/>
      <c r="J54" s="27"/>
      <c r="K54" s="28"/>
      <c r="L54" s="29"/>
      <c r="M54" s="30"/>
      <c r="N54" s="30"/>
      <c r="O54" s="30"/>
      <c r="P54" s="30"/>
      <c r="Q54" s="30"/>
      <c r="R54" s="30"/>
      <c r="S54" s="30"/>
      <c r="T54" s="30"/>
      <c r="U54" s="30"/>
      <c r="V54" s="30"/>
      <c r="W54" s="27"/>
      <c r="X54" s="27"/>
    </row>
    <row r="55" spans="1:24">
      <c r="A55" s="30"/>
      <c r="B55" s="27"/>
      <c r="C55" s="28"/>
      <c r="D55" s="27"/>
      <c r="E55" s="28"/>
      <c r="F55" s="27"/>
      <c r="G55" s="28"/>
      <c r="H55" s="27"/>
      <c r="I55" s="27"/>
      <c r="J55" s="27"/>
      <c r="K55" s="28"/>
      <c r="L55" s="29"/>
      <c r="M55" s="30"/>
      <c r="N55" s="30"/>
      <c r="O55" s="30"/>
      <c r="P55" s="30"/>
      <c r="Q55" s="30"/>
      <c r="R55" s="30"/>
      <c r="S55" s="30"/>
      <c r="T55" s="30"/>
      <c r="U55" s="30"/>
      <c r="V55" s="30"/>
      <c r="W55" s="27"/>
      <c r="X55" s="27"/>
    </row>
    <row r="56" spans="1:24">
      <c r="A56" s="30"/>
      <c r="B56" s="27"/>
      <c r="C56" s="28"/>
      <c r="D56" s="27"/>
      <c r="E56" s="28"/>
      <c r="F56" s="27"/>
      <c r="G56" s="28"/>
      <c r="H56" s="27"/>
      <c r="I56" s="27"/>
      <c r="J56" s="27"/>
      <c r="K56" s="28"/>
      <c r="L56" s="29"/>
      <c r="M56" s="30"/>
      <c r="N56" s="30"/>
      <c r="O56" s="30"/>
      <c r="P56" s="30"/>
      <c r="Q56" s="30"/>
      <c r="R56" s="30"/>
      <c r="S56" s="30"/>
      <c r="T56" s="30"/>
      <c r="U56" s="30"/>
      <c r="V56" s="30"/>
      <c r="W56" s="27"/>
      <c r="X56" s="27"/>
    </row>
    <row r="57" spans="1:24">
      <c r="A57" s="30"/>
      <c r="B57" s="27"/>
      <c r="C57" s="28"/>
      <c r="D57" s="27"/>
      <c r="E57" s="28"/>
      <c r="F57" s="27"/>
      <c r="G57" s="28"/>
      <c r="H57" s="27"/>
      <c r="I57" s="27"/>
      <c r="J57" s="27"/>
      <c r="K57" s="28"/>
      <c r="L57" s="29"/>
      <c r="M57" s="30"/>
      <c r="N57" s="30"/>
      <c r="O57" s="30"/>
      <c r="P57" s="30"/>
      <c r="Q57" s="30"/>
      <c r="R57" s="30"/>
      <c r="S57" s="30"/>
      <c r="T57" s="30"/>
      <c r="U57" s="30"/>
      <c r="V57" s="30"/>
      <c r="W57" s="27"/>
      <c r="X57" s="27"/>
    </row>
    <row r="58" spans="1:24">
      <c r="A58" s="30"/>
      <c r="B58" s="27"/>
      <c r="C58" s="28"/>
      <c r="D58" s="27"/>
      <c r="E58" s="28"/>
      <c r="F58" s="27"/>
      <c r="G58" s="28"/>
      <c r="H58" s="27"/>
      <c r="I58" s="27"/>
      <c r="J58" s="27"/>
      <c r="K58" s="28"/>
      <c r="L58" s="29"/>
      <c r="M58" s="30"/>
      <c r="N58" s="30"/>
      <c r="O58" s="30"/>
      <c r="P58" s="30"/>
      <c r="Q58" s="30"/>
      <c r="R58" s="30"/>
      <c r="S58" s="30"/>
      <c r="T58" s="30"/>
      <c r="U58" s="30"/>
      <c r="V58" s="30"/>
      <c r="W58" s="27"/>
      <c r="X58" s="27"/>
    </row>
    <row r="59" spans="1:24">
      <c r="A59" s="30"/>
      <c r="B59" s="27"/>
      <c r="C59" s="28"/>
      <c r="D59" s="27"/>
      <c r="E59" s="28"/>
      <c r="F59" s="27"/>
      <c r="G59" s="28"/>
      <c r="H59" s="27"/>
      <c r="I59" s="27"/>
      <c r="J59" s="27"/>
      <c r="K59" s="28"/>
      <c r="L59" s="29"/>
      <c r="M59" s="30"/>
      <c r="N59" s="30"/>
      <c r="O59" s="30"/>
      <c r="P59" s="30"/>
      <c r="Q59" s="30"/>
      <c r="R59" s="30"/>
      <c r="S59" s="30"/>
      <c r="T59" s="30"/>
      <c r="U59" s="30"/>
      <c r="V59" s="30"/>
      <c r="W59" s="27"/>
      <c r="X59" s="27"/>
    </row>
    <row r="60" spans="1:24">
      <c r="A60" s="30"/>
      <c r="B60" s="27"/>
      <c r="C60" s="28"/>
      <c r="D60" s="27"/>
      <c r="E60" s="28"/>
      <c r="F60" s="27"/>
      <c r="G60" s="28"/>
      <c r="H60" s="27"/>
      <c r="I60" s="27"/>
      <c r="J60" s="27"/>
      <c r="K60" s="28"/>
      <c r="L60" s="29"/>
      <c r="M60" s="30"/>
      <c r="N60" s="30"/>
      <c r="O60" s="30"/>
      <c r="P60" s="30"/>
      <c r="Q60" s="30"/>
      <c r="R60" s="30"/>
      <c r="S60" s="30"/>
      <c r="T60" s="30"/>
      <c r="U60" s="30"/>
      <c r="V60" s="30"/>
      <c r="W60" s="27"/>
      <c r="X60" s="27"/>
    </row>
    <row r="61" spans="1:24">
      <c r="A61" s="30"/>
      <c r="B61" s="27"/>
      <c r="C61" s="28"/>
      <c r="D61" s="27"/>
      <c r="E61" s="28"/>
      <c r="F61" s="27"/>
      <c r="G61" s="28"/>
      <c r="H61" s="27"/>
      <c r="I61" s="27"/>
      <c r="J61" s="27"/>
      <c r="K61" s="28"/>
      <c r="L61" s="29"/>
      <c r="M61" s="30"/>
      <c r="N61" s="30"/>
      <c r="O61" s="30"/>
      <c r="P61" s="30"/>
      <c r="Q61" s="30"/>
      <c r="R61" s="30"/>
      <c r="S61" s="30"/>
      <c r="T61" s="30"/>
      <c r="U61" s="30"/>
      <c r="V61" s="30"/>
      <c r="W61" s="27"/>
      <c r="X61" s="27"/>
    </row>
    <row r="62" spans="1:24">
      <c r="A62" s="30"/>
      <c r="B62" s="27"/>
      <c r="C62" s="28"/>
      <c r="D62" s="27"/>
      <c r="E62" s="28"/>
      <c r="F62" s="27"/>
      <c r="G62" s="28"/>
      <c r="H62" s="27"/>
      <c r="I62" s="27"/>
      <c r="J62" s="27"/>
      <c r="K62" s="28"/>
      <c r="L62" s="29"/>
      <c r="M62" s="30"/>
      <c r="N62" s="30"/>
      <c r="O62" s="30"/>
      <c r="P62" s="30"/>
      <c r="Q62" s="30"/>
      <c r="R62" s="30"/>
      <c r="S62" s="30"/>
      <c r="T62" s="30"/>
      <c r="U62" s="30"/>
      <c r="V62" s="30"/>
      <c r="W62" s="27"/>
      <c r="X62" s="27"/>
    </row>
    <row r="63" spans="1:24">
      <c r="A63" s="30"/>
      <c r="B63" s="27"/>
      <c r="C63" s="28"/>
      <c r="D63" s="27"/>
      <c r="E63" s="28"/>
      <c r="F63" s="27"/>
      <c r="G63" s="28"/>
      <c r="H63" s="27"/>
      <c r="I63" s="27"/>
      <c r="J63" s="27"/>
      <c r="K63" s="28"/>
      <c r="L63" s="29"/>
      <c r="M63" s="30"/>
      <c r="N63" s="30"/>
      <c r="O63" s="30"/>
      <c r="P63" s="30"/>
      <c r="Q63" s="30"/>
      <c r="R63" s="30"/>
      <c r="S63" s="30"/>
      <c r="T63" s="30"/>
      <c r="U63" s="30"/>
      <c r="V63" s="30"/>
      <c r="W63" s="27"/>
      <c r="X63" s="27"/>
    </row>
    <row r="64" spans="1:24">
      <c r="A64" s="30"/>
      <c r="B64" s="27"/>
      <c r="C64" s="28"/>
      <c r="D64" s="27"/>
      <c r="E64" s="28"/>
      <c r="F64" s="27"/>
      <c r="G64" s="28"/>
      <c r="H64" s="27"/>
      <c r="I64" s="27"/>
      <c r="J64" s="27"/>
      <c r="K64" s="28"/>
      <c r="L64" s="29"/>
      <c r="M64" s="30"/>
      <c r="N64" s="30"/>
      <c r="O64" s="30"/>
      <c r="P64" s="30"/>
      <c r="Q64" s="30"/>
      <c r="R64" s="30"/>
      <c r="S64" s="30"/>
      <c r="T64" s="30"/>
      <c r="U64" s="30"/>
      <c r="V64" s="30"/>
      <c r="W64" s="27"/>
      <c r="X64" s="27"/>
    </row>
    <row r="65" spans="1:24">
      <c r="A65" s="30"/>
      <c r="B65" s="27"/>
      <c r="C65" s="28"/>
      <c r="D65" s="27"/>
      <c r="E65" s="28"/>
      <c r="F65" s="27"/>
      <c r="G65" s="28"/>
      <c r="H65" s="27"/>
      <c r="I65" s="27"/>
      <c r="J65" s="27"/>
      <c r="K65" s="28"/>
      <c r="L65" s="29"/>
      <c r="M65" s="30"/>
      <c r="N65" s="30"/>
      <c r="O65" s="30"/>
      <c r="P65" s="30"/>
      <c r="Q65" s="30"/>
      <c r="R65" s="30"/>
      <c r="S65" s="30"/>
      <c r="T65" s="30"/>
      <c r="U65" s="30"/>
      <c r="V65" s="30"/>
      <c r="W65" s="27"/>
      <c r="X65" s="27"/>
    </row>
    <row r="66" spans="1:24">
      <c r="A66" s="30"/>
      <c r="B66" s="27"/>
      <c r="C66" s="28"/>
      <c r="D66" s="27"/>
      <c r="E66" s="28"/>
      <c r="F66" s="27"/>
      <c r="G66" s="28"/>
      <c r="H66" s="27"/>
      <c r="I66" s="27"/>
      <c r="J66" s="27"/>
      <c r="K66" s="28"/>
      <c r="L66" s="29"/>
      <c r="M66" s="30"/>
      <c r="N66" s="30"/>
      <c r="O66" s="30"/>
      <c r="P66" s="30"/>
      <c r="Q66" s="30"/>
      <c r="R66" s="30"/>
      <c r="S66" s="30"/>
      <c r="T66" s="30"/>
      <c r="U66" s="30"/>
      <c r="V66" s="30"/>
      <c r="W66" s="27"/>
      <c r="X66" s="27"/>
    </row>
    <row r="67" spans="1:24">
      <c r="A67" s="30"/>
      <c r="B67" s="27"/>
      <c r="C67" s="28"/>
      <c r="D67" s="27"/>
      <c r="E67" s="28"/>
      <c r="F67" s="27"/>
      <c r="G67" s="28"/>
      <c r="H67" s="27"/>
      <c r="I67" s="27"/>
      <c r="J67" s="27"/>
      <c r="K67" s="28"/>
      <c r="L67" s="29"/>
      <c r="M67" s="30"/>
      <c r="N67" s="30"/>
      <c r="O67" s="30"/>
      <c r="P67" s="30"/>
      <c r="Q67" s="30"/>
      <c r="R67" s="30"/>
      <c r="S67" s="30"/>
      <c r="T67" s="30"/>
      <c r="U67" s="30"/>
      <c r="V67" s="30"/>
      <c r="W67" s="27"/>
      <c r="X67" s="27"/>
    </row>
    <row r="68" spans="1:24">
      <c r="A68" s="30"/>
      <c r="B68" s="27"/>
      <c r="C68" s="28"/>
      <c r="D68" s="27"/>
      <c r="E68" s="28"/>
      <c r="F68" s="27"/>
      <c r="G68" s="28"/>
      <c r="H68" s="27"/>
      <c r="I68" s="27"/>
      <c r="J68" s="27"/>
      <c r="K68" s="28"/>
      <c r="L68" s="29"/>
      <c r="M68" s="30"/>
      <c r="N68" s="30"/>
      <c r="O68" s="30"/>
      <c r="P68" s="30"/>
      <c r="Q68" s="30"/>
      <c r="R68" s="30"/>
      <c r="S68" s="30"/>
      <c r="T68" s="30"/>
      <c r="U68" s="30"/>
      <c r="V68" s="30"/>
      <c r="W68" s="27"/>
      <c r="X68" s="27"/>
    </row>
    <row r="69" spans="1:24">
      <c r="A69" s="30"/>
      <c r="B69" s="27"/>
      <c r="C69" s="28"/>
      <c r="D69" s="27"/>
      <c r="E69" s="28"/>
      <c r="F69" s="27"/>
      <c r="G69" s="28"/>
      <c r="H69" s="27"/>
      <c r="I69" s="27"/>
      <c r="J69" s="27"/>
      <c r="K69" s="28"/>
      <c r="L69" s="29"/>
      <c r="M69" s="30"/>
      <c r="N69" s="30"/>
      <c r="O69" s="30"/>
      <c r="P69" s="30"/>
      <c r="Q69" s="30"/>
      <c r="R69" s="30"/>
      <c r="S69" s="30"/>
      <c r="T69" s="30"/>
      <c r="U69" s="30"/>
      <c r="V69" s="30"/>
      <c r="W69" s="27"/>
      <c r="X69" s="27"/>
    </row>
    <row r="70" spans="1:24">
      <c r="A70" s="30"/>
      <c r="B70" s="27"/>
      <c r="C70" s="28"/>
      <c r="D70" s="27"/>
      <c r="E70" s="28"/>
      <c r="F70" s="27"/>
      <c r="G70" s="28"/>
      <c r="H70" s="27"/>
      <c r="I70" s="27"/>
      <c r="J70" s="27"/>
      <c r="K70" s="28"/>
      <c r="L70" s="29"/>
      <c r="M70" s="30"/>
      <c r="N70" s="30"/>
      <c r="O70" s="30"/>
      <c r="P70" s="30"/>
      <c r="Q70" s="30"/>
      <c r="R70" s="30"/>
      <c r="S70" s="30"/>
      <c r="T70" s="30"/>
      <c r="U70" s="30"/>
      <c r="V70" s="30"/>
      <c r="W70" s="27"/>
      <c r="X70" s="27"/>
    </row>
    <row r="71" spans="1:24">
      <c r="A71" s="30"/>
      <c r="B71" s="27"/>
      <c r="C71" s="28"/>
      <c r="D71" s="27"/>
      <c r="E71" s="28"/>
      <c r="F71" s="27"/>
      <c r="G71" s="28"/>
      <c r="H71" s="27"/>
      <c r="I71" s="27"/>
      <c r="J71" s="27"/>
      <c r="K71" s="28"/>
      <c r="L71" s="29"/>
      <c r="M71" s="30"/>
      <c r="N71" s="30"/>
      <c r="O71" s="30"/>
      <c r="P71" s="30"/>
      <c r="Q71" s="30"/>
      <c r="R71" s="30"/>
      <c r="S71" s="30"/>
      <c r="T71" s="30"/>
      <c r="U71" s="30"/>
      <c r="V71" s="30"/>
      <c r="W71" s="27"/>
      <c r="X71" s="27"/>
    </row>
    <row r="72" spans="1:24">
      <c r="A72" s="30"/>
      <c r="B72" s="27"/>
      <c r="C72" s="28"/>
      <c r="D72" s="27"/>
      <c r="E72" s="28"/>
      <c r="F72" s="27"/>
      <c r="G72" s="28"/>
      <c r="H72" s="27"/>
      <c r="I72" s="27"/>
      <c r="J72" s="27"/>
      <c r="K72" s="28"/>
      <c r="L72" s="29"/>
      <c r="M72" s="30"/>
      <c r="N72" s="30"/>
      <c r="O72" s="30"/>
      <c r="P72" s="30"/>
      <c r="Q72" s="30"/>
      <c r="R72" s="30"/>
      <c r="S72" s="30"/>
      <c r="T72" s="30"/>
      <c r="U72" s="30"/>
      <c r="V72" s="30"/>
      <c r="W72" s="27"/>
      <c r="X72" s="27"/>
    </row>
    <row r="73" spans="1:24">
      <c r="A73" s="30"/>
      <c r="B73" s="27"/>
      <c r="C73" s="28"/>
      <c r="D73" s="27"/>
      <c r="E73" s="28"/>
      <c r="F73" s="27"/>
      <c r="G73" s="28"/>
      <c r="H73" s="27"/>
      <c r="I73" s="27"/>
      <c r="J73" s="27"/>
      <c r="K73" s="28"/>
      <c r="L73" s="29"/>
      <c r="M73" s="30"/>
      <c r="N73" s="30"/>
      <c r="O73" s="30"/>
      <c r="P73" s="30"/>
      <c r="Q73" s="30"/>
      <c r="R73" s="30"/>
      <c r="S73" s="30"/>
      <c r="T73" s="30"/>
      <c r="U73" s="30"/>
      <c r="V73" s="30"/>
      <c r="W73" s="27"/>
      <c r="X73" s="27"/>
    </row>
    <row r="74" spans="1:24">
      <c r="A74" s="30"/>
      <c r="B74" s="27"/>
      <c r="C74" s="28"/>
      <c r="D74" s="27"/>
      <c r="E74" s="28"/>
      <c r="F74" s="27"/>
      <c r="G74" s="28"/>
      <c r="H74" s="27"/>
      <c r="I74" s="27"/>
      <c r="J74" s="27"/>
      <c r="K74" s="28"/>
      <c r="L74" s="29"/>
      <c r="M74" s="30"/>
      <c r="N74" s="30"/>
      <c r="O74" s="30"/>
      <c r="P74" s="30"/>
      <c r="Q74" s="30"/>
      <c r="R74" s="30"/>
      <c r="S74" s="30"/>
      <c r="T74" s="30"/>
      <c r="U74" s="30"/>
      <c r="V74" s="30"/>
      <c r="W74" s="27"/>
      <c r="X74" s="27"/>
    </row>
    <row r="75" spans="1:24">
      <c r="A75" s="30"/>
      <c r="B75" s="27"/>
      <c r="C75" s="28"/>
      <c r="D75" s="27"/>
      <c r="E75" s="28"/>
      <c r="F75" s="27"/>
      <c r="G75" s="28"/>
      <c r="H75" s="27"/>
      <c r="I75" s="27"/>
      <c r="J75" s="27"/>
      <c r="K75" s="28"/>
      <c r="L75" s="29"/>
      <c r="M75" s="30"/>
      <c r="N75" s="30"/>
      <c r="O75" s="30"/>
      <c r="P75" s="30"/>
      <c r="Q75" s="30"/>
      <c r="R75" s="30"/>
      <c r="S75" s="30"/>
      <c r="T75" s="30"/>
      <c r="U75" s="30"/>
      <c r="V75" s="30"/>
      <c r="W75" s="27"/>
      <c r="X75" s="27"/>
    </row>
    <row r="76" spans="1:24">
      <c r="A76" s="30"/>
      <c r="B76" s="27"/>
      <c r="C76" s="28"/>
      <c r="D76" s="27"/>
      <c r="E76" s="28"/>
      <c r="F76" s="27"/>
      <c r="G76" s="28"/>
      <c r="H76" s="27"/>
      <c r="I76" s="27"/>
      <c r="J76" s="27"/>
      <c r="K76" s="28"/>
      <c r="L76" s="29"/>
      <c r="M76" s="30"/>
      <c r="N76" s="30"/>
      <c r="O76" s="30"/>
      <c r="P76" s="30"/>
      <c r="Q76" s="30"/>
      <c r="R76" s="30"/>
      <c r="S76" s="30"/>
      <c r="T76" s="30"/>
      <c r="U76" s="30"/>
      <c r="V76" s="30"/>
      <c r="W76" s="27"/>
      <c r="X76" s="27"/>
    </row>
    <row r="77" spans="1:24">
      <c r="A77" s="30"/>
      <c r="B77" s="27"/>
      <c r="C77" s="28"/>
      <c r="D77" s="27"/>
      <c r="E77" s="28"/>
      <c r="F77" s="27"/>
      <c r="G77" s="28"/>
      <c r="H77" s="27"/>
      <c r="I77" s="27"/>
      <c r="J77" s="27"/>
      <c r="K77" s="28"/>
      <c r="L77" s="29"/>
      <c r="M77" s="30"/>
      <c r="N77" s="30"/>
      <c r="O77" s="30"/>
      <c r="P77" s="30"/>
      <c r="Q77" s="30"/>
      <c r="R77" s="30"/>
      <c r="S77" s="30"/>
      <c r="T77" s="30"/>
      <c r="U77" s="30"/>
      <c r="V77" s="30"/>
      <c r="W77" s="27"/>
      <c r="X77" s="27"/>
    </row>
    <row r="78" spans="1:24">
      <c r="A78" s="30"/>
      <c r="B78" s="27"/>
      <c r="C78" s="28"/>
      <c r="D78" s="27"/>
      <c r="E78" s="28"/>
      <c r="F78" s="27"/>
      <c r="G78" s="28"/>
      <c r="H78" s="27"/>
      <c r="I78" s="27"/>
      <c r="J78" s="27"/>
      <c r="K78" s="28"/>
      <c r="L78" s="29"/>
      <c r="M78" s="30"/>
      <c r="N78" s="30"/>
      <c r="O78" s="30"/>
      <c r="P78" s="30"/>
      <c r="Q78" s="30"/>
      <c r="R78" s="30"/>
      <c r="S78" s="30"/>
      <c r="T78" s="30"/>
      <c r="U78" s="30"/>
      <c r="V78" s="30"/>
      <c r="W78" s="27"/>
      <c r="X78" s="27"/>
    </row>
    <row r="79" spans="1:24">
      <c r="A79" s="30"/>
      <c r="B79" s="27"/>
      <c r="C79" s="28"/>
      <c r="D79" s="27"/>
      <c r="E79" s="28"/>
      <c r="F79" s="27"/>
      <c r="G79" s="28"/>
      <c r="H79" s="27"/>
      <c r="I79" s="27"/>
      <c r="J79" s="27"/>
      <c r="K79" s="28"/>
      <c r="L79" s="29"/>
      <c r="M79" s="30"/>
      <c r="N79" s="30"/>
      <c r="O79" s="30"/>
      <c r="P79" s="30"/>
      <c r="Q79" s="30"/>
      <c r="R79" s="30"/>
      <c r="S79" s="30"/>
      <c r="T79" s="30"/>
      <c r="U79" s="30"/>
      <c r="V79" s="30"/>
      <c r="W79" s="27"/>
      <c r="X79" s="27"/>
    </row>
    <row r="80" spans="1:24">
      <c r="A80" s="30"/>
      <c r="B80" s="27"/>
      <c r="C80" s="28"/>
      <c r="D80" s="27"/>
      <c r="E80" s="28"/>
      <c r="F80" s="27"/>
      <c r="G80" s="28"/>
      <c r="H80" s="27"/>
      <c r="I80" s="27"/>
      <c r="J80" s="27"/>
      <c r="K80" s="28"/>
      <c r="L80" s="29"/>
      <c r="M80" s="30"/>
      <c r="N80" s="30"/>
      <c r="O80" s="30"/>
      <c r="P80" s="30"/>
      <c r="Q80" s="30"/>
      <c r="R80" s="30"/>
      <c r="S80" s="30"/>
      <c r="T80" s="30"/>
      <c r="U80" s="30"/>
      <c r="V80" s="30"/>
      <c r="W80" s="27"/>
      <c r="X80" s="27"/>
    </row>
    <row r="81" spans="1:24">
      <c r="A81" s="30"/>
      <c r="B81" s="27"/>
      <c r="C81" s="28"/>
      <c r="D81" s="27"/>
      <c r="E81" s="28"/>
      <c r="F81" s="27"/>
      <c r="G81" s="28"/>
      <c r="H81" s="27"/>
      <c r="I81" s="27"/>
      <c r="J81" s="27"/>
      <c r="K81" s="28"/>
      <c r="L81" s="29"/>
      <c r="M81" s="30"/>
      <c r="N81" s="30"/>
      <c r="O81" s="30"/>
      <c r="P81" s="30"/>
      <c r="Q81" s="30"/>
      <c r="R81" s="30"/>
      <c r="S81" s="30"/>
      <c r="T81" s="30"/>
      <c r="U81" s="30"/>
      <c r="V81" s="30"/>
      <c r="W81" s="27"/>
      <c r="X81" s="27"/>
    </row>
    <row r="82" spans="1:24">
      <c r="A82" s="30"/>
      <c r="B82" s="27"/>
      <c r="C82" s="28"/>
      <c r="D82" s="27"/>
      <c r="E82" s="28"/>
      <c r="F82" s="27"/>
      <c r="G82" s="28"/>
      <c r="H82" s="27"/>
      <c r="I82" s="27"/>
      <c r="J82" s="27"/>
      <c r="K82" s="28"/>
      <c r="L82" s="29"/>
      <c r="M82" s="30"/>
      <c r="N82" s="30"/>
      <c r="O82" s="30"/>
      <c r="P82" s="30"/>
      <c r="Q82" s="30"/>
      <c r="R82" s="30"/>
      <c r="S82" s="30"/>
      <c r="T82" s="30"/>
      <c r="U82" s="30"/>
      <c r="V82" s="30"/>
      <c r="W82" s="27"/>
      <c r="X82" s="27"/>
    </row>
    <row r="83" spans="1:24">
      <c r="A83" s="30"/>
      <c r="B83" s="27"/>
      <c r="C83" s="28"/>
      <c r="D83" s="27"/>
      <c r="E83" s="28"/>
      <c r="F83" s="27"/>
      <c r="G83" s="28"/>
      <c r="H83" s="27"/>
      <c r="I83" s="27"/>
      <c r="J83" s="27"/>
      <c r="K83" s="28"/>
      <c r="L83" s="29"/>
      <c r="M83" s="30"/>
      <c r="N83" s="30"/>
      <c r="O83" s="30"/>
      <c r="P83" s="30"/>
      <c r="Q83" s="30"/>
      <c r="R83" s="30"/>
      <c r="S83" s="30"/>
      <c r="T83" s="30"/>
      <c r="U83" s="30"/>
      <c r="V83" s="30"/>
      <c r="W83" s="27"/>
      <c r="X83" s="27"/>
    </row>
    <row r="84" spans="1:24">
      <c r="A84" s="30"/>
      <c r="B84" s="27"/>
      <c r="C84" s="28"/>
      <c r="D84" s="27"/>
      <c r="E84" s="28"/>
      <c r="F84" s="27"/>
      <c r="G84" s="28"/>
      <c r="H84" s="27"/>
      <c r="I84" s="27"/>
      <c r="J84" s="27"/>
      <c r="K84" s="28"/>
      <c r="L84" s="29"/>
      <c r="M84" s="30"/>
      <c r="N84" s="30"/>
      <c r="O84" s="30"/>
      <c r="P84" s="30"/>
      <c r="Q84" s="30"/>
      <c r="R84" s="30"/>
      <c r="S84" s="30"/>
      <c r="T84" s="30"/>
      <c r="U84" s="30"/>
      <c r="V84" s="30"/>
      <c r="W84" s="27"/>
      <c r="X84" s="27"/>
    </row>
    <row r="85" spans="1:24">
      <c r="A85" s="30"/>
      <c r="B85" s="27"/>
      <c r="C85" s="28"/>
      <c r="D85" s="27"/>
      <c r="E85" s="28"/>
      <c r="F85" s="27"/>
      <c r="G85" s="28"/>
      <c r="H85" s="27"/>
      <c r="I85" s="27"/>
      <c r="J85" s="27"/>
      <c r="K85" s="28"/>
      <c r="L85" s="29"/>
      <c r="M85" s="30"/>
      <c r="N85" s="30"/>
      <c r="O85" s="30"/>
      <c r="P85" s="30"/>
      <c r="Q85" s="30"/>
      <c r="R85" s="30"/>
      <c r="S85" s="30"/>
      <c r="T85" s="30"/>
      <c r="U85" s="30"/>
      <c r="V85" s="30"/>
      <c r="W85" s="27"/>
      <c r="X85" s="27"/>
    </row>
    <row r="86" spans="1:24">
      <c r="A86" s="30"/>
      <c r="B86" s="27"/>
      <c r="C86" s="28"/>
      <c r="D86" s="27"/>
      <c r="E86" s="28"/>
      <c r="F86" s="27"/>
      <c r="G86" s="28"/>
      <c r="H86" s="27"/>
      <c r="I86" s="27"/>
      <c r="J86" s="27"/>
      <c r="K86" s="28"/>
      <c r="L86" s="29"/>
      <c r="M86" s="30"/>
      <c r="N86" s="30"/>
      <c r="O86" s="30"/>
      <c r="P86" s="30"/>
      <c r="Q86" s="30"/>
      <c r="R86" s="30"/>
      <c r="S86" s="30"/>
      <c r="T86" s="30"/>
      <c r="U86" s="30"/>
      <c r="V86" s="30"/>
      <c r="W86" s="27"/>
      <c r="X86" s="27"/>
    </row>
    <row r="87" spans="1:24">
      <c r="A87" s="30"/>
      <c r="B87" s="27"/>
      <c r="C87" s="28"/>
      <c r="D87" s="27"/>
      <c r="E87" s="28"/>
      <c r="F87" s="27"/>
      <c r="G87" s="28"/>
      <c r="H87" s="27"/>
      <c r="I87" s="27"/>
      <c r="J87" s="27"/>
      <c r="K87" s="28"/>
      <c r="L87" s="29"/>
      <c r="M87" s="30"/>
      <c r="N87" s="30"/>
      <c r="O87" s="30"/>
      <c r="P87" s="30"/>
      <c r="Q87" s="30"/>
      <c r="R87" s="30"/>
      <c r="S87" s="30"/>
      <c r="T87" s="30"/>
      <c r="U87" s="30"/>
      <c r="V87" s="30"/>
      <c r="W87" s="27"/>
      <c r="X87" s="27"/>
    </row>
    <row r="88" spans="1:24">
      <c r="A88" s="30"/>
      <c r="B88" s="27"/>
      <c r="C88" s="28"/>
      <c r="D88" s="27"/>
      <c r="E88" s="28"/>
      <c r="F88" s="27"/>
      <c r="G88" s="28"/>
      <c r="H88" s="27"/>
      <c r="I88" s="27"/>
      <c r="J88" s="27"/>
      <c r="K88" s="28"/>
      <c r="L88" s="29"/>
      <c r="M88" s="30"/>
      <c r="N88" s="30"/>
      <c r="O88" s="30"/>
      <c r="P88" s="30"/>
      <c r="Q88" s="30"/>
      <c r="R88" s="30"/>
      <c r="S88" s="30"/>
      <c r="T88" s="30"/>
      <c r="U88" s="30"/>
      <c r="V88" s="30"/>
      <c r="W88" s="27"/>
      <c r="X88" s="27"/>
    </row>
    <row r="89" spans="1:24">
      <c r="A89" s="30"/>
      <c r="B89" s="27"/>
      <c r="C89" s="28"/>
      <c r="D89" s="27"/>
      <c r="E89" s="28"/>
      <c r="F89" s="27"/>
      <c r="G89" s="28"/>
      <c r="H89" s="27"/>
      <c r="I89" s="27"/>
      <c r="J89" s="27"/>
      <c r="K89" s="28"/>
      <c r="L89" s="29"/>
      <c r="M89" s="30"/>
      <c r="N89" s="30"/>
      <c r="O89" s="30"/>
      <c r="P89" s="30"/>
      <c r="Q89" s="30"/>
      <c r="R89" s="30"/>
      <c r="S89" s="30"/>
      <c r="T89" s="30"/>
      <c r="U89" s="30"/>
      <c r="V89" s="30"/>
      <c r="W89" s="27"/>
      <c r="X89" s="27"/>
    </row>
    <row r="90" spans="1:24">
      <c r="A90" s="30"/>
      <c r="B90" s="27"/>
      <c r="C90" s="28"/>
      <c r="D90" s="27"/>
      <c r="E90" s="28"/>
      <c r="F90" s="27"/>
      <c r="G90" s="28"/>
      <c r="H90" s="27"/>
      <c r="I90" s="27"/>
      <c r="J90" s="27"/>
      <c r="K90" s="28"/>
      <c r="L90" s="29"/>
      <c r="M90" s="30"/>
      <c r="N90" s="30"/>
      <c r="O90" s="30"/>
      <c r="P90" s="30"/>
      <c r="Q90" s="30"/>
      <c r="R90" s="30"/>
      <c r="S90" s="30"/>
      <c r="T90" s="30"/>
      <c r="U90" s="30"/>
      <c r="V90" s="30"/>
      <c r="W90" s="27"/>
      <c r="X90" s="27"/>
    </row>
    <row r="91" spans="1:24">
      <c r="A91" s="30"/>
      <c r="B91" s="27"/>
      <c r="C91" s="28"/>
      <c r="D91" s="27"/>
      <c r="E91" s="28"/>
      <c r="F91" s="27"/>
      <c r="G91" s="28"/>
      <c r="H91" s="27"/>
      <c r="I91" s="27"/>
      <c r="J91" s="27"/>
      <c r="K91" s="28"/>
      <c r="L91" s="29"/>
      <c r="M91" s="30"/>
      <c r="N91" s="30"/>
      <c r="O91" s="30"/>
      <c r="P91" s="30"/>
      <c r="Q91" s="30"/>
      <c r="R91" s="30"/>
      <c r="S91" s="30"/>
      <c r="T91" s="30"/>
      <c r="U91" s="30"/>
      <c r="V91" s="30"/>
      <c r="W91" s="27"/>
      <c r="X91" s="27"/>
    </row>
    <row r="92" spans="1:24">
      <c r="A92" s="30"/>
      <c r="B92" s="27"/>
      <c r="C92" s="28"/>
      <c r="D92" s="27"/>
      <c r="E92" s="28"/>
      <c r="F92" s="27"/>
      <c r="G92" s="28"/>
      <c r="H92" s="27"/>
      <c r="I92" s="27"/>
      <c r="J92" s="27"/>
      <c r="K92" s="28"/>
      <c r="L92" s="29"/>
      <c r="M92" s="30"/>
      <c r="N92" s="30"/>
      <c r="O92" s="30"/>
      <c r="P92" s="30"/>
      <c r="Q92" s="30"/>
      <c r="R92" s="30"/>
      <c r="S92" s="30"/>
      <c r="T92" s="30"/>
      <c r="U92" s="30"/>
      <c r="V92" s="30"/>
      <c r="W92" s="27"/>
      <c r="X92" s="27"/>
    </row>
    <row r="93" spans="1:24">
      <c r="A93" s="30"/>
      <c r="B93" s="27"/>
      <c r="C93" s="28"/>
      <c r="D93" s="27"/>
      <c r="E93" s="28"/>
      <c r="F93" s="27"/>
      <c r="G93" s="28"/>
      <c r="H93" s="27"/>
      <c r="I93" s="27"/>
      <c r="J93" s="27"/>
      <c r="K93" s="28"/>
      <c r="L93" s="29"/>
      <c r="M93" s="30"/>
      <c r="N93" s="30"/>
      <c r="O93" s="30"/>
      <c r="P93" s="30"/>
      <c r="Q93" s="30"/>
      <c r="R93" s="30"/>
      <c r="S93" s="30"/>
      <c r="T93" s="30"/>
      <c r="U93" s="30"/>
      <c r="V93" s="30"/>
      <c r="W93" s="27"/>
      <c r="X93" s="27"/>
    </row>
    <row r="94" spans="1:24">
      <c r="A94" s="30"/>
      <c r="B94" s="27"/>
      <c r="C94" s="28"/>
      <c r="D94" s="27"/>
      <c r="E94" s="28"/>
      <c r="F94" s="27"/>
      <c r="G94" s="28"/>
      <c r="H94" s="27"/>
      <c r="I94" s="27"/>
      <c r="J94" s="27"/>
      <c r="K94" s="28"/>
      <c r="L94" s="29"/>
      <c r="M94" s="30"/>
      <c r="N94" s="30"/>
      <c r="O94" s="30"/>
      <c r="P94" s="30"/>
      <c r="Q94" s="30"/>
      <c r="R94" s="30"/>
      <c r="S94" s="30"/>
      <c r="T94" s="30"/>
      <c r="U94" s="30"/>
      <c r="V94" s="30"/>
      <c r="W94" s="27"/>
      <c r="X94" s="27"/>
    </row>
    <row r="95" spans="1:24">
      <c r="A95" s="30"/>
      <c r="B95" s="27"/>
      <c r="C95" s="28"/>
      <c r="D95" s="27"/>
      <c r="E95" s="28"/>
      <c r="F95" s="27"/>
      <c r="G95" s="28"/>
      <c r="H95" s="27"/>
      <c r="I95" s="27"/>
      <c r="J95" s="27"/>
      <c r="K95" s="28"/>
      <c r="L95" s="29"/>
      <c r="M95" s="30"/>
      <c r="N95" s="30"/>
      <c r="O95" s="30"/>
      <c r="P95" s="30"/>
      <c r="Q95" s="30"/>
      <c r="R95" s="30"/>
      <c r="S95" s="30"/>
      <c r="T95" s="30"/>
      <c r="U95" s="30"/>
      <c r="V95" s="30"/>
      <c r="W95" s="27"/>
      <c r="X95" s="27"/>
    </row>
    <row r="96" spans="1:24">
      <c r="A96" s="30"/>
      <c r="B96" s="27"/>
      <c r="C96" s="28"/>
      <c r="D96" s="27"/>
      <c r="E96" s="28"/>
      <c r="F96" s="27"/>
      <c r="G96" s="28"/>
      <c r="H96" s="27"/>
      <c r="I96" s="27"/>
      <c r="J96" s="27"/>
      <c r="K96" s="28"/>
      <c r="L96" s="29"/>
      <c r="M96" s="30"/>
      <c r="N96" s="30"/>
      <c r="O96" s="30"/>
      <c r="P96" s="30"/>
      <c r="Q96" s="30"/>
      <c r="R96" s="30"/>
      <c r="S96" s="30"/>
      <c r="T96" s="30"/>
      <c r="U96" s="30"/>
      <c r="V96" s="30"/>
      <c r="W96" s="27"/>
      <c r="X96" s="27"/>
    </row>
    <row r="97" spans="1:24">
      <c r="A97" s="30"/>
      <c r="B97" s="27"/>
      <c r="C97" s="28"/>
      <c r="D97" s="27"/>
      <c r="E97" s="28"/>
      <c r="F97" s="27"/>
      <c r="G97" s="28"/>
      <c r="H97" s="27"/>
      <c r="I97" s="27"/>
      <c r="J97" s="27"/>
      <c r="K97" s="28"/>
      <c r="L97" s="29"/>
      <c r="M97" s="30"/>
      <c r="N97" s="30"/>
      <c r="O97" s="30"/>
      <c r="P97" s="30"/>
      <c r="Q97" s="30"/>
      <c r="R97" s="30"/>
      <c r="S97" s="30"/>
      <c r="T97" s="30"/>
      <c r="U97" s="30"/>
      <c r="V97" s="30"/>
      <c r="W97" s="27"/>
      <c r="X97" s="27"/>
    </row>
    <row r="98" spans="1:24">
      <c r="A98" s="30"/>
      <c r="B98" s="27"/>
      <c r="C98" s="28"/>
      <c r="D98" s="27"/>
      <c r="E98" s="28"/>
      <c r="F98" s="27"/>
      <c r="G98" s="28"/>
      <c r="H98" s="27"/>
      <c r="I98" s="27"/>
      <c r="J98" s="27"/>
      <c r="K98" s="28"/>
      <c r="L98" s="29"/>
      <c r="M98" s="30"/>
      <c r="N98" s="30"/>
      <c r="O98" s="30"/>
      <c r="P98" s="30"/>
      <c r="Q98" s="30"/>
      <c r="R98" s="30"/>
      <c r="S98" s="30"/>
      <c r="T98" s="30"/>
      <c r="U98" s="30"/>
      <c r="V98" s="30"/>
      <c r="W98" s="27"/>
      <c r="X98" s="27"/>
    </row>
    <row r="99" spans="1:24">
      <c r="A99" s="30"/>
      <c r="B99" s="27"/>
      <c r="C99" s="28"/>
      <c r="D99" s="27"/>
      <c r="E99" s="28"/>
      <c r="F99" s="27"/>
      <c r="G99" s="28"/>
      <c r="H99" s="27"/>
      <c r="I99" s="27"/>
      <c r="J99" s="27"/>
      <c r="K99" s="28"/>
      <c r="L99" s="29"/>
      <c r="M99" s="30"/>
      <c r="N99" s="30"/>
      <c r="O99" s="30"/>
      <c r="P99" s="30"/>
      <c r="Q99" s="30"/>
      <c r="R99" s="30"/>
      <c r="S99" s="30"/>
      <c r="T99" s="30"/>
      <c r="U99" s="30"/>
      <c r="V99" s="30"/>
      <c r="W99" s="27"/>
      <c r="X99" s="27"/>
    </row>
    <row r="100" spans="1:24">
      <c r="A100" s="30"/>
      <c r="B100" s="27"/>
      <c r="C100" s="28"/>
      <c r="D100" s="27"/>
      <c r="E100" s="28"/>
      <c r="F100" s="27"/>
      <c r="G100" s="28"/>
      <c r="H100" s="27"/>
      <c r="I100" s="27"/>
      <c r="J100" s="27"/>
      <c r="K100" s="28"/>
      <c r="L100" s="29"/>
      <c r="M100" s="30"/>
      <c r="N100" s="30"/>
      <c r="O100" s="30"/>
      <c r="P100" s="30"/>
      <c r="Q100" s="30"/>
      <c r="R100" s="30"/>
      <c r="S100" s="30"/>
      <c r="T100" s="30"/>
      <c r="U100" s="30"/>
      <c r="V100" s="30"/>
      <c r="W100" s="27"/>
      <c r="X100" s="27"/>
    </row>
    <row r="101" spans="1:24">
      <c r="A101" s="30"/>
      <c r="B101" s="27"/>
      <c r="C101" s="28"/>
      <c r="D101" s="27"/>
      <c r="E101" s="28"/>
      <c r="F101" s="27"/>
      <c r="G101" s="28"/>
      <c r="H101" s="27"/>
      <c r="I101" s="27"/>
      <c r="J101" s="27"/>
      <c r="K101" s="28"/>
      <c r="L101" s="29"/>
      <c r="M101" s="30"/>
      <c r="N101" s="30"/>
      <c r="O101" s="30"/>
      <c r="P101" s="30"/>
      <c r="Q101" s="30"/>
      <c r="R101" s="30"/>
      <c r="S101" s="30"/>
      <c r="T101" s="30"/>
      <c r="U101" s="30"/>
      <c r="V101" s="30"/>
      <c r="W101" s="27"/>
      <c r="X101" s="27"/>
    </row>
    <row r="102" spans="1:24">
      <c r="A102" s="30"/>
      <c r="B102" s="27"/>
      <c r="C102" s="28"/>
      <c r="D102" s="27"/>
      <c r="E102" s="28"/>
      <c r="F102" s="27"/>
      <c r="G102" s="28"/>
      <c r="H102" s="27"/>
      <c r="I102" s="27"/>
      <c r="J102" s="27"/>
      <c r="K102" s="28"/>
      <c r="L102" s="29"/>
      <c r="M102" s="30"/>
      <c r="N102" s="30"/>
      <c r="O102" s="30"/>
      <c r="P102" s="30"/>
      <c r="Q102" s="30"/>
      <c r="R102" s="30"/>
      <c r="S102" s="30"/>
      <c r="T102" s="30"/>
      <c r="U102" s="30"/>
      <c r="V102" s="30"/>
      <c r="W102" s="27"/>
      <c r="X102" s="27"/>
    </row>
    <row r="103" spans="1:24">
      <c r="A103" s="30"/>
      <c r="B103" s="27"/>
      <c r="C103" s="28"/>
      <c r="D103" s="27"/>
      <c r="E103" s="28"/>
      <c r="F103" s="27"/>
      <c r="G103" s="28"/>
      <c r="H103" s="27"/>
      <c r="I103" s="27"/>
      <c r="J103" s="27"/>
      <c r="K103" s="28"/>
      <c r="L103" s="29"/>
      <c r="M103" s="30"/>
      <c r="N103" s="30"/>
      <c r="O103" s="30"/>
      <c r="P103" s="30"/>
      <c r="Q103" s="30"/>
      <c r="R103" s="30"/>
      <c r="S103" s="30"/>
      <c r="T103" s="30"/>
      <c r="U103" s="30"/>
      <c r="V103" s="30"/>
      <c r="W103" s="27"/>
      <c r="X103" s="27"/>
    </row>
    <row r="104" spans="1:24">
      <c r="A104" s="30"/>
      <c r="B104" s="27"/>
      <c r="C104" s="28"/>
      <c r="D104" s="27"/>
      <c r="E104" s="28"/>
      <c r="F104" s="27"/>
      <c r="G104" s="28"/>
      <c r="H104" s="27"/>
      <c r="I104" s="27"/>
      <c r="J104" s="27"/>
      <c r="K104" s="28"/>
      <c r="L104" s="29"/>
      <c r="M104" s="30"/>
      <c r="N104" s="30"/>
      <c r="O104" s="30"/>
      <c r="P104" s="30"/>
      <c r="Q104" s="30"/>
      <c r="R104" s="30"/>
      <c r="S104" s="30"/>
      <c r="T104" s="30"/>
      <c r="U104" s="30"/>
      <c r="V104" s="30"/>
      <c r="W104" s="27"/>
      <c r="X104" s="27"/>
    </row>
    <row r="105" spans="1:24">
      <c r="A105" s="30"/>
      <c r="B105" s="27"/>
      <c r="C105" s="28"/>
      <c r="D105" s="27"/>
      <c r="E105" s="28"/>
      <c r="F105" s="27"/>
      <c r="G105" s="28"/>
      <c r="H105" s="27"/>
      <c r="I105" s="27"/>
      <c r="J105" s="27"/>
      <c r="K105" s="28"/>
      <c r="L105" s="29"/>
      <c r="M105" s="30"/>
      <c r="N105" s="30"/>
      <c r="O105" s="30"/>
      <c r="P105" s="30"/>
      <c r="Q105" s="30"/>
      <c r="R105" s="30"/>
      <c r="S105" s="30"/>
      <c r="T105" s="30"/>
      <c r="U105" s="30"/>
      <c r="V105" s="30"/>
      <c r="W105" s="27"/>
      <c r="X105" s="27"/>
    </row>
    <row r="106" spans="1:24">
      <c r="A106" s="30"/>
      <c r="B106" s="27"/>
      <c r="C106" s="28"/>
      <c r="D106" s="27"/>
      <c r="E106" s="28"/>
      <c r="F106" s="27"/>
      <c r="G106" s="28"/>
      <c r="H106" s="27"/>
      <c r="I106" s="27"/>
      <c r="J106" s="27"/>
      <c r="K106" s="28"/>
      <c r="L106" s="29"/>
      <c r="M106" s="30"/>
      <c r="N106" s="30"/>
      <c r="O106" s="30"/>
      <c r="P106" s="30"/>
      <c r="Q106" s="30"/>
      <c r="R106" s="30"/>
      <c r="S106" s="30"/>
      <c r="T106" s="30"/>
      <c r="U106" s="30"/>
      <c r="V106" s="30"/>
      <c r="W106" s="27"/>
      <c r="X106" s="27"/>
    </row>
    <row r="107" spans="1:24">
      <c r="A107" s="30"/>
      <c r="B107" s="27"/>
      <c r="C107" s="28"/>
      <c r="D107" s="27"/>
      <c r="E107" s="28"/>
      <c r="F107" s="27"/>
      <c r="G107" s="28"/>
      <c r="H107" s="27"/>
      <c r="I107" s="27"/>
      <c r="J107" s="27"/>
      <c r="K107" s="28"/>
      <c r="L107" s="29"/>
      <c r="M107" s="30"/>
      <c r="N107" s="30"/>
      <c r="O107" s="30"/>
      <c r="P107" s="30"/>
      <c r="Q107" s="30"/>
      <c r="R107" s="30"/>
      <c r="S107" s="30"/>
      <c r="T107" s="30"/>
      <c r="U107" s="30"/>
      <c r="V107" s="30"/>
      <c r="W107" s="27"/>
      <c r="X107" s="27"/>
    </row>
    <row r="108" spans="1:24">
      <c r="A108" s="30"/>
      <c r="B108" s="27"/>
      <c r="C108" s="28"/>
      <c r="D108" s="27"/>
      <c r="E108" s="28"/>
      <c r="F108" s="27"/>
      <c r="G108" s="28"/>
      <c r="H108" s="27"/>
      <c r="I108" s="27"/>
      <c r="J108" s="27"/>
      <c r="K108" s="28"/>
      <c r="L108" s="29"/>
      <c r="M108" s="30"/>
      <c r="N108" s="30"/>
      <c r="O108" s="30"/>
      <c r="P108" s="30"/>
      <c r="Q108" s="30"/>
      <c r="R108" s="30"/>
      <c r="S108" s="30"/>
      <c r="T108" s="30"/>
      <c r="U108" s="30"/>
      <c r="V108" s="30"/>
      <c r="W108" s="27"/>
      <c r="X108" s="27"/>
    </row>
    <row r="109" spans="1:24">
      <c r="A109" s="30"/>
      <c r="B109" s="27"/>
      <c r="C109" s="28"/>
      <c r="D109" s="27"/>
      <c r="E109" s="28"/>
      <c r="F109" s="27"/>
      <c r="G109" s="28"/>
      <c r="H109" s="27"/>
      <c r="I109" s="27"/>
      <c r="J109" s="27"/>
      <c r="K109" s="28"/>
      <c r="L109" s="29"/>
      <c r="M109" s="30"/>
      <c r="N109" s="30"/>
      <c r="O109" s="30"/>
      <c r="P109" s="30"/>
      <c r="Q109" s="30"/>
      <c r="R109" s="30"/>
      <c r="S109" s="30"/>
      <c r="T109" s="30"/>
      <c r="U109" s="30"/>
      <c r="V109" s="30"/>
      <c r="W109" s="27"/>
      <c r="X109" s="27"/>
    </row>
    <row r="110" spans="1:24">
      <c r="A110" s="30"/>
      <c r="B110" s="27"/>
      <c r="C110" s="28"/>
      <c r="D110" s="27"/>
      <c r="E110" s="28"/>
      <c r="F110" s="27"/>
      <c r="G110" s="28"/>
      <c r="H110" s="27"/>
      <c r="I110" s="27"/>
      <c r="J110" s="27"/>
      <c r="K110" s="28"/>
      <c r="L110" s="29"/>
      <c r="M110" s="30"/>
      <c r="N110" s="30"/>
      <c r="O110" s="30"/>
      <c r="P110" s="30"/>
      <c r="Q110" s="30"/>
      <c r="R110" s="30"/>
      <c r="S110" s="30"/>
      <c r="T110" s="30"/>
      <c r="U110" s="30"/>
      <c r="V110" s="30"/>
      <c r="W110" s="27"/>
      <c r="X110" s="27"/>
    </row>
    <row r="111" spans="1:24">
      <c r="A111" s="30"/>
      <c r="B111" s="27"/>
      <c r="C111" s="28"/>
      <c r="D111" s="27"/>
      <c r="E111" s="28"/>
      <c r="F111" s="27"/>
      <c r="G111" s="28"/>
      <c r="H111" s="27"/>
      <c r="I111" s="27"/>
      <c r="J111" s="27"/>
      <c r="K111" s="28"/>
      <c r="L111" s="29"/>
      <c r="M111" s="30"/>
      <c r="N111" s="30"/>
      <c r="O111" s="30"/>
      <c r="P111" s="30"/>
      <c r="Q111" s="30"/>
      <c r="R111" s="30"/>
      <c r="S111" s="30"/>
      <c r="T111" s="30"/>
      <c r="U111" s="30"/>
      <c r="V111" s="30"/>
      <c r="W111" s="27"/>
      <c r="X111" s="27"/>
    </row>
    <row r="112" spans="1:24">
      <c r="A112" s="30"/>
      <c r="B112" s="27"/>
      <c r="C112" s="28"/>
      <c r="D112" s="27"/>
      <c r="E112" s="28"/>
      <c r="F112" s="27"/>
      <c r="G112" s="28"/>
      <c r="H112" s="27"/>
      <c r="I112" s="27"/>
      <c r="J112" s="27"/>
      <c r="K112" s="28"/>
      <c r="L112" s="29"/>
      <c r="M112" s="30"/>
      <c r="N112" s="30"/>
      <c r="O112" s="30"/>
      <c r="P112" s="30"/>
      <c r="Q112" s="30"/>
      <c r="R112" s="30"/>
      <c r="S112" s="30"/>
      <c r="T112" s="30"/>
      <c r="U112" s="30"/>
      <c r="V112" s="30"/>
      <c r="W112" s="27"/>
      <c r="X112" s="27"/>
    </row>
    <row r="113" spans="1:24">
      <c r="A113" s="30"/>
      <c r="B113" s="27"/>
      <c r="C113" s="28"/>
      <c r="D113" s="27"/>
      <c r="E113" s="28"/>
      <c r="F113" s="27"/>
      <c r="G113" s="28"/>
      <c r="H113" s="27"/>
      <c r="I113" s="27"/>
      <c r="J113" s="27"/>
      <c r="K113" s="28"/>
      <c r="L113" s="29"/>
      <c r="M113" s="30"/>
      <c r="N113" s="30"/>
      <c r="O113" s="30"/>
      <c r="P113" s="30"/>
      <c r="Q113" s="30"/>
      <c r="R113" s="30"/>
      <c r="S113" s="30"/>
      <c r="T113" s="30"/>
      <c r="U113" s="30"/>
      <c r="V113" s="30"/>
      <c r="W113" s="27"/>
      <c r="X113" s="27"/>
    </row>
    <row r="114" spans="1:24">
      <c r="A114" s="30"/>
      <c r="B114" s="27"/>
      <c r="C114" s="28"/>
      <c r="D114" s="27"/>
      <c r="E114" s="28"/>
      <c r="F114" s="27"/>
      <c r="G114" s="28"/>
      <c r="H114" s="27"/>
      <c r="I114" s="27"/>
      <c r="J114" s="27"/>
      <c r="K114" s="28"/>
      <c r="L114" s="29"/>
      <c r="M114" s="30"/>
      <c r="N114" s="30"/>
      <c r="O114" s="30"/>
      <c r="P114" s="30"/>
      <c r="Q114" s="30"/>
      <c r="R114" s="30"/>
      <c r="S114" s="30"/>
      <c r="T114" s="30"/>
      <c r="U114" s="30"/>
      <c r="V114" s="30"/>
      <c r="W114" s="27"/>
      <c r="X114" s="27"/>
    </row>
    <row r="115" spans="1:24">
      <c r="A115" s="30"/>
      <c r="B115" s="27"/>
      <c r="C115" s="28"/>
      <c r="D115" s="27"/>
      <c r="E115" s="28"/>
      <c r="F115" s="27"/>
      <c r="G115" s="28"/>
      <c r="H115" s="27"/>
      <c r="I115" s="27"/>
      <c r="J115" s="27"/>
      <c r="K115" s="28"/>
      <c r="L115" s="29"/>
      <c r="M115" s="30"/>
      <c r="N115" s="30"/>
      <c r="O115" s="30"/>
      <c r="P115" s="30"/>
      <c r="Q115" s="30"/>
      <c r="R115" s="30"/>
      <c r="S115" s="30"/>
      <c r="T115" s="30"/>
      <c r="U115" s="30"/>
      <c r="V115" s="30"/>
      <c r="W115" s="27"/>
      <c r="X115" s="27"/>
    </row>
    <row r="116" spans="1:24">
      <c r="A116" s="30"/>
      <c r="B116" s="27"/>
      <c r="C116" s="28"/>
      <c r="D116" s="27"/>
      <c r="E116" s="28"/>
      <c r="F116" s="27"/>
      <c r="G116" s="28"/>
      <c r="H116" s="27"/>
      <c r="I116" s="27"/>
      <c r="J116" s="27"/>
      <c r="K116" s="28"/>
      <c r="L116" s="29"/>
      <c r="M116" s="30"/>
      <c r="N116" s="30"/>
      <c r="O116" s="30"/>
      <c r="P116" s="30"/>
      <c r="Q116" s="30"/>
      <c r="R116" s="30"/>
      <c r="S116" s="30"/>
      <c r="T116" s="30"/>
      <c r="U116" s="30"/>
      <c r="V116" s="30"/>
      <c r="W116" s="27"/>
      <c r="X116" s="27"/>
    </row>
    <row r="117" spans="1:24">
      <c r="A117" s="30"/>
      <c r="B117" s="27"/>
      <c r="C117" s="28"/>
      <c r="D117" s="27"/>
      <c r="E117" s="28"/>
      <c r="F117" s="27"/>
      <c r="G117" s="28"/>
      <c r="H117" s="27"/>
      <c r="I117" s="27"/>
      <c r="J117" s="27"/>
      <c r="K117" s="28"/>
      <c r="L117" s="29"/>
      <c r="M117" s="30"/>
      <c r="N117" s="30"/>
      <c r="O117" s="30"/>
      <c r="P117" s="30"/>
      <c r="Q117" s="30"/>
      <c r="R117" s="30"/>
      <c r="S117" s="30"/>
      <c r="T117" s="30"/>
      <c r="U117" s="30"/>
      <c r="V117" s="30"/>
      <c r="W117" s="27"/>
      <c r="X117" s="27"/>
    </row>
    <row r="118" spans="1:24">
      <c r="A118" s="30"/>
      <c r="B118" s="27"/>
      <c r="C118" s="28"/>
      <c r="D118" s="27"/>
      <c r="E118" s="28"/>
      <c r="F118" s="27"/>
      <c r="G118" s="28"/>
      <c r="H118" s="27"/>
      <c r="I118" s="27"/>
      <c r="J118" s="27"/>
      <c r="K118" s="28"/>
      <c r="L118" s="29"/>
      <c r="M118" s="30"/>
      <c r="N118" s="30"/>
      <c r="O118" s="30"/>
      <c r="P118" s="30"/>
      <c r="Q118" s="30"/>
      <c r="R118" s="30"/>
      <c r="S118" s="30"/>
      <c r="T118" s="30"/>
      <c r="U118" s="30"/>
      <c r="V118" s="30"/>
      <c r="W118" s="27"/>
      <c r="X118" s="27"/>
    </row>
    <row r="119" spans="1:24">
      <c r="A119" s="30"/>
      <c r="B119" s="27"/>
      <c r="C119" s="28"/>
      <c r="D119" s="27"/>
      <c r="E119" s="28"/>
      <c r="F119" s="27"/>
      <c r="G119" s="28"/>
      <c r="H119" s="27"/>
      <c r="I119" s="27"/>
      <c r="J119" s="27"/>
      <c r="K119" s="28"/>
      <c r="L119" s="29"/>
      <c r="M119" s="30"/>
      <c r="N119" s="30"/>
      <c r="O119" s="30"/>
      <c r="P119" s="30"/>
      <c r="Q119" s="30"/>
      <c r="R119" s="30"/>
      <c r="S119" s="30"/>
      <c r="T119" s="30"/>
      <c r="U119" s="30"/>
      <c r="V119" s="30"/>
      <c r="W119" s="27"/>
      <c r="X119" s="27"/>
    </row>
    <row r="120" spans="1:24">
      <c r="A120" s="30"/>
      <c r="B120" s="27"/>
      <c r="C120" s="28"/>
      <c r="D120" s="27"/>
      <c r="E120" s="28"/>
      <c r="F120" s="27"/>
      <c r="G120" s="28"/>
      <c r="H120" s="27"/>
      <c r="I120" s="27"/>
      <c r="J120" s="27"/>
      <c r="K120" s="28"/>
      <c r="L120" s="29"/>
      <c r="M120" s="30"/>
      <c r="N120" s="30"/>
      <c r="O120" s="30"/>
      <c r="P120" s="30"/>
      <c r="Q120" s="30"/>
      <c r="R120" s="30"/>
      <c r="S120" s="30"/>
      <c r="T120" s="30"/>
      <c r="U120" s="30"/>
      <c r="V120" s="30"/>
      <c r="W120" s="27"/>
      <c r="X120" s="27"/>
    </row>
    <row r="121" spans="1:24">
      <c r="A121" s="30"/>
      <c r="B121" s="27"/>
      <c r="C121" s="28"/>
      <c r="D121" s="27"/>
      <c r="E121" s="28"/>
      <c r="F121" s="27"/>
      <c r="G121" s="28"/>
      <c r="H121" s="27"/>
      <c r="I121" s="27"/>
      <c r="J121" s="27"/>
      <c r="K121" s="28"/>
      <c r="L121" s="29"/>
      <c r="M121" s="30"/>
      <c r="N121" s="30"/>
      <c r="O121" s="30"/>
      <c r="P121" s="30"/>
      <c r="Q121" s="30"/>
      <c r="R121" s="30"/>
      <c r="S121" s="30"/>
      <c r="T121" s="30"/>
      <c r="U121" s="30"/>
      <c r="V121" s="30"/>
      <c r="W121" s="27"/>
      <c r="X121" s="27"/>
    </row>
    <row r="122" spans="1:24">
      <c r="A122" s="30"/>
      <c r="B122" s="27"/>
      <c r="C122" s="28"/>
      <c r="D122" s="27"/>
      <c r="E122" s="28"/>
      <c r="F122" s="27"/>
      <c r="G122" s="28"/>
      <c r="H122" s="27"/>
      <c r="I122" s="27"/>
      <c r="J122" s="27"/>
      <c r="K122" s="28"/>
      <c r="L122" s="29"/>
      <c r="M122" s="30"/>
      <c r="N122" s="30"/>
      <c r="O122" s="30"/>
      <c r="P122" s="30"/>
      <c r="Q122" s="30"/>
      <c r="R122" s="30"/>
      <c r="S122" s="30"/>
      <c r="T122" s="30"/>
      <c r="U122" s="30"/>
      <c r="V122" s="30"/>
      <c r="W122" s="27"/>
      <c r="X122" s="27"/>
    </row>
    <row r="123" spans="1:24">
      <c r="A123" s="30"/>
      <c r="B123" s="27"/>
      <c r="C123" s="28"/>
      <c r="D123" s="27"/>
      <c r="E123" s="28"/>
      <c r="F123" s="27"/>
      <c r="G123" s="28"/>
      <c r="H123" s="27"/>
      <c r="I123" s="27"/>
      <c r="J123" s="27"/>
      <c r="K123" s="28"/>
      <c r="L123" s="29"/>
      <c r="M123" s="30"/>
      <c r="N123" s="30"/>
      <c r="O123" s="30"/>
      <c r="P123" s="30"/>
      <c r="Q123" s="30"/>
      <c r="R123" s="30"/>
      <c r="S123" s="30"/>
      <c r="T123" s="30"/>
      <c r="U123" s="30"/>
      <c r="V123" s="30"/>
      <c r="W123" s="27"/>
      <c r="X123" s="27"/>
    </row>
    <row r="124" spans="1:24">
      <c r="A124" s="30"/>
      <c r="B124" s="27"/>
      <c r="C124" s="28"/>
      <c r="D124" s="27"/>
      <c r="E124" s="28"/>
      <c r="F124" s="27"/>
      <c r="G124" s="28"/>
      <c r="H124" s="27"/>
      <c r="I124" s="27"/>
      <c r="J124" s="27"/>
      <c r="K124" s="28"/>
      <c r="L124" s="29"/>
      <c r="M124" s="30"/>
      <c r="N124" s="30"/>
      <c r="O124" s="30"/>
      <c r="P124" s="30"/>
      <c r="Q124" s="30"/>
      <c r="R124" s="30"/>
      <c r="S124" s="30"/>
      <c r="T124" s="30"/>
      <c r="U124" s="30"/>
      <c r="V124" s="30"/>
      <c r="W124" s="27"/>
      <c r="X124" s="27"/>
    </row>
    <row r="125" spans="1:24">
      <c r="A125" s="30"/>
      <c r="B125" s="27"/>
      <c r="C125" s="28"/>
      <c r="D125" s="27"/>
      <c r="E125" s="28"/>
      <c r="F125" s="27"/>
      <c r="G125" s="28"/>
      <c r="H125" s="27"/>
      <c r="I125" s="27"/>
      <c r="J125" s="27"/>
      <c r="K125" s="28"/>
      <c r="L125" s="29"/>
      <c r="M125" s="30"/>
      <c r="N125" s="30"/>
      <c r="O125" s="30"/>
      <c r="P125" s="30"/>
      <c r="Q125" s="30"/>
      <c r="R125" s="30"/>
      <c r="S125" s="30"/>
      <c r="T125" s="30"/>
      <c r="U125" s="30"/>
      <c r="V125" s="30"/>
      <c r="W125" s="27"/>
      <c r="X125" s="27"/>
    </row>
    <row r="126" spans="1:24">
      <c r="A126" s="30"/>
      <c r="B126" s="27"/>
      <c r="C126" s="28"/>
      <c r="D126" s="27"/>
      <c r="E126" s="28"/>
      <c r="F126" s="27"/>
      <c r="G126" s="28"/>
      <c r="H126" s="27"/>
      <c r="I126" s="27"/>
      <c r="J126" s="27"/>
      <c r="K126" s="28"/>
      <c r="L126" s="29"/>
      <c r="M126" s="30"/>
      <c r="N126" s="30"/>
      <c r="O126" s="30"/>
      <c r="P126" s="30"/>
      <c r="Q126" s="30"/>
      <c r="R126" s="30"/>
      <c r="S126" s="30"/>
      <c r="T126" s="30"/>
      <c r="U126" s="30"/>
      <c r="V126" s="30"/>
      <c r="W126" s="27"/>
      <c r="X126" s="27"/>
    </row>
    <row r="127" spans="1:24">
      <c r="A127" s="30"/>
      <c r="B127" s="27"/>
      <c r="C127" s="28"/>
      <c r="D127" s="27"/>
      <c r="E127" s="28"/>
      <c r="F127" s="27"/>
      <c r="G127" s="28"/>
      <c r="H127" s="27"/>
      <c r="I127" s="27"/>
      <c r="J127" s="27"/>
      <c r="K127" s="28"/>
      <c r="L127" s="29"/>
      <c r="M127" s="30"/>
      <c r="N127" s="30"/>
      <c r="O127" s="30"/>
      <c r="P127" s="30"/>
      <c r="Q127" s="30"/>
      <c r="R127" s="30"/>
      <c r="S127" s="30"/>
      <c r="T127" s="30"/>
      <c r="U127" s="30"/>
      <c r="V127" s="30"/>
      <c r="W127" s="27"/>
      <c r="X127" s="27"/>
    </row>
    <row r="128" spans="1:24">
      <c r="A128" s="30"/>
      <c r="B128" s="27"/>
      <c r="C128" s="28"/>
      <c r="D128" s="27"/>
      <c r="E128" s="28"/>
      <c r="F128" s="27"/>
      <c r="G128" s="28"/>
      <c r="H128" s="27"/>
      <c r="I128" s="27"/>
      <c r="J128" s="27"/>
      <c r="K128" s="28"/>
      <c r="L128" s="29"/>
      <c r="M128" s="30"/>
      <c r="N128" s="30"/>
      <c r="O128" s="30"/>
      <c r="P128" s="30"/>
      <c r="Q128" s="30"/>
      <c r="R128" s="30"/>
      <c r="S128" s="30"/>
      <c r="T128" s="30"/>
      <c r="U128" s="30"/>
      <c r="V128" s="30"/>
      <c r="W128" s="27"/>
      <c r="X128" s="27"/>
    </row>
    <row r="129" spans="1:24">
      <c r="A129" s="30"/>
      <c r="B129" s="27"/>
      <c r="C129" s="28"/>
      <c r="D129" s="27"/>
      <c r="E129" s="28"/>
      <c r="F129" s="27"/>
      <c r="G129" s="28"/>
      <c r="H129" s="27"/>
      <c r="I129" s="27"/>
      <c r="J129" s="27"/>
      <c r="K129" s="28"/>
      <c r="L129" s="29"/>
      <c r="M129" s="30"/>
      <c r="N129" s="30"/>
      <c r="O129" s="30"/>
      <c r="P129" s="30"/>
      <c r="Q129" s="30"/>
      <c r="R129" s="30"/>
      <c r="S129" s="30"/>
      <c r="T129" s="30"/>
      <c r="U129" s="30"/>
      <c r="V129" s="30"/>
      <c r="W129" s="27"/>
      <c r="X129" s="27"/>
    </row>
    <row r="130" spans="1:24">
      <c r="A130" s="30"/>
      <c r="B130" s="27"/>
      <c r="C130" s="28"/>
      <c r="D130" s="27"/>
      <c r="E130" s="28"/>
      <c r="F130" s="27"/>
      <c r="G130" s="28"/>
      <c r="H130" s="27"/>
      <c r="I130" s="27"/>
      <c r="J130" s="27"/>
      <c r="K130" s="28"/>
      <c r="L130" s="29"/>
      <c r="M130" s="30"/>
      <c r="N130" s="30"/>
      <c r="O130" s="30"/>
      <c r="P130" s="30"/>
      <c r="Q130" s="30"/>
      <c r="R130" s="30"/>
      <c r="S130" s="30"/>
      <c r="T130" s="30"/>
      <c r="U130" s="30"/>
      <c r="V130" s="30"/>
      <c r="W130" s="27"/>
      <c r="X130" s="27"/>
    </row>
    <row r="131" spans="1:24">
      <c r="A131" s="30"/>
      <c r="B131" s="27"/>
      <c r="C131" s="28"/>
      <c r="D131" s="27"/>
      <c r="E131" s="28"/>
      <c r="F131" s="27"/>
      <c r="G131" s="28"/>
      <c r="H131" s="27"/>
      <c r="I131" s="27"/>
      <c r="J131" s="27"/>
      <c r="K131" s="28"/>
      <c r="L131" s="29"/>
      <c r="M131" s="30"/>
      <c r="N131" s="30"/>
      <c r="O131" s="30"/>
      <c r="P131" s="30"/>
      <c r="Q131" s="30"/>
      <c r="R131" s="30"/>
      <c r="S131" s="30"/>
      <c r="T131" s="30"/>
      <c r="U131" s="30"/>
      <c r="V131" s="30"/>
      <c r="W131" s="27"/>
      <c r="X131" s="27"/>
    </row>
    <row r="132" spans="1:24">
      <c r="A132" s="30"/>
      <c r="B132" s="27"/>
      <c r="C132" s="28"/>
      <c r="D132" s="27"/>
      <c r="E132" s="28"/>
      <c r="F132" s="27"/>
      <c r="G132" s="28"/>
      <c r="H132" s="27"/>
      <c r="I132" s="27"/>
      <c r="J132" s="27"/>
      <c r="K132" s="28"/>
      <c r="L132" s="29"/>
      <c r="M132" s="30"/>
      <c r="N132" s="30"/>
      <c r="O132" s="30"/>
      <c r="P132" s="30"/>
      <c r="Q132" s="30"/>
      <c r="R132" s="30"/>
      <c r="S132" s="30"/>
      <c r="T132" s="30"/>
      <c r="U132" s="30"/>
      <c r="V132" s="30"/>
      <c r="W132" s="27"/>
      <c r="X132" s="27"/>
    </row>
    <row r="133" spans="1:24">
      <c r="A133" s="30"/>
      <c r="B133" s="27"/>
      <c r="C133" s="28"/>
      <c r="D133" s="27"/>
      <c r="E133" s="28"/>
      <c r="F133" s="27"/>
      <c r="G133" s="28"/>
      <c r="H133" s="27"/>
      <c r="I133" s="27"/>
      <c r="J133" s="27"/>
      <c r="K133" s="28"/>
      <c r="L133" s="29"/>
      <c r="M133" s="30"/>
      <c r="N133" s="30"/>
      <c r="O133" s="30"/>
      <c r="P133" s="30"/>
      <c r="Q133" s="30"/>
      <c r="R133" s="30"/>
      <c r="S133" s="30"/>
      <c r="T133" s="30"/>
      <c r="U133" s="30"/>
      <c r="V133" s="30"/>
      <c r="W133" s="27"/>
      <c r="X133" s="27"/>
    </row>
    <row r="134" spans="1:24">
      <c r="A134" s="30"/>
      <c r="B134" s="27"/>
      <c r="C134" s="28"/>
      <c r="D134" s="27"/>
      <c r="E134" s="28"/>
      <c r="F134" s="27"/>
      <c r="G134" s="28"/>
      <c r="H134" s="27"/>
      <c r="I134" s="27"/>
      <c r="J134" s="27"/>
      <c r="K134" s="28"/>
      <c r="L134" s="29"/>
      <c r="M134" s="30"/>
      <c r="N134" s="30"/>
      <c r="O134" s="30"/>
      <c r="P134" s="30"/>
      <c r="Q134" s="30"/>
      <c r="R134" s="30"/>
      <c r="S134" s="30"/>
      <c r="T134" s="30"/>
      <c r="U134" s="30"/>
      <c r="V134" s="30"/>
      <c r="W134" s="27"/>
      <c r="X134" s="27"/>
    </row>
    <row r="135" spans="1:24">
      <c r="A135" s="30"/>
      <c r="B135" s="27"/>
      <c r="C135" s="28"/>
      <c r="D135" s="27"/>
      <c r="E135" s="28"/>
      <c r="F135" s="27"/>
      <c r="G135" s="28"/>
      <c r="H135" s="27"/>
      <c r="I135" s="27"/>
      <c r="J135" s="27"/>
      <c r="K135" s="28"/>
      <c r="L135" s="29"/>
      <c r="M135" s="30"/>
      <c r="N135" s="30"/>
      <c r="O135" s="30"/>
      <c r="P135" s="30"/>
      <c r="Q135" s="30"/>
      <c r="R135" s="30"/>
      <c r="S135" s="30"/>
      <c r="T135" s="30"/>
      <c r="U135" s="30"/>
      <c r="V135" s="30"/>
      <c r="W135" s="27"/>
      <c r="X135" s="27"/>
    </row>
    <row r="136" spans="1:24">
      <c r="A136" s="30"/>
      <c r="B136" s="27"/>
      <c r="C136" s="28"/>
      <c r="D136" s="27"/>
      <c r="E136" s="28"/>
      <c r="F136" s="27"/>
      <c r="G136" s="28"/>
      <c r="H136" s="27"/>
      <c r="I136" s="27"/>
      <c r="J136" s="27"/>
      <c r="K136" s="28"/>
      <c r="L136" s="29"/>
      <c r="M136" s="30"/>
      <c r="N136" s="30"/>
      <c r="O136" s="30"/>
      <c r="P136" s="30"/>
      <c r="Q136" s="30"/>
      <c r="R136" s="30"/>
      <c r="S136" s="30"/>
      <c r="T136" s="30"/>
      <c r="U136" s="30"/>
      <c r="V136" s="30"/>
      <c r="W136" s="27"/>
      <c r="X136" s="27"/>
    </row>
    <row r="137" spans="1:24">
      <c r="A137" s="30"/>
      <c r="B137" s="27"/>
      <c r="C137" s="28"/>
      <c r="D137" s="27"/>
      <c r="E137" s="28"/>
      <c r="F137" s="27"/>
      <c r="G137" s="28"/>
      <c r="H137" s="27"/>
      <c r="I137" s="27"/>
      <c r="J137" s="27"/>
      <c r="K137" s="28"/>
      <c r="L137" s="29"/>
      <c r="M137" s="30"/>
      <c r="N137" s="30"/>
      <c r="O137" s="30"/>
      <c r="P137" s="30"/>
      <c r="Q137" s="30"/>
      <c r="R137" s="30"/>
      <c r="S137" s="30"/>
      <c r="T137" s="30"/>
      <c r="U137" s="30"/>
      <c r="V137" s="30"/>
      <c r="W137" s="27"/>
      <c r="X137" s="27"/>
    </row>
    <row r="138" spans="1:24">
      <c r="A138" s="30"/>
      <c r="B138" s="27"/>
      <c r="C138" s="28"/>
      <c r="D138" s="27"/>
      <c r="E138" s="28"/>
      <c r="F138" s="27"/>
      <c r="G138" s="28"/>
      <c r="H138" s="27"/>
      <c r="I138" s="27"/>
      <c r="J138" s="27"/>
      <c r="K138" s="28"/>
      <c r="L138" s="29"/>
      <c r="M138" s="30"/>
      <c r="N138" s="30"/>
      <c r="O138" s="30"/>
      <c r="P138" s="30"/>
      <c r="Q138" s="30"/>
      <c r="R138" s="30"/>
      <c r="S138" s="30"/>
      <c r="T138" s="30"/>
      <c r="U138" s="30"/>
      <c r="V138" s="30"/>
      <c r="W138" s="27"/>
      <c r="X138" s="27"/>
    </row>
  </sheetData>
  <sheetProtection algorithmName="SHA-512" hashValue="KZIPpFx+WvaoTgaG/XJpq1Rwd9AxRkzp97dFrNHVRGq9Bux0G7g/XdaJyKnf6FMGEbVK/BcSY2MGFUtPHmRLng==" saltValue="xMqB9yixStkLEcrV+F31og==" spinCount="100000" sheet="1" objects="1" scenarios="1" formatCells="0" formatColumns="0" formatRows="0"/>
  <mergeCells count="106">
    <mergeCell ref="W14:W15"/>
    <mergeCell ref="I4:I5"/>
    <mergeCell ref="S4:S5"/>
    <mergeCell ref="U4:U5"/>
    <mergeCell ref="W4:W5"/>
    <mergeCell ref="V8:V9"/>
    <mergeCell ref="X8:X9"/>
    <mergeCell ref="A1:A2"/>
    <mergeCell ref="X6:X7"/>
    <mergeCell ref="D4:D5"/>
    <mergeCell ref="I12:I13"/>
    <mergeCell ref="K12:K13"/>
    <mergeCell ref="B1:B2"/>
    <mergeCell ref="E6:E7"/>
    <mergeCell ref="U12:U13"/>
    <mergeCell ref="W12:W13"/>
    <mergeCell ref="L1:L2"/>
    <mergeCell ref="X1:X2"/>
    <mergeCell ref="G4:G5"/>
    <mergeCell ref="A14:A15"/>
    <mergeCell ref="I8:I9"/>
    <mergeCell ref="A4:A5"/>
    <mergeCell ref="K8:K9"/>
    <mergeCell ref="K4:K5"/>
    <mergeCell ref="G1:G2"/>
    <mergeCell ref="T6:T7"/>
    <mergeCell ref="I1:I2"/>
    <mergeCell ref="D14:D15"/>
    <mergeCell ref="F14:F15"/>
    <mergeCell ref="B4:B5"/>
    <mergeCell ref="R14:R15"/>
    <mergeCell ref="D6:D7"/>
    <mergeCell ref="F6:F7"/>
    <mergeCell ref="R4:R5"/>
    <mergeCell ref="T4:T5"/>
    <mergeCell ref="F12:F13"/>
    <mergeCell ref="H6:H7"/>
    <mergeCell ref="J6:J7"/>
    <mergeCell ref="G14:G15"/>
    <mergeCell ref="I14:I15"/>
    <mergeCell ref="K14:K15"/>
    <mergeCell ref="W1:W2"/>
    <mergeCell ref="D12:D13"/>
    <mergeCell ref="A8:A9"/>
    <mergeCell ref="C8:C9"/>
    <mergeCell ref="U8:U9"/>
    <mergeCell ref="X4:X5"/>
    <mergeCell ref="W8:W9"/>
    <mergeCell ref="H12:H13"/>
    <mergeCell ref="J12:J13"/>
    <mergeCell ref="V12:V13"/>
    <mergeCell ref="F4:F5"/>
    <mergeCell ref="H4:H5"/>
    <mergeCell ref="R8:R9"/>
    <mergeCell ref="D1:D2"/>
    <mergeCell ref="F1:F2"/>
    <mergeCell ref="B8:B9"/>
    <mergeCell ref="A6:A7"/>
    <mergeCell ref="F8:F9"/>
    <mergeCell ref="A12:A13"/>
    <mergeCell ref="C12:C13"/>
    <mergeCell ref="G6:G7"/>
    <mergeCell ref="T8:T9"/>
    <mergeCell ref="S6:S7"/>
    <mergeCell ref="X12:X13"/>
    <mergeCell ref="T12:T13"/>
    <mergeCell ref="J4:J5"/>
    <mergeCell ref="B6:B7"/>
    <mergeCell ref="X14:X15"/>
    <mergeCell ref="D8:D9"/>
    <mergeCell ref="H8:H9"/>
    <mergeCell ref="E12:E13"/>
    <mergeCell ref="J8:J9"/>
    <mergeCell ref="G12:G13"/>
    <mergeCell ref="I6:I7"/>
    <mergeCell ref="K6:K7"/>
    <mergeCell ref="C6:C7"/>
    <mergeCell ref="S12:S13"/>
    <mergeCell ref="U6:U7"/>
    <mergeCell ref="C14:C15"/>
    <mergeCell ref="W6:W7"/>
    <mergeCell ref="E14:E15"/>
    <mergeCell ref="C4:C5"/>
    <mergeCell ref="S14:S15"/>
    <mergeCell ref="E4:E5"/>
    <mergeCell ref="H14:H15"/>
    <mergeCell ref="J14:J15"/>
    <mergeCell ref="T14:T15"/>
    <mergeCell ref="V14:V15"/>
    <mergeCell ref="E8:E9"/>
    <mergeCell ref="B12:B13"/>
    <mergeCell ref="G8:G9"/>
    <mergeCell ref="S8:S9"/>
    <mergeCell ref="C1:C2"/>
    <mergeCell ref="E1:E2"/>
    <mergeCell ref="R6:R7"/>
    <mergeCell ref="M1:Q1"/>
    <mergeCell ref="B14:B15"/>
    <mergeCell ref="R12:R13"/>
    <mergeCell ref="H1:H2"/>
    <mergeCell ref="J1:J2"/>
    <mergeCell ref="R1:V1"/>
    <mergeCell ref="K1:K2"/>
    <mergeCell ref="V4:V5"/>
    <mergeCell ref="V6:V7"/>
    <mergeCell ref="U14:U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4"/>
  <sheetViews>
    <sheetView topLeftCell="G1" zoomScale="91" zoomScaleNormal="91" workbookViewId="0">
      <selection activeCell="R3" sqref="R3"/>
    </sheetView>
  </sheetViews>
  <sheetFormatPr baseColWidth="10" defaultRowHeight="14.4"/>
  <cols>
    <col min="3" max="3" width="28.44140625" customWidth="1"/>
    <col min="5" max="5" width="28.44140625" customWidth="1"/>
    <col min="7" max="7" width="28.44140625" customWidth="1"/>
    <col min="8" max="8" width="11.44140625" customWidth="1"/>
    <col min="9" max="9" width="45.6640625" customWidth="1"/>
    <col min="11" max="12" width="28.44140625" customWidth="1"/>
    <col min="23" max="23" width="17.5546875" customWidth="1"/>
    <col min="24" max="24" width="29" customWidth="1"/>
  </cols>
  <sheetData>
    <row r="1" spans="1:24" s="1" customFormat="1" ht="18.75" customHeight="1">
      <c r="A1" s="150" t="s">
        <v>0</v>
      </c>
      <c r="B1" s="150" t="s">
        <v>1</v>
      </c>
      <c r="C1" s="150" t="s">
        <v>2</v>
      </c>
      <c r="D1" s="150" t="s">
        <v>3</v>
      </c>
      <c r="E1" s="150" t="s">
        <v>4</v>
      </c>
      <c r="F1" s="150" t="s">
        <v>5</v>
      </c>
      <c r="G1" s="150" t="s">
        <v>6</v>
      </c>
      <c r="H1" s="188" t="s">
        <v>7</v>
      </c>
      <c r="I1" s="155" t="s">
        <v>8</v>
      </c>
      <c r="J1" s="150" t="s">
        <v>9</v>
      </c>
      <c r="K1" s="148" t="s">
        <v>10</v>
      </c>
      <c r="L1" s="148" t="s">
        <v>11</v>
      </c>
      <c r="M1" s="145" t="s">
        <v>12</v>
      </c>
      <c r="N1" s="146"/>
      <c r="O1" s="146"/>
      <c r="P1" s="146"/>
      <c r="Q1" s="147"/>
      <c r="R1" s="148" t="s">
        <v>13</v>
      </c>
      <c r="S1" s="134"/>
      <c r="T1" s="134"/>
      <c r="U1" s="134"/>
      <c r="V1" s="135"/>
      <c r="W1" s="148" t="s">
        <v>14</v>
      </c>
      <c r="X1" s="154" t="s">
        <v>15</v>
      </c>
    </row>
    <row r="2" spans="1:24" s="1" customFormat="1"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50" customHeight="1">
      <c r="A3" s="45">
        <v>1</v>
      </c>
      <c r="B3" s="45" t="s">
        <v>306</v>
      </c>
      <c r="C3" s="46" t="s">
        <v>307</v>
      </c>
      <c r="D3" s="47" t="s">
        <v>308</v>
      </c>
      <c r="E3" s="46" t="s">
        <v>309</v>
      </c>
      <c r="F3" s="44">
        <v>1</v>
      </c>
      <c r="G3" s="47" t="s">
        <v>310</v>
      </c>
      <c r="H3" s="116" t="s">
        <v>311</v>
      </c>
      <c r="I3" s="27" t="s">
        <v>312</v>
      </c>
      <c r="J3" s="44" t="s">
        <v>24</v>
      </c>
      <c r="K3" s="47" t="s">
        <v>25</v>
      </c>
      <c r="L3" s="47" t="s">
        <v>313</v>
      </c>
      <c r="M3" s="18"/>
      <c r="N3" s="18">
        <v>3</v>
      </c>
      <c r="O3" s="18">
        <v>4</v>
      </c>
      <c r="P3" s="18">
        <v>5</v>
      </c>
      <c r="Q3" s="18">
        <v>5</v>
      </c>
      <c r="R3" s="52" t="str">
        <f t="shared" ref="R3:V4" si="0">IF(M3="","",M3)</f>
        <v/>
      </c>
      <c r="S3" s="52">
        <f t="shared" si="0"/>
        <v>3</v>
      </c>
      <c r="T3" s="52">
        <f t="shared" si="0"/>
        <v>4</v>
      </c>
      <c r="U3" s="52">
        <f t="shared" si="0"/>
        <v>5</v>
      </c>
      <c r="V3" s="52">
        <f t="shared" si="0"/>
        <v>5</v>
      </c>
      <c r="W3" s="44" t="s">
        <v>27</v>
      </c>
      <c r="X3" s="26" t="s">
        <v>314</v>
      </c>
    </row>
    <row r="4" spans="1:24" ht="150" customHeight="1">
      <c r="A4" s="45">
        <v>2</v>
      </c>
      <c r="B4" s="45" t="s">
        <v>306</v>
      </c>
      <c r="C4" s="46" t="s">
        <v>307</v>
      </c>
      <c r="D4" s="47" t="s">
        <v>308</v>
      </c>
      <c r="E4" s="46" t="s">
        <v>309</v>
      </c>
      <c r="F4" s="44">
        <v>7</v>
      </c>
      <c r="G4" s="47" t="s">
        <v>315</v>
      </c>
      <c r="H4" s="116" t="s">
        <v>316</v>
      </c>
      <c r="I4" s="17" t="s">
        <v>317</v>
      </c>
      <c r="J4" s="44" t="s">
        <v>24</v>
      </c>
      <c r="K4" s="47" t="s">
        <v>25</v>
      </c>
      <c r="L4" s="47" t="s">
        <v>318</v>
      </c>
      <c r="M4" s="18"/>
      <c r="N4" s="18">
        <v>2</v>
      </c>
      <c r="O4" s="18">
        <v>2</v>
      </c>
      <c r="P4" s="18">
        <v>2</v>
      </c>
      <c r="Q4" s="18">
        <v>2</v>
      </c>
      <c r="R4" s="52" t="str">
        <f t="shared" si="0"/>
        <v/>
      </c>
      <c r="S4" s="52">
        <f t="shared" si="0"/>
        <v>2</v>
      </c>
      <c r="T4" s="52">
        <f t="shared" si="0"/>
        <v>2</v>
      </c>
      <c r="U4" s="52">
        <f t="shared" si="0"/>
        <v>2</v>
      </c>
      <c r="V4" s="52">
        <f t="shared" si="0"/>
        <v>2</v>
      </c>
      <c r="W4" s="44" t="s">
        <v>27</v>
      </c>
      <c r="X4" s="26" t="s">
        <v>314</v>
      </c>
    </row>
  </sheetData>
  <sheetProtection algorithmName="SHA-512" hashValue="eCTFDUz4Fvb+mufVcFZKeiLusdU1BHkTI8bdCrQ3ldtGPajF4xqUQbfbm5Ld+pu+uLbyLB+zXEYHvF01RivX2w==" saltValue="2ZtT2mYRLyBf4SrAFgRQgw==" spinCount="100000" sheet="1" objects="1" scenarios="1" formatCells="0" formatColumns="0" formatRows="0"/>
  <mergeCells count="16">
    <mergeCell ref="A1:A2"/>
    <mergeCell ref="B1:B2"/>
    <mergeCell ref="G1:G2"/>
    <mergeCell ref="D1:D2"/>
    <mergeCell ref="K1:K2"/>
    <mergeCell ref="I1:I2"/>
    <mergeCell ref="E1:E2"/>
    <mergeCell ref="J1:J2"/>
    <mergeCell ref="F1:F2"/>
    <mergeCell ref="W1:W2"/>
    <mergeCell ref="R1:V1"/>
    <mergeCell ref="X1:X2"/>
    <mergeCell ref="H1:H2"/>
    <mergeCell ref="C1:C2"/>
    <mergeCell ref="L1:L2"/>
    <mergeCell ref="M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5"/>
  <sheetViews>
    <sheetView topLeftCell="G1" zoomScaleNormal="100" workbookViewId="0">
      <selection activeCell="G4" sqref="G4"/>
    </sheetView>
  </sheetViews>
  <sheetFormatPr baseColWidth="10" defaultRowHeight="14.4"/>
  <cols>
    <col min="1" max="1" width="11.44140625" style="1" customWidth="1"/>
    <col min="3" max="3" width="27.88671875" customWidth="1"/>
    <col min="5" max="5" width="27.88671875" customWidth="1"/>
    <col min="7" max="8" width="27.88671875" customWidth="1"/>
    <col min="9" max="9" width="45.6640625" customWidth="1"/>
    <col min="11" max="11" width="27.88671875" style="22" customWidth="1"/>
    <col min="12" max="12" width="27.88671875" customWidth="1"/>
    <col min="13" max="22" width="11.44140625" style="1" customWidth="1"/>
    <col min="24" max="24" width="29" customWidth="1"/>
  </cols>
  <sheetData>
    <row r="1" spans="1:24" ht="23.4" customHeight="1">
      <c r="A1" s="150" t="s">
        <v>0</v>
      </c>
      <c r="B1" s="150" t="s">
        <v>1</v>
      </c>
      <c r="C1" s="150" t="s">
        <v>2</v>
      </c>
      <c r="D1" s="150" t="s">
        <v>3</v>
      </c>
      <c r="E1" s="150" t="s">
        <v>4</v>
      </c>
      <c r="F1" s="150" t="s">
        <v>5</v>
      </c>
      <c r="G1" s="150" t="s">
        <v>6</v>
      </c>
      <c r="H1" s="188" t="s">
        <v>7</v>
      </c>
      <c r="I1" s="155" t="s">
        <v>8</v>
      </c>
      <c r="J1" s="150" t="s">
        <v>9</v>
      </c>
      <c r="K1" s="148" t="s">
        <v>10</v>
      </c>
      <c r="L1" s="148" t="s">
        <v>11</v>
      </c>
      <c r="M1" s="145" t="s">
        <v>12</v>
      </c>
      <c r="N1" s="146"/>
      <c r="O1" s="146"/>
      <c r="P1" s="146"/>
      <c r="Q1" s="147"/>
      <c r="R1" s="133" t="s">
        <v>13</v>
      </c>
      <c r="S1" s="134"/>
      <c r="T1" s="134"/>
      <c r="U1" s="134"/>
      <c r="V1" s="135"/>
      <c r="W1" s="148" t="s">
        <v>14</v>
      </c>
      <c r="X1" s="154" t="s">
        <v>15</v>
      </c>
    </row>
    <row r="2" spans="1:24" ht="33.6"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65" customHeight="1">
      <c r="A3" s="44">
        <v>2</v>
      </c>
      <c r="B3" s="45" t="s">
        <v>319</v>
      </c>
      <c r="C3" s="46" t="s">
        <v>320</v>
      </c>
      <c r="D3" s="47" t="s">
        <v>321</v>
      </c>
      <c r="E3" s="46" t="s">
        <v>322</v>
      </c>
      <c r="F3" s="44">
        <v>6</v>
      </c>
      <c r="G3" s="47" t="s">
        <v>323</v>
      </c>
      <c r="H3" s="116" t="s">
        <v>324</v>
      </c>
      <c r="I3" s="17" t="s">
        <v>325</v>
      </c>
      <c r="J3" s="44" t="s">
        <v>24</v>
      </c>
      <c r="K3" s="48" t="s">
        <v>25</v>
      </c>
      <c r="L3" s="47" t="s">
        <v>326</v>
      </c>
      <c r="M3" s="18"/>
      <c r="N3" s="18">
        <v>1</v>
      </c>
      <c r="O3" s="18">
        <v>1</v>
      </c>
      <c r="P3" s="18">
        <v>1</v>
      </c>
      <c r="Q3" s="18">
        <v>1</v>
      </c>
      <c r="R3" s="52" t="str">
        <f t="shared" ref="R3:V5" si="0">IF(M3="","",M3)</f>
        <v/>
      </c>
      <c r="S3" s="52">
        <f t="shared" si="0"/>
        <v>1</v>
      </c>
      <c r="T3" s="52">
        <f t="shared" si="0"/>
        <v>1</v>
      </c>
      <c r="U3" s="52">
        <f t="shared" si="0"/>
        <v>1</v>
      </c>
      <c r="V3" s="52">
        <f t="shared" si="0"/>
        <v>1</v>
      </c>
      <c r="W3" s="44" t="s">
        <v>27</v>
      </c>
      <c r="X3" s="26" t="s">
        <v>327</v>
      </c>
    </row>
    <row r="4" spans="1:24" ht="165" customHeight="1">
      <c r="A4" s="44">
        <v>3</v>
      </c>
      <c r="B4" s="45" t="s">
        <v>319</v>
      </c>
      <c r="C4" s="46" t="s">
        <v>320</v>
      </c>
      <c r="D4" s="47" t="s">
        <v>321</v>
      </c>
      <c r="E4" s="46" t="s">
        <v>322</v>
      </c>
      <c r="F4" s="44">
        <v>13</v>
      </c>
      <c r="G4" s="47" t="s">
        <v>328</v>
      </c>
      <c r="H4" s="116" t="s">
        <v>329</v>
      </c>
      <c r="I4" s="17" t="s">
        <v>330</v>
      </c>
      <c r="J4" s="44" t="s">
        <v>24</v>
      </c>
      <c r="K4" s="48" t="s">
        <v>25</v>
      </c>
      <c r="L4" s="47" t="s">
        <v>331</v>
      </c>
      <c r="M4" s="25"/>
      <c r="N4" s="25">
        <v>19</v>
      </c>
      <c r="O4" s="25">
        <v>19</v>
      </c>
      <c r="P4" s="25">
        <v>19</v>
      </c>
      <c r="Q4" s="25">
        <v>19</v>
      </c>
      <c r="R4" s="52" t="str">
        <f t="shared" si="0"/>
        <v/>
      </c>
      <c r="S4" s="52">
        <f t="shared" si="0"/>
        <v>19</v>
      </c>
      <c r="T4" s="52">
        <f t="shared" si="0"/>
        <v>19</v>
      </c>
      <c r="U4" s="52">
        <f t="shared" si="0"/>
        <v>19</v>
      </c>
      <c r="V4" s="52">
        <f t="shared" si="0"/>
        <v>19</v>
      </c>
      <c r="W4" s="44" t="s">
        <v>27</v>
      </c>
      <c r="X4" s="26" t="s">
        <v>327</v>
      </c>
    </row>
    <row r="5" spans="1:24" ht="165" customHeight="1">
      <c r="A5" s="44">
        <v>4</v>
      </c>
      <c r="B5" s="45" t="s">
        <v>319</v>
      </c>
      <c r="C5" s="46" t="s">
        <v>320</v>
      </c>
      <c r="D5" s="47" t="s">
        <v>321</v>
      </c>
      <c r="E5" s="46" t="s">
        <v>322</v>
      </c>
      <c r="F5" s="44">
        <v>15</v>
      </c>
      <c r="G5" s="47" t="s">
        <v>332</v>
      </c>
      <c r="H5" s="116" t="s">
        <v>333</v>
      </c>
      <c r="I5" s="17" t="s">
        <v>334</v>
      </c>
      <c r="J5" s="44" t="s">
        <v>24</v>
      </c>
      <c r="K5" s="48" t="s">
        <v>25</v>
      </c>
      <c r="L5" s="47" t="s">
        <v>335</v>
      </c>
      <c r="M5" s="18"/>
      <c r="N5" s="18">
        <v>1</v>
      </c>
      <c r="O5" s="18">
        <v>1</v>
      </c>
      <c r="P5" s="18">
        <v>1</v>
      </c>
      <c r="Q5" s="18">
        <v>1</v>
      </c>
      <c r="R5" s="52" t="str">
        <f t="shared" si="0"/>
        <v/>
      </c>
      <c r="S5" s="52">
        <f t="shared" si="0"/>
        <v>1</v>
      </c>
      <c r="T5" s="52">
        <f t="shared" si="0"/>
        <v>1</v>
      </c>
      <c r="U5" s="52">
        <f t="shared" si="0"/>
        <v>1</v>
      </c>
      <c r="V5" s="52">
        <f t="shared" si="0"/>
        <v>1</v>
      </c>
      <c r="W5" s="44" t="s">
        <v>27</v>
      </c>
      <c r="X5" s="26" t="s">
        <v>327</v>
      </c>
    </row>
  </sheetData>
  <sheetProtection algorithmName="SHA-512" hashValue="xHr5SJilA3TH5JLdKGOx+RG+pUkr+DiONR1T3R1mGCx+0SI9d0uqKnCqJ96C6bLgEbthzkKFnkJtgaUBKpG2LQ==" saltValue="bGC4MZUrPr5XOOFJTA1m1A==" spinCount="100000" sheet="1" formatCells="0" formatColumns="0" formatRows="0"/>
  <mergeCells count="16">
    <mergeCell ref="A1:A2"/>
    <mergeCell ref="B1:B2"/>
    <mergeCell ref="G1:G2"/>
    <mergeCell ref="D1:D2"/>
    <mergeCell ref="K1:K2"/>
    <mergeCell ref="I1:I2"/>
    <mergeCell ref="E1:E2"/>
    <mergeCell ref="J1:J2"/>
    <mergeCell ref="F1:F2"/>
    <mergeCell ref="W1:W2"/>
    <mergeCell ref="R1:V1"/>
    <mergeCell ref="X1:X2"/>
    <mergeCell ref="H1:H2"/>
    <mergeCell ref="C1:C2"/>
    <mergeCell ref="L1:L2"/>
    <mergeCell ref="M1:Q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8"/>
  <sheetViews>
    <sheetView topLeftCell="E5" zoomScale="85" zoomScaleNormal="85" workbookViewId="0">
      <selection activeCell="G3" sqref="G3"/>
    </sheetView>
  </sheetViews>
  <sheetFormatPr baseColWidth="10" defaultRowHeight="14.4"/>
  <cols>
    <col min="1" max="1" width="11.44140625" style="1" customWidth="1"/>
    <col min="3" max="3" width="28.44140625" customWidth="1"/>
    <col min="5" max="5" width="28.44140625" customWidth="1"/>
    <col min="7" max="8" width="28.44140625" customWidth="1"/>
    <col min="9" max="9" width="45.6640625" customWidth="1"/>
    <col min="11" max="12" width="28.44140625" customWidth="1"/>
    <col min="13" max="22" width="11.44140625" style="1" customWidth="1"/>
    <col min="23" max="23" width="13" customWidth="1"/>
    <col min="24" max="24" width="29" customWidth="1"/>
  </cols>
  <sheetData>
    <row r="1" spans="1:24" ht="18.75" customHeight="1">
      <c r="A1" s="150" t="s">
        <v>0</v>
      </c>
      <c r="B1" s="150" t="s">
        <v>1</v>
      </c>
      <c r="C1" s="150" t="s">
        <v>2</v>
      </c>
      <c r="D1" s="150" t="s">
        <v>3</v>
      </c>
      <c r="E1" s="150" t="s">
        <v>4</v>
      </c>
      <c r="F1" s="150" t="s">
        <v>5</v>
      </c>
      <c r="G1" s="150" t="s">
        <v>6</v>
      </c>
      <c r="H1" s="188" t="s">
        <v>7</v>
      </c>
      <c r="I1" s="155" t="s">
        <v>8</v>
      </c>
      <c r="J1" s="150" t="s">
        <v>9</v>
      </c>
      <c r="K1" s="191" t="s">
        <v>10</v>
      </c>
      <c r="L1" s="148"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56.75" customHeight="1">
      <c r="A3" s="44">
        <v>1</v>
      </c>
      <c r="B3" s="45" t="s">
        <v>336</v>
      </c>
      <c r="C3" s="47" t="s">
        <v>337</v>
      </c>
      <c r="D3" s="47" t="s">
        <v>338</v>
      </c>
      <c r="E3" s="47" t="s">
        <v>339</v>
      </c>
      <c r="F3" s="44">
        <v>2</v>
      </c>
      <c r="G3" s="104" t="s">
        <v>340</v>
      </c>
      <c r="H3" s="116" t="s">
        <v>341</v>
      </c>
      <c r="I3" s="17" t="s">
        <v>342</v>
      </c>
      <c r="J3" s="44" t="s">
        <v>24</v>
      </c>
      <c r="K3" s="47" t="s">
        <v>25</v>
      </c>
      <c r="L3" s="47" t="s">
        <v>343</v>
      </c>
      <c r="M3" s="25"/>
      <c r="N3" s="25">
        <v>16</v>
      </c>
      <c r="O3" s="25">
        <v>16</v>
      </c>
      <c r="P3" s="25">
        <v>16</v>
      </c>
      <c r="Q3" s="25">
        <v>16</v>
      </c>
      <c r="R3" s="52" t="str">
        <f t="shared" ref="R3:V8" si="0">IF(M3="","",M3)</f>
        <v/>
      </c>
      <c r="S3" s="52">
        <f t="shared" si="0"/>
        <v>16</v>
      </c>
      <c r="T3" s="52">
        <f t="shared" si="0"/>
        <v>16</v>
      </c>
      <c r="U3" s="52">
        <f t="shared" si="0"/>
        <v>16</v>
      </c>
      <c r="V3" s="52">
        <f t="shared" si="0"/>
        <v>16</v>
      </c>
      <c r="W3" s="44" t="s">
        <v>33</v>
      </c>
      <c r="X3" s="26" t="s">
        <v>344</v>
      </c>
    </row>
    <row r="4" spans="1:24" ht="156.75" customHeight="1">
      <c r="A4" s="44">
        <v>2</v>
      </c>
      <c r="B4" s="45" t="s">
        <v>336</v>
      </c>
      <c r="C4" s="47" t="s">
        <v>337</v>
      </c>
      <c r="D4" s="47" t="s">
        <v>338</v>
      </c>
      <c r="E4" s="47" t="s">
        <v>339</v>
      </c>
      <c r="F4" s="44">
        <v>4</v>
      </c>
      <c r="G4" s="104" t="s">
        <v>345</v>
      </c>
      <c r="H4" s="117" t="s">
        <v>346</v>
      </c>
      <c r="I4" s="17" t="s">
        <v>347</v>
      </c>
      <c r="J4" s="44" t="s">
        <v>24</v>
      </c>
      <c r="K4" s="47" t="s">
        <v>25</v>
      </c>
      <c r="L4" s="47" t="s">
        <v>348</v>
      </c>
      <c r="M4" s="25"/>
      <c r="N4" s="25">
        <v>16</v>
      </c>
      <c r="O4" s="25">
        <v>16</v>
      </c>
      <c r="P4" s="25">
        <v>16</v>
      </c>
      <c r="Q4" s="25">
        <v>16</v>
      </c>
      <c r="R4" s="52" t="str">
        <f t="shared" si="0"/>
        <v/>
      </c>
      <c r="S4" s="52">
        <f t="shared" si="0"/>
        <v>16</v>
      </c>
      <c r="T4" s="52">
        <f t="shared" si="0"/>
        <v>16</v>
      </c>
      <c r="U4" s="52">
        <f t="shared" si="0"/>
        <v>16</v>
      </c>
      <c r="V4" s="52">
        <f t="shared" si="0"/>
        <v>16</v>
      </c>
      <c r="W4" s="44" t="s">
        <v>33</v>
      </c>
      <c r="X4" s="26" t="s">
        <v>344</v>
      </c>
    </row>
    <row r="5" spans="1:24" ht="156.75" customHeight="1">
      <c r="A5" s="44">
        <v>3</v>
      </c>
      <c r="B5" s="45" t="s">
        <v>336</v>
      </c>
      <c r="C5" s="47" t="s">
        <v>337</v>
      </c>
      <c r="D5" s="47" t="s">
        <v>338</v>
      </c>
      <c r="E5" s="47" t="s">
        <v>339</v>
      </c>
      <c r="F5" s="44">
        <v>8</v>
      </c>
      <c r="G5" s="104" t="s">
        <v>349</v>
      </c>
      <c r="H5" s="116" t="s">
        <v>350</v>
      </c>
      <c r="I5" s="17" t="s">
        <v>351</v>
      </c>
      <c r="J5" s="44" t="s">
        <v>24</v>
      </c>
      <c r="K5" s="47" t="s">
        <v>25</v>
      </c>
      <c r="L5" s="47" t="s">
        <v>352</v>
      </c>
      <c r="M5" s="25"/>
      <c r="N5" s="25">
        <v>1</v>
      </c>
      <c r="O5" s="25">
        <v>0</v>
      </c>
      <c r="P5" s="25">
        <v>0</v>
      </c>
      <c r="Q5" s="25">
        <v>0</v>
      </c>
      <c r="R5" s="52" t="str">
        <f t="shared" si="0"/>
        <v/>
      </c>
      <c r="S5" s="52">
        <f t="shared" si="0"/>
        <v>1</v>
      </c>
      <c r="T5" s="52">
        <f t="shared" si="0"/>
        <v>0</v>
      </c>
      <c r="U5" s="52">
        <f t="shared" si="0"/>
        <v>0</v>
      </c>
      <c r="V5" s="52">
        <f t="shared" si="0"/>
        <v>0</v>
      </c>
      <c r="W5" s="44" t="s">
        <v>33</v>
      </c>
      <c r="X5" s="26" t="s">
        <v>344</v>
      </c>
    </row>
    <row r="6" spans="1:24" ht="156.75" customHeight="1">
      <c r="A6" s="44">
        <v>4</v>
      </c>
      <c r="B6" s="45" t="s">
        <v>336</v>
      </c>
      <c r="C6" s="47" t="s">
        <v>337</v>
      </c>
      <c r="D6" s="47" t="s">
        <v>353</v>
      </c>
      <c r="E6" s="47" t="s">
        <v>354</v>
      </c>
      <c r="F6" s="44">
        <v>15</v>
      </c>
      <c r="G6" s="104" t="s">
        <v>355</v>
      </c>
      <c r="H6" s="115" t="s">
        <v>356</v>
      </c>
      <c r="I6" s="17" t="s">
        <v>357</v>
      </c>
      <c r="J6" s="44" t="s">
        <v>24</v>
      </c>
      <c r="K6" s="47" t="s">
        <v>25</v>
      </c>
      <c r="L6" s="47" t="s">
        <v>358</v>
      </c>
      <c r="M6" s="25"/>
      <c r="N6" s="25">
        <v>1</v>
      </c>
      <c r="O6" s="25">
        <v>0</v>
      </c>
      <c r="P6" s="25">
        <v>0</v>
      </c>
      <c r="Q6" s="25">
        <v>0</v>
      </c>
      <c r="R6" s="52" t="str">
        <f t="shared" si="0"/>
        <v/>
      </c>
      <c r="S6" s="52">
        <f t="shared" si="0"/>
        <v>1</v>
      </c>
      <c r="T6" s="52">
        <f t="shared" si="0"/>
        <v>0</v>
      </c>
      <c r="U6" s="52">
        <f t="shared" si="0"/>
        <v>0</v>
      </c>
      <c r="V6" s="52">
        <f t="shared" si="0"/>
        <v>0</v>
      </c>
      <c r="W6" s="44" t="s">
        <v>33</v>
      </c>
      <c r="X6" s="26" t="s">
        <v>344</v>
      </c>
    </row>
    <row r="7" spans="1:24" ht="156.75" customHeight="1">
      <c r="A7" s="44">
        <v>5</v>
      </c>
      <c r="B7" s="44" t="s">
        <v>336</v>
      </c>
      <c r="C7" s="49" t="s">
        <v>337</v>
      </c>
      <c r="D7" s="49" t="s">
        <v>353</v>
      </c>
      <c r="E7" s="47" t="s">
        <v>354</v>
      </c>
      <c r="F7" s="44">
        <v>17</v>
      </c>
      <c r="G7" s="104" t="s">
        <v>359</v>
      </c>
      <c r="H7" s="115" t="s">
        <v>360</v>
      </c>
      <c r="I7" s="17" t="s">
        <v>361</v>
      </c>
      <c r="J7" s="44" t="s">
        <v>24</v>
      </c>
      <c r="K7" s="47" t="s">
        <v>25</v>
      </c>
      <c r="L7" s="49" t="s">
        <v>362</v>
      </c>
      <c r="M7" s="25"/>
      <c r="N7" s="25">
        <v>1</v>
      </c>
      <c r="O7" s="25">
        <v>1</v>
      </c>
      <c r="P7" s="25">
        <v>1</v>
      </c>
      <c r="Q7" s="25">
        <v>1</v>
      </c>
      <c r="R7" s="52" t="str">
        <f t="shared" si="0"/>
        <v/>
      </c>
      <c r="S7" s="52">
        <f t="shared" si="0"/>
        <v>1</v>
      </c>
      <c r="T7" s="52">
        <f t="shared" si="0"/>
        <v>1</v>
      </c>
      <c r="U7" s="52">
        <f t="shared" si="0"/>
        <v>1</v>
      </c>
      <c r="V7" s="52">
        <f t="shared" si="0"/>
        <v>1</v>
      </c>
      <c r="W7" s="44" t="s">
        <v>33</v>
      </c>
      <c r="X7" s="26" t="s">
        <v>344</v>
      </c>
    </row>
    <row r="8" spans="1:24" ht="156.75" customHeight="1">
      <c r="A8" s="44">
        <v>6</v>
      </c>
      <c r="B8" s="45" t="s">
        <v>336</v>
      </c>
      <c r="C8" s="47" t="s">
        <v>337</v>
      </c>
      <c r="D8" s="47" t="s">
        <v>353</v>
      </c>
      <c r="E8" s="47" t="s">
        <v>354</v>
      </c>
      <c r="F8" s="44">
        <v>20</v>
      </c>
      <c r="G8" s="104" t="s">
        <v>363</v>
      </c>
      <c r="H8" s="115" t="s">
        <v>364</v>
      </c>
      <c r="I8" s="17" t="s">
        <v>365</v>
      </c>
      <c r="J8" s="44" t="s">
        <v>24</v>
      </c>
      <c r="K8" s="47" t="s">
        <v>25</v>
      </c>
      <c r="L8" s="47" t="s">
        <v>366</v>
      </c>
      <c r="M8" s="25"/>
      <c r="N8" s="25">
        <v>1</v>
      </c>
      <c r="O8" s="25">
        <v>1</v>
      </c>
      <c r="P8" s="25">
        <v>1</v>
      </c>
      <c r="Q8" s="25">
        <v>1</v>
      </c>
      <c r="R8" s="52" t="str">
        <f t="shared" si="0"/>
        <v/>
      </c>
      <c r="S8" s="52">
        <f t="shared" si="0"/>
        <v>1</v>
      </c>
      <c r="T8" s="52">
        <f t="shared" si="0"/>
        <v>1</v>
      </c>
      <c r="U8" s="52">
        <f t="shared" si="0"/>
        <v>1</v>
      </c>
      <c r="V8" s="52">
        <f t="shared" si="0"/>
        <v>1</v>
      </c>
      <c r="W8" s="44" t="s">
        <v>33</v>
      </c>
      <c r="X8" s="26" t="s">
        <v>344</v>
      </c>
    </row>
  </sheetData>
  <sheetProtection algorithmName="SHA-512" hashValue="4jjh2tfnSpxwsHCw6sQmNweDt5USklJSSmWtnezQkoJLwM+KfgeBlLzlLw21HZBTsMiKma32Ahrxq+fPrweQZA==" saltValue="kKoKlmZ5EN6iVr8gm5GJqw==" spinCount="100000" sheet="1" formatCells="0" formatColumns="0" formatRows="0"/>
  <mergeCells count="16">
    <mergeCell ref="A1:A2"/>
    <mergeCell ref="B1:B2"/>
    <mergeCell ref="G1:G2"/>
    <mergeCell ref="D1:D2"/>
    <mergeCell ref="K1:K2"/>
    <mergeCell ref="I1:I2"/>
    <mergeCell ref="E1:E2"/>
    <mergeCell ref="J1:J2"/>
    <mergeCell ref="F1:F2"/>
    <mergeCell ref="W1:W2"/>
    <mergeCell ref="R1:V1"/>
    <mergeCell ref="X1:X2"/>
    <mergeCell ref="H1:H2"/>
    <mergeCell ref="C1:C2"/>
    <mergeCell ref="L1:L2"/>
    <mergeCell ref="M1:Q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
  <sheetViews>
    <sheetView topLeftCell="E1" zoomScale="91" zoomScaleNormal="91" workbookViewId="0">
      <selection activeCell="L1" sqref="L1:L1048576"/>
    </sheetView>
  </sheetViews>
  <sheetFormatPr baseColWidth="10" defaultRowHeight="14.4"/>
  <cols>
    <col min="3" max="3" width="29.33203125" style="22" customWidth="1"/>
    <col min="5" max="5" width="29.33203125" style="22" customWidth="1"/>
    <col min="7" max="8" width="29.33203125" style="22" customWidth="1"/>
    <col min="9" max="9" width="45.6640625" customWidth="1"/>
    <col min="11" max="11" width="29.33203125" style="1" customWidth="1"/>
    <col min="12" max="12" width="29.33203125" style="22" customWidth="1"/>
    <col min="13" max="22" width="11.44140625" style="1" customWidth="1"/>
    <col min="24" max="24" width="29" customWidth="1"/>
  </cols>
  <sheetData>
    <row r="1" spans="1:24" ht="18.75" customHeight="1">
      <c r="A1" s="150" t="s">
        <v>0</v>
      </c>
      <c r="B1" s="150" t="s">
        <v>1</v>
      </c>
      <c r="C1" s="193" t="s">
        <v>2</v>
      </c>
      <c r="D1" s="150" t="s">
        <v>3</v>
      </c>
      <c r="E1" s="193" t="s">
        <v>4</v>
      </c>
      <c r="F1" s="150" t="s">
        <v>5</v>
      </c>
      <c r="G1" s="193" t="s">
        <v>6</v>
      </c>
      <c r="H1" s="197" t="s">
        <v>7</v>
      </c>
      <c r="I1" s="155" t="s">
        <v>8</v>
      </c>
      <c r="J1" s="150" t="s">
        <v>9</v>
      </c>
      <c r="K1" s="148" t="s">
        <v>10</v>
      </c>
      <c r="L1" s="153"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95.25" customHeight="1">
      <c r="A3" s="44">
        <v>1</v>
      </c>
      <c r="B3" s="45" t="s">
        <v>367</v>
      </c>
      <c r="C3" s="48" t="s">
        <v>368</v>
      </c>
      <c r="D3" s="47" t="s">
        <v>369</v>
      </c>
      <c r="E3" s="48" t="s">
        <v>370</v>
      </c>
      <c r="F3" s="44">
        <v>1</v>
      </c>
      <c r="G3" s="48" t="s">
        <v>371</v>
      </c>
      <c r="H3" s="18" t="s">
        <v>372</v>
      </c>
      <c r="I3" s="20" t="s">
        <v>373</v>
      </c>
      <c r="J3" s="44" t="s">
        <v>24</v>
      </c>
      <c r="K3" s="49" t="s">
        <v>25</v>
      </c>
      <c r="L3" s="48" t="s">
        <v>374</v>
      </c>
      <c r="M3" s="25"/>
      <c r="N3" s="25">
        <v>1</v>
      </c>
      <c r="O3" s="25">
        <v>1</v>
      </c>
      <c r="P3" s="25">
        <v>1</v>
      </c>
      <c r="Q3" s="25">
        <v>1</v>
      </c>
      <c r="R3" s="52" t="str">
        <f>IF(M3="","",M3)</f>
        <v/>
      </c>
      <c r="S3" s="52">
        <f>IF(N3="","",N3)</f>
        <v>1</v>
      </c>
      <c r="T3" s="52">
        <f>IF(O3="","",O3)</f>
        <v>1</v>
      </c>
      <c r="U3" s="52">
        <f>IF(P3="","",P3)</f>
        <v>1</v>
      </c>
      <c r="V3" s="52">
        <f>IF(Q3="","",Q3)</f>
        <v>1</v>
      </c>
      <c r="W3" s="44" t="s">
        <v>27</v>
      </c>
      <c r="X3" s="26" t="s">
        <v>375</v>
      </c>
    </row>
    <row r="4" spans="1:24" ht="57.75" customHeight="1">
      <c r="A4" s="140">
        <v>2</v>
      </c>
      <c r="B4" s="140" t="s">
        <v>367</v>
      </c>
      <c r="C4" s="159" t="s">
        <v>368</v>
      </c>
      <c r="D4" s="149" t="s">
        <v>369</v>
      </c>
      <c r="E4" s="159" t="s">
        <v>370</v>
      </c>
      <c r="F4" s="140">
        <v>2</v>
      </c>
      <c r="G4" s="159" t="s">
        <v>376</v>
      </c>
      <c r="H4" s="142" t="s">
        <v>377</v>
      </c>
      <c r="I4" s="142" t="s">
        <v>378</v>
      </c>
      <c r="J4" s="152" t="s">
        <v>49</v>
      </c>
      <c r="K4" s="149" t="s">
        <v>379</v>
      </c>
      <c r="L4" s="48" t="s">
        <v>380</v>
      </c>
      <c r="M4" s="25"/>
      <c r="N4" s="25">
        <v>111</v>
      </c>
      <c r="O4" s="25">
        <v>113</v>
      </c>
      <c r="P4" s="25">
        <v>116</v>
      </c>
      <c r="Q4" s="25">
        <v>118</v>
      </c>
      <c r="R4" s="136" t="str">
        <f>IF(M5,M4/M5*100,"")</f>
        <v/>
      </c>
      <c r="S4" s="136">
        <f>IF(N5,N4/N5*100,"")</f>
        <v>39.08450704225352</v>
      </c>
      <c r="T4" s="136">
        <f>IF(O5,O4/O5*100,"")</f>
        <v>39.649122807017548</v>
      </c>
      <c r="U4" s="136">
        <f>IF(P5,P4/P5*100,"")</f>
        <v>40.418118466898953</v>
      </c>
      <c r="V4" s="136">
        <f>IF(Q5,Q4/Q5*100,"")</f>
        <v>40.972222222222221</v>
      </c>
      <c r="W4" s="140" t="s">
        <v>27</v>
      </c>
      <c r="X4" s="138" t="s">
        <v>375</v>
      </c>
    </row>
    <row r="5" spans="1:24" ht="37.5" customHeight="1">
      <c r="A5" s="137"/>
      <c r="B5" s="137"/>
      <c r="C5" s="137"/>
      <c r="D5" s="137"/>
      <c r="E5" s="137"/>
      <c r="F5" s="137"/>
      <c r="G5" s="137"/>
      <c r="H5" s="139"/>
      <c r="I5" s="139"/>
      <c r="J5" s="137"/>
      <c r="K5" s="137"/>
      <c r="L5" s="48" t="s">
        <v>381</v>
      </c>
      <c r="M5" s="25"/>
      <c r="N5" s="25">
        <v>284</v>
      </c>
      <c r="O5" s="25">
        <v>285</v>
      </c>
      <c r="P5" s="25">
        <v>287</v>
      </c>
      <c r="Q5" s="25">
        <v>288</v>
      </c>
      <c r="R5" s="137"/>
      <c r="S5" s="137"/>
      <c r="T5" s="137"/>
      <c r="U5" s="137"/>
      <c r="V5" s="137"/>
      <c r="W5" s="137"/>
      <c r="X5" s="139"/>
    </row>
    <row r="6" spans="1:24" ht="47.25" customHeight="1">
      <c r="A6" s="140">
        <v>3</v>
      </c>
      <c r="B6" s="140" t="s">
        <v>367</v>
      </c>
      <c r="C6" s="159" t="s">
        <v>368</v>
      </c>
      <c r="D6" s="149" t="s">
        <v>369</v>
      </c>
      <c r="E6" s="159" t="s">
        <v>370</v>
      </c>
      <c r="F6" s="140">
        <v>3</v>
      </c>
      <c r="G6" s="159" t="s">
        <v>382</v>
      </c>
      <c r="H6" s="142" t="s">
        <v>383</v>
      </c>
      <c r="I6" s="142" t="s">
        <v>384</v>
      </c>
      <c r="J6" s="152" t="s">
        <v>49</v>
      </c>
      <c r="K6" s="149" t="s">
        <v>385</v>
      </c>
      <c r="L6" s="48" t="s">
        <v>386</v>
      </c>
      <c r="M6" s="25"/>
      <c r="N6" s="25">
        <v>23</v>
      </c>
      <c r="O6" s="25">
        <v>23</v>
      </c>
      <c r="P6" s="25">
        <v>24</v>
      </c>
      <c r="Q6" s="25">
        <v>24</v>
      </c>
      <c r="R6" s="136" t="str">
        <f>IF(M7,M6/M7*100,"")</f>
        <v/>
      </c>
      <c r="S6" s="136">
        <f>IF(N7,N6/N7*100,"")</f>
        <v>29.11392405063291</v>
      </c>
      <c r="T6" s="136">
        <f>IF(O7,O6/O7*100,"")</f>
        <v>29.11392405063291</v>
      </c>
      <c r="U6" s="136">
        <f>IF(P7,P6/P7*100,"")</f>
        <v>30</v>
      </c>
      <c r="V6" s="136">
        <f>IF(Q7,Q6/Q7*100,"")</f>
        <v>30</v>
      </c>
      <c r="W6" s="140" t="s">
        <v>27</v>
      </c>
      <c r="X6" s="138" t="s">
        <v>375</v>
      </c>
    </row>
    <row r="7" spans="1:24" ht="47.25" customHeight="1">
      <c r="A7" s="137"/>
      <c r="B7" s="137"/>
      <c r="C7" s="137"/>
      <c r="D7" s="137"/>
      <c r="E7" s="137"/>
      <c r="F7" s="137"/>
      <c r="G7" s="137"/>
      <c r="H7" s="139"/>
      <c r="I7" s="139"/>
      <c r="J7" s="137"/>
      <c r="K7" s="137"/>
      <c r="L7" s="90" t="s">
        <v>387</v>
      </c>
      <c r="M7" s="21"/>
      <c r="N7" s="21">
        <v>79</v>
      </c>
      <c r="O7" s="21">
        <v>79</v>
      </c>
      <c r="P7" s="21">
        <v>80</v>
      </c>
      <c r="Q7" s="21">
        <v>80</v>
      </c>
      <c r="R7" s="137"/>
      <c r="S7" s="137"/>
      <c r="T7" s="137"/>
      <c r="U7" s="137"/>
      <c r="V7" s="137"/>
      <c r="W7" s="137"/>
      <c r="X7" s="139"/>
    </row>
    <row r="8" spans="1:24" ht="48.75" customHeight="1">
      <c r="A8" s="140">
        <v>4</v>
      </c>
      <c r="B8" s="140" t="s">
        <v>367</v>
      </c>
      <c r="C8" s="159" t="s">
        <v>368</v>
      </c>
      <c r="D8" s="149" t="s">
        <v>369</v>
      </c>
      <c r="E8" s="192" t="s">
        <v>370</v>
      </c>
      <c r="F8" s="136">
        <v>7</v>
      </c>
      <c r="G8" s="192" t="s">
        <v>388</v>
      </c>
      <c r="H8" s="194" t="s">
        <v>389</v>
      </c>
      <c r="I8" s="194" t="s">
        <v>390</v>
      </c>
      <c r="J8" s="196" t="s">
        <v>49</v>
      </c>
      <c r="K8" s="195" t="s">
        <v>391</v>
      </c>
      <c r="L8" s="105" t="s">
        <v>392</v>
      </c>
      <c r="M8" s="25"/>
      <c r="N8" s="25">
        <v>1420</v>
      </c>
      <c r="O8" s="25">
        <v>1452</v>
      </c>
      <c r="P8" s="25">
        <v>1484</v>
      </c>
      <c r="Q8" s="25">
        <v>1517</v>
      </c>
      <c r="R8" s="136" t="str">
        <f>IF(M9,M8/M9*100,"")</f>
        <v/>
      </c>
      <c r="S8" s="136">
        <f>IF(N9,N8/N9*100,"")</f>
        <v>47.507527601204416</v>
      </c>
      <c r="T8" s="136">
        <f>IF(O9,O8/O9*100,"")</f>
        <v>48.335552596537951</v>
      </c>
      <c r="U8" s="136">
        <f>IF(P9,P8/P9*100,"")</f>
        <v>49.155349453461412</v>
      </c>
      <c r="V8" s="136">
        <f>IF(Q9,Q8/Q9*100,"")</f>
        <v>50</v>
      </c>
      <c r="W8" s="136" t="s">
        <v>27</v>
      </c>
      <c r="X8" s="138" t="s">
        <v>375</v>
      </c>
    </row>
    <row r="9" spans="1:24" ht="48.75" customHeight="1">
      <c r="A9" s="137"/>
      <c r="B9" s="137"/>
      <c r="C9" s="137"/>
      <c r="D9" s="137"/>
      <c r="E9" s="137"/>
      <c r="F9" s="137"/>
      <c r="G9" s="137"/>
      <c r="H9" s="139"/>
      <c r="I9" s="139"/>
      <c r="J9" s="137"/>
      <c r="K9" s="137"/>
      <c r="L9" s="106" t="s">
        <v>393</v>
      </c>
      <c r="M9" s="100">
        <f>'2 EstudiantadoEstProf'!M14</f>
        <v>0</v>
      </c>
      <c r="N9" s="100">
        <v>2989</v>
      </c>
      <c r="O9" s="100">
        <v>3004</v>
      </c>
      <c r="P9" s="100">
        <v>3019</v>
      </c>
      <c r="Q9" s="100">
        <v>3034</v>
      </c>
      <c r="R9" s="137"/>
      <c r="S9" s="137"/>
      <c r="T9" s="137"/>
      <c r="U9" s="137"/>
      <c r="V9" s="137"/>
      <c r="W9" s="137"/>
      <c r="X9" s="139"/>
    </row>
    <row r="10" spans="1:24" ht="94.5" customHeight="1">
      <c r="A10" s="44">
        <v>5</v>
      </c>
      <c r="B10" s="45" t="s">
        <v>367</v>
      </c>
      <c r="C10" s="48" t="s">
        <v>368</v>
      </c>
      <c r="D10" s="47" t="s">
        <v>394</v>
      </c>
      <c r="E10" s="48" t="s">
        <v>395</v>
      </c>
      <c r="F10" s="44">
        <v>5</v>
      </c>
      <c r="G10" s="48" t="s">
        <v>396</v>
      </c>
      <c r="H10" s="18" t="s">
        <v>397</v>
      </c>
      <c r="I10" s="17" t="s">
        <v>398</v>
      </c>
      <c r="J10" s="44" t="s">
        <v>24</v>
      </c>
      <c r="K10" s="49" t="s">
        <v>25</v>
      </c>
      <c r="L10" s="48" t="s">
        <v>399</v>
      </c>
      <c r="M10" s="25"/>
      <c r="N10" s="25">
        <v>6</v>
      </c>
      <c r="O10" s="25">
        <v>6</v>
      </c>
      <c r="P10" s="25">
        <v>6</v>
      </c>
      <c r="Q10" s="25">
        <v>6</v>
      </c>
      <c r="R10" s="52" t="str">
        <f>IF(M10="","",M10)</f>
        <v/>
      </c>
      <c r="S10" s="52">
        <f>IF(N10="","",N10)</f>
        <v>6</v>
      </c>
      <c r="T10" s="52">
        <f>IF(O10="","",O10)</f>
        <v>6</v>
      </c>
      <c r="U10" s="52">
        <f>IF(P10="","",P10)</f>
        <v>6</v>
      </c>
      <c r="V10" s="52">
        <f>IF(Q10="","",Q10)</f>
        <v>6</v>
      </c>
      <c r="W10" s="44" t="s">
        <v>27</v>
      </c>
      <c r="X10" s="26" t="s">
        <v>375</v>
      </c>
    </row>
  </sheetData>
  <sheetProtection algorithmName="SHA-512" hashValue="ZzrnVOE78why6otV71zdGimuunDyg0YIDkbI86et2nl28pVn1xBTwbjtuBgT4xl1TW5cWQc7SvhutYo1KWgTRQ==" saltValue="9x3MkCrjg5HMy3qB9niX0Q==" spinCount="100000" sheet="1" objects="1" scenarios="1" formatCells="0" formatColumns="0" formatRows="0"/>
  <mergeCells count="70">
    <mergeCell ref="X8:X9"/>
    <mergeCell ref="I6:I7"/>
    <mergeCell ref="V8:V9"/>
    <mergeCell ref="K6:K7"/>
    <mergeCell ref="D1:D2"/>
    <mergeCell ref="F1:F2"/>
    <mergeCell ref="H1:H2"/>
    <mergeCell ref="D6:D7"/>
    <mergeCell ref="J1:J2"/>
    <mergeCell ref="F6:F7"/>
    <mergeCell ref="A4:A5"/>
    <mergeCell ref="S4:S5"/>
    <mergeCell ref="G1:G2"/>
    <mergeCell ref="T6:T7"/>
    <mergeCell ref="U4:U5"/>
    <mergeCell ref="I1:I2"/>
    <mergeCell ref="U6:U7"/>
    <mergeCell ref="B4:B5"/>
    <mergeCell ref="F4:F5"/>
    <mergeCell ref="H4:H5"/>
    <mergeCell ref="C6:C7"/>
    <mergeCell ref="A1:A2"/>
    <mergeCell ref="W8:W9"/>
    <mergeCell ref="G4:G5"/>
    <mergeCell ref="I4:I5"/>
    <mergeCell ref="K4:K5"/>
    <mergeCell ref="D8:D9"/>
    <mergeCell ref="H8:H9"/>
    <mergeCell ref="J8:J9"/>
    <mergeCell ref="W4:W5"/>
    <mergeCell ref="R8:R9"/>
    <mergeCell ref="A8:A9"/>
    <mergeCell ref="C8:C9"/>
    <mergeCell ref="I8:I9"/>
    <mergeCell ref="U8:U9"/>
    <mergeCell ref="K8:K9"/>
    <mergeCell ref="A6:A7"/>
    <mergeCell ref="M1:Q1"/>
    <mergeCell ref="V6:V7"/>
    <mergeCell ref="X6:X7"/>
    <mergeCell ref="W1:W2"/>
    <mergeCell ref="D4:D5"/>
    <mergeCell ref="J4:J5"/>
    <mergeCell ref="W6:W7"/>
    <mergeCell ref="G6:G7"/>
    <mergeCell ref="B1:B2"/>
    <mergeCell ref="E6:E7"/>
    <mergeCell ref="S6:S7"/>
    <mergeCell ref="L1:L2"/>
    <mergeCell ref="B6:B7"/>
    <mergeCell ref="X1:X2"/>
    <mergeCell ref="X4:X5"/>
    <mergeCell ref="B8:B9"/>
    <mergeCell ref="J6:J7"/>
    <mergeCell ref="C1:C2"/>
    <mergeCell ref="E1:E2"/>
    <mergeCell ref="K1:K2"/>
    <mergeCell ref="F8:F9"/>
    <mergeCell ref="R1:V1"/>
    <mergeCell ref="R4:R5"/>
    <mergeCell ref="E8:E9"/>
    <mergeCell ref="G8:G9"/>
    <mergeCell ref="C4:C5"/>
    <mergeCell ref="T4:T5"/>
    <mergeCell ref="E4:E5"/>
    <mergeCell ref="V4:V5"/>
    <mergeCell ref="H6:H7"/>
    <mergeCell ref="S8:S9"/>
    <mergeCell ref="R6:R7"/>
    <mergeCell ref="T8:T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8"/>
  <sheetViews>
    <sheetView topLeftCell="G1" zoomScale="91" zoomScaleNormal="91" workbookViewId="0">
      <selection activeCell="O5" sqref="O5"/>
    </sheetView>
  </sheetViews>
  <sheetFormatPr baseColWidth="10" defaultRowHeight="14.4"/>
  <cols>
    <col min="1" max="1" width="11.44140625" style="1" customWidth="1"/>
    <col min="3" max="3" width="28.44140625" style="22" customWidth="1"/>
    <col min="5" max="5" width="28.44140625" style="22" customWidth="1"/>
    <col min="7" max="7" width="28.44140625" style="23" customWidth="1"/>
    <col min="8" max="8" width="28.44140625" style="22" customWidth="1"/>
    <col min="9" max="9" width="45.6640625" customWidth="1"/>
    <col min="11" max="11" width="28.44140625" style="23" customWidth="1"/>
    <col min="12" max="12" width="28.44140625" customWidth="1"/>
    <col min="13" max="22" width="11.44140625" style="1" customWidth="1"/>
    <col min="24" max="24" width="29" customWidth="1"/>
  </cols>
  <sheetData>
    <row r="1" spans="1:24" ht="18.75" customHeight="1">
      <c r="A1" s="150" t="s">
        <v>0</v>
      </c>
      <c r="B1" s="150" t="s">
        <v>1</v>
      </c>
      <c r="C1" s="193" t="s">
        <v>2</v>
      </c>
      <c r="D1" s="150" t="s">
        <v>3</v>
      </c>
      <c r="E1" s="193" t="s">
        <v>4</v>
      </c>
      <c r="F1" s="150" t="s">
        <v>5</v>
      </c>
      <c r="G1" s="143" t="s">
        <v>6</v>
      </c>
      <c r="H1" s="197" t="s">
        <v>7</v>
      </c>
      <c r="I1" s="155" t="s">
        <v>8</v>
      </c>
      <c r="J1" s="150" t="s">
        <v>9</v>
      </c>
      <c r="K1" s="144" t="s">
        <v>10</v>
      </c>
      <c r="L1" s="153"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69.75" customHeight="1">
      <c r="A3" s="140">
        <v>1</v>
      </c>
      <c r="B3" s="140" t="s">
        <v>400</v>
      </c>
      <c r="C3" s="159" t="s">
        <v>401</v>
      </c>
      <c r="D3" s="149" t="s">
        <v>402</v>
      </c>
      <c r="E3" s="159" t="s">
        <v>403</v>
      </c>
      <c r="F3" s="140">
        <v>2</v>
      </c>
      <c r="G3" s="141" t="s">
        <v>404</v>
      </c>
      <c r="H3" s="198" t="s">
        <v>405</v>
      </c>
      <c r="I3" s="189" t="s">
        <v>406</v>
      </c>
      <c r="J3" s="152" t="s">
        <v>49</v>
      </c>
      <c r="K3" s="141" t="s">
        <v>407</v>
      </c>
      <c r="L3" s="47" t="s">
        <v>408</v>
      </c>
      <c r="M3" s="25"/>
      <c r="N3" s="25">
        <v>175</v>
      </c>
      <c r="O3" s="25">
        <v>179</v>
      </c>
      <c r="P3" s="25">
        <v>183</v>
      </c>
      <c r="Q3" s="25">
        <v>187</v>
      </c>
      <c r="R3" s="136" t="str">
        <f>IF(M4,M3/M4*100,"")</f>
        <v/>
      </c>
      <c r="S3" s="136">
        <f>IF(N4,N3/N4*100,"")</f>
        <v>61.619718309859152</v>
      </c>
      <c r="T3" s="136">
        <f>IF(O4,O3/O4*100,"")</f>
        <v>62.807017543859644</v>
      </c>
      <c r="U3" s="136">
        <f>IF(P4,P3/P4*100,"")</f>
        <v>63.763066202090592</v>
      </c>
      <c r="V3" s="136">
        <f>IF(Q4,Q3/Q4*100,"")</f>
        <v>64.930555555555557</v>
      </c>
      <c r="W3" s="140" t="s">
        <v>27</v>
      </c>
      <c r="X3" s="138" t="s">
        <v>409</v>
      </c>
    </row>
    <row r="4" spans="1:24" ht="69.75" customHeight="1">
      <c r="A4" s="137"/>
      <c r="B4" s="137"/>
      <c r="C4" s="137"/>
      <c r="D4" s="137"/>
      <c r="E4" s="137"/>
      <c r="F4" s="137"/>
      <c r="G4" s="137"/>
      <c r="H4" s="139"/>
      <c r="I4" s="139"/>
      <c r="J4" s="137"/>
      <c r="K4" s="137"/>
      <c r="L4" s="107" t="s">
        <v>410</v>
      </c>
      <c r="M4" s="21"/>
      <c r="N4" s="21">
        <v>284</v>
      </c>
      <c r="O4" s="21">
        <v>285</v>
      </c>
      <c r="P4" s="21">
        <v>287</v>
      </c>
      <c r="Q4" s="21">
        <v>288</v>
      </c>
      <c r="R4" s="137"/>
      <c r="S4" s="137"/>
      <c r="T4" s="137"/>
      <c r="U4" s="137"/>
      <c r="V4" s="137"/>
      <c r="W4" s="137"/>
      <c r="X4" s="139"/>
    </row>
    <row r="5" spans="1:24" ht="76.5" customHeight="1">
      <c r="A5" s="140">
        <v>2</v>
      </c>
      <c r="B5" s="140" t="s">
        <v>400</v>
      </c>
      <c r="C5" s="159" t="s">
        <v>401</v>
      </c>
      <c r="D5" s="149" t="s">
        <v>402</v>
      </c>
      <c r="E5" s="159" t="s">
        <v>403</v>
      </c>
      <c r="F5" s="140">
        <v>3</v>
      </c>
      <c r="G5" s="141" t="s">
        <v>411</v>
      </c>
      <c r="H5" s="198" t="s">
        <v>412</v>
      </c>
      <c r="I5" s="142" t="s">
        <v>413</v>
      </c>
      <c r="J5" s="152" t="s">
        <v>49</v>
      </c>
      <c r="K5" s="141" t="s">
        <v>414</v>
      </c>
      <c r="L5" s="47" t="s">
        <v>415</v>
      </c>
      <c r="M5" s="25"/>
      <c r="N5" s="25">
        <v>67</v>
      </c>
      <c r="O5" s="25">
        <v>69</v>
      </c>
      <c r="P5" s="25">
        <v>71</v>
      </c>
      <c r="Q5" s="111">
        <v>72</v>
      </c>
      <c r="R5" s="136" t="str">
        <f>IF(M6,M5/M6*100,"")</f>
        <v/>
      </c>
      <c r="S5" s="136">
        <f>IF(N6,N5/N6*100,"")</f>
        <v>23.591549295774648</v>
      </c>
      <c r="T5" s="136">
        <f>IF(O6,O5/O6*100,"")</f>
        <v>24.210526315789473</v>
      </c>
      <c r="U5" s="136">
        <f>IF(P6,P5/P6*100,"")</f>
        <v>24.738675958188153</v>
      </c>
      <c r="V5" s="136">
        <f>IF(Q6,Q5/Q6*100,"")</f>
        <v>25</v>
      </c>
      <c r="W5" s="140" t="s">
        <v>27</v>
      </c>
      <c r="X5" s="138" t="s">
        <v>409</v>
      </c>
    </row>
    <row r="6" spans="1:24" ht="76.5" customHeight="1">
      <c r="A6" s="137"/>
      <c r="B6" s="137"/>
      <c r="C6" s="137"/>
      <c r="D6" s="137"/>
      <c r="E6" s="137"/>
      <c r="F6" s="137"/>
      <c r="G6" s="137"/>
      <c r="H6" s="139"/>
      <c r="I6" s="139"/>
      <c r="J6" s="137"/>
      <c r="K6" s="137"/>
      <c r="L6" s="108" t="s">
        <v>416</v>
      </c>
      <c r="M6" s="100">
        <f>M4</f>
        <v>0</v>
      </c>
      <c r="N6" s="100">
        <v>284</v>
      </c>
      <c r="O6" s="100">
        <v>285</v>
      </c>
      <c r="P6" s="100">
        <v>287</v>
      </c>
      <c r="Q6" s="100">
        <v>288</v>
      </c>
      <c r="R6" s="137"/>
      <c r="S6" s="137"/>
      <c r="T6" s="137"/>
      <c r="U6" s="137"/>
      <c r="V6" s="137"/>
      <c r="W6" s="137"/>
      <c r="X6" s="139"/>
    </row>
    <row r="7" spans="1:24" ht="87.75" customHeight="1">
      <c r="A7" s="140">
        <v>3</v>
      </c>
      <c r="B7" s="140" t="s">
        <v>400</v>
      </c>
      <c r="C7" s="159" t="s">
        <v>401</v>
      </c>
      <c r="D7" s="149" t="s">
        <v>402</v>
      </c>
      <c r="E7" s="159" t="s">
        <v>403</v>
      </c>
      <c r="F7" s="140">
        <v>4</v>
      </c>
      <c r="G7" s="141" t="s">
        <v>417</v>
      </c>
      <c r="H7" s="198" t="s">
        <v>418</v>
      </c>
      <c r="I7" s="142" t="s">
        <v>419</v>
      </c>
      <c r="J7" s="152" t="s">
        <v>49</v>
      </c>
      <c r="K7" s="141" t="s">
        <v>420</v>
      </c>
      <c r="L7" s="47" t="s">
        <v>421</v>
      </c>
      <c r="M7" s="25"/>
      <c r="N7" s="25">
        <v>135</v>
      </c>
      <c r="O7" s="25">
        <v>138</v>
      </c>
      <c r="P7" s="25">
        <v>141</v>
      </c>
      <c r="Q7" s="111">
        <v>144</v>
      </c>
      <c r="R7" s="136" t="str">
        <f>IF(M8,M7/M8*100,"")</f>
        <v/>
      </c>
      <c r="S7" s="136">
        <f>IF(N8,N7/N8*100,"")</f>
        <v>47.535211267605632</v>
      </c>
      <c r="T7" s="136">
        <f>IF(O8,O7/O8*100,"")</f>
        <v>48.421052631578945</v>
      </c>
      <c r="U7" s="136">
        <f>IF(P8,P7/P8*100,"")</f>
        <v>49.128919860627178</v>
      </c>
      <c r="V7" s="136">
        <f>IF(Q8,Q7/Q8*100,"")</f>
        <v>50</v>
      </c>
      <c r="W7" s="140" t="s">
        <v>27</v>
      </c>
      <c r="X7" s="138" t="s">
        <v>409</v>
      </c>
    </row>
    <row r="8" spans="1:24" ht="87.75" customHeight="1">
      <c r="A8" s="137"/>
      <c r="B8" s="137"/>
      <c r="C8" s="137"/>
      <c r="D8" s="137"/>
      <c r="E8" s="137"/>
      <c r="F8" s="137"/>
      <c r="G8" s="137"/>
      <c r="H8" s="139"/>
      <c r="I8" s="139"/>
      <c r="J8" s="137"/>
      <c r="K8" s="137"/>
      <c r="L8" s="108" t="s">
        <v>416</v>
      </c>
      <c r="M8" s="100">
        <f>M4</f>
        <v>0</v>
      </c>
      <c r="N8" s="100">
        <v>284</v>
      </c>
      <c r="O8" s="100">
        <v>285</v>
      </c>
      <c r="P8" s="100">
        <v>287</v>
      </c>
      <c r="Q8" s="100">
        <v>288</v>
      </c>
      <c r="R8" s="137"/>
      <c r="S8" s="137"/>
      <c r="T8" s="137"/>
      <c r="U8" s="137"/>
      <c r="V8" s="137"/>
      <c r="W8" s="137"/>
      <c r="X8" s="139"/>
    </row>
    <row r="9" spans="1:24" ht="81.75" customHeight="1">
      <c r="A9" s="140">
        <v>4</v>
      </c>
      <c r="B9" s="140" t="s">
        <v>400</v>
      </c>
      <c r="C9" s="159" t="s">
        <v>401</v>
      </c>
      <c r="D9" s="149" t="s">
        <v>402</v>
      </c>
      <c r="E9" s="159" t="s">
        <v>403</v>
      </c>
      <c r="F9" s="140">
        <v>5</v>
      </c>
      <c r="G9" s="141" t="s">
        <v>422</v>
      </c>
      <c r="H9" s="198" t="s">
        <v>423</v>
      </c>
      <c r="I9" s="142" t="s">
        <v>424</v>
      </c>
      <c r="J9" s="152" t="s">
        <v>49</v>
      </c>
      <c r="K9" s="141" t="s">
        <v>425</v>
      </c>
      <c r="L9" s="47" t="s">
        <v>426</v>
      </c>
      <c r="M9" s="25"/>
      <c r="N9" s="25">
        <v>273</v>
      </c>
      <c r="O9" s="25">
        <v>277</v>
      </c>
      <c r="P9" s="25">
        <v>283</v>
      </c>
      <c r="Q9" s="25">
        <v>288</v>
      </c>
      <c r="R9" s="136" t="str">
        <f>IF(M10,M9/M10*100,"")</f>
        <v/>
      </c>
      <c r="S9" s="136">
        <f>IF(N10,N9/N10*100,"")</f>
        <v>96.126760563380287</v>
      </c>
      <c r="T9" s="136">
        <f>IF(O10,O9/O10*100,"")</f>
        <v>97.192982456140356</v>
      </c>
      <c r="U9" s="136">
        <f>IF(P10,P9/P10*100,"")</f>
        <v>98.606271777003485</v>
      </c>
      <c r="V9" s="136">
        <f>IF(Q10,Q9/Q10*100,"")</f>
        <v>100</v>
      </c>
      <c r="W9" s="140" t="s">
        <v>27</v>
      </c>
      <c r="X9" s="138" t="s">
        <v>409</v>
      </c>
    </row>
    <row r="10" spans="1:24" ht="81.75" customHeight="1">
      <c r="A10" s="137"/>
      <c r="B10" s="137"/>
      <c r="C10" s="137"/>
      <c r="D10" s="137"/>
      <c r="E10" s="137"/>
      <c r="F10" s="137"/>
      <c r="G10" s="137"/>
      <c r="H10" s="139"/>
      <c r="I10" s="139"/>
      <c r="J10" s="137"/>
      <c r="K10" s="137"/>
      <c r="L10" s="47" t="s">
        <v>427</v>
      </c>
      <c r="M10" s="25"/>
      <c r="N10" s="25">
        <v>284</v>
      </c>
      <c r="O10" s="25">
        <v>285</v>
      </c>
      <c r="P10" s="25">
        <v>287</v>
      </c>
      <c r="Q10" s="25">
        <v>288</v>
      </c>
      <c r="R10" s="137"/>
      <c r="S10" s="137"/>
      <c r="T10" s="137"/>
      <c r="U10" s="137"/>
      <c r="V10" s="137"/>
      <c r="W10" s="137"/>
      <c r="X10" s="139"/>
    </row>
    <row r="11" spans="1:24" ht="79.5" customHeight="1">
      <c r="A11" s="140">
        <v>5</v>
      </c>
      <c r="B11" s="140" t="s">
        <v>400</v>
      </c>
      <c r="C11" s="159" t="s">
        <v>401</v>
      </c>
      <c r="D11" s="149" t="s">
        <v>402</v>
      </c>
      <c r="E11" s="159" t="s">
        <v>403</v>
      </c>
      <c r="F11" s="140">
        <v>6</v>
      </c>
      <c r="G11" s="141" t="s">
        <v>428</v>
      </c>
      <c r="H11" s="198" t="s">
        <v>429</v>
      </c>
      <c r="I11" s="142" t="s">
        <v>430</v>
      </c>
      <c r="J11" s="152" t="s">
        <v>49</v>
      </c>
      <c r="K11" s="141" t="s">
        <v>431</v>
      </c>
      <c r="L11" s="47" t="s">
        <v>432</v>
      </c>
      <c r="M11" s="25"/>
      <c r="N11" s="25">
        <v>67</v>
      </c>
      <c r="O11" s="25">
        <v>69</v>
      </c>
      <c r="P11" s="25">
        <v>71</v>
      </c>
      <c r="Q11" s="25">
        <v>72</v>
      </c>
      <c r="R11" s="136" t="str">
        <f>IF(M12,M11/M12*100,"")</f>
        <v/>
      </c>
      <c r="S11" s="136">
        <f>IF(N12,N11/N12*100,"")</f>
        <v>23.591549295774648</v>
      </c>
      <c r="T11" s="136">
        <f>IF(O12,O11/O12*100,"")</f>
        <v>24.210526315789473</v>
      </c>
      <c r="U11" s="136">
        <f>IF(P12,P11/P12*100,"")</f>
        <v>24.738675958188153</v>
      </c>
      <c r="V11" s="136">
        <f>IF(Q12,Q11/Q12*100,"")</f>
        <v>25</v>
      </c>
      <c r="W11" s="140" t="s">
        <v>27</v>
      </c>
      <c r="X11" s="138" t="s">
        <v>409</v>
      </c>
    </row>
    <row r="12" spans="1:24" ht="79.5" customHeight="1">
      <c r="A12" s="137"/>
      <c r="B12" s="137"/>
      <c r="C12" s="137"/>
      <c r="D12" s="137"/>
      <c r="E12" s="137"/>
      <c r="F12" s="137"/>
      <c r="G12" s="137"/>
      <c r="H12" s="139"/>
      <c r="I12" s="139"/>
      <c r="J12" s="137"/>
      <c r="K12" s="137"/>
      <c r="L12" s="108" t="s">
        <v>416</v>
      </c>
      <c r="M12" s="100">
        <f>M4</f>
        <v>0</v>
      </c>
      <c r="N12" s="100">
        <v>284</v>
      </c>
      <c r="O12" s="100">
        <v>285</v>
      </c>
      <c r="P12" s="100">
        <v>287</v>
      </c>
      <c r="Q12" s="100">
        <v>288</v>
      </c>
      <c r="R12" s="137"/>
      <c r="S12" s="137"/>
      <c r="T12" s="137"/>
      <c r="U12" s="137"/>
      <c r="V12" s="137"/>
      <c r="W12" s="137"/>
      <c r="X12" s="139"/>
    </row>
    <row r="13" spans="1:24" ht="150" customHeight="1">
      <c r="A13" s="44">
        <v>6</v>
      </c>
      <c r="B13" s="45" t="s">
        <v>400</v>
      </c>
      <c r="C13" s="48" t="s">
        <v>401</v>
      </c>
      <c r="D13" s="47" t="s">
        <v>433</v>
      </c>
      <c r="E13" s="48" t="s">
        <v>434</v>
      </c>
      <c r="F13" s="44">
        <v>10</v>
      </c>
      <c r="G13" s="51" t="s">
        <v>435</v>
      </c>
      <c r="H13" s="115" t="s">
        <v>436</v>
      </c>
      <c r="I13" s="17" t="s">
        <v>437</v>
      </c>
      <c r="J13" s="44" t="s">
        <v>24</v>
      </c>
      <c r="K13" s="51" t="s">
        <v>25</v>
      </c>
      <c r="L13" s="47" t="s">
        <v>438</v>
      </c>
      <c r="M13" s="25"/>
      <c r="N13" s="25">
        <v>0</v>
      </c>
      <c r="O13" s="25">
        <v>0</v>
      </c>
      <c r="P13" s="25">
        <v>7</v>
      </c>
      <c r="Q13" s="25">
        <v>0</v>
      </c>
      <c r="R13" s="52" t="str">
        <f t="shared" ref="R13:V14" si="0">IF(M13="","",M13)</f>
        <v/>
      </c>
      <c r="S13" s="52">
        <f t="shared" si="0"/>
        <v>0</v>
      </c>
      <c r="T13" s="52">
        <f t="shared" si="0"/>
        <v>0</v>
      </c>
      <c r="U13" s="52">
        <f t="shared" si="0"/>
        <v>7</v>
      </c>
      <c r="V13" s="52">
        <f t="shared" si="0"/>
        <v>0</v>
      </c>
      <c r="W13" s="44" t="s">
        <v>27</v>
      </c>
      <c r="X13" s="26" t="s">
        <v>409</v>
      </c>
    </row>
    <row r="14" spans="1:24" ht="150" customHeight="1">
      <c r="A14" s="44">
        <v>7</v>
      </c>
      <c r="B14" s="45" t="s">
        <v>400</v>
      </c>
      <c r="C14" s="48" t="s">
        <v>401</v>
      </c>
      <c r="D14" s="47" t="s">
        <v>439</v>
      </c>
      <c r="E14" s="48" t="s">
        <v>440</v>
      </c>
      <c r="F14" s="44">
        <v>13</v>
      </c>
      <c r="G14" s="51" t="s">
        <v>441</v>
      </c>
      <c r="H14" s="115" t="s">
        <v>442</v>
      </c>
      <c r="I14" s="17" t="s">
        <v>443</v>
      </c>
      <c r="J14" s="44" t="s">
        <v>24</v>
      </c>
      <c r="K14" s="51" t="s">
        <v>25</v>
      </c>
      <c r="L14" s="47" t="s">
        <v>444</v>
      </c>
      <c r="M14" s="25"/>
      <c r="N14" s="25">
        <v>7</v>
      </c>
      <c r="O14" s="25">
        <v>10</v>
      </c>
      <c r="P14" s="25">
        <v>13</v>
      </c>
      <c r="Q14" s="25">
        <v>13</v>
      </c>
      <c r="R14" s="52" t="str">
        <f t="shared" si="0"/>
        <v/>
      </c>
      <c r="S14" s="52">
        <f t="shared" si="0"/>
        <v>7</v>
      </c>
      <c r="T14" s="52">
        <f t="shared" si="0"/>
        <v>10</v>
      </c>
      <c r="U14" s="52">
        <f t="shared" si="0"/>
        <v>13</v>
      </c>
      <c r="V14" s="52">
        <f t="shared" si="0"/>
        <v>13</v>
      </c>
      <c r="W14" s="44" t="s">
        <v>445</v>
      </c>
      <c r="X14" s="26" t="s">
        <v>409</v>
      </c>
    </row>
    <row r="15" spans="1:24" ht="73.5" customHeight="1">
      <c r="A15" s="140">
        <v>8</v>
      </c>
      <c r="B15" s="140" t="s">
        <v>400</v>
      </c>
      <c r="C15" s="159" t="s">
        <v>401</v>
      </c>
      <c r="D15" s="149" t="s">
        <v>439</v>
      </c>
      <c r="E15" s="159" t="s">
        <v>440</v>
      </c>
      <c r="F15" s="140">
        <v>14</v>
      </c>
      <c r="G15" s="141" t="s">
        <v>446</v>
      </c>
      <c r="H15" s="198" t="s">
        <v>447</v>
      </c>
      <c r="I15" s="142" t="s">
        <v>448</v>
      </c>
      <c r="J15" s="152" t="s">
        <v>49</v>
      </c>
      <c r="K15" s="141" t="s">
        <v>449</v>
      </c>
      <c r="L15" s="47" t="s">
        <v>450</v>
      </c>
      <c r="M15" s="25"/>
      <c r="N15" s="25">
        <v>50</v>
      </c>
      <c r="O15" s="25">
        <v>51</v>
      </c>
      <c r="P15" s="25">
        <v>52</v>
      </c>
      <c r="Q15" s="25">
        <v>53</v>
      </c>
      <c r="R15" s="136" t="str">
        <f>IF(M16,M15/M16*100,"")</f>
        <v/>
      </c>
      <c r="S15" s="136">
        <f>IF(N16,N15/N16*100,"")</f>
        <v>71.428571428571431</v>
      </c>
      <c r="T15" s="136">
        <f>IF(O16,O15/O16*100,"")</f>
        <v>72.857142857142847</v>
      </c>
      <c r="U15" s="136">
        <f>IF(P16,P15/P16*100,"")</f>
        <v>73.239436619718319</v>
      </c>
      <c r="V15" s="136">
        <f>IF(Q16,Q15/Q16*100,"")</f>
        <v>74.647887323943664</v>
      </c>
      <c r="W15" s="140" t="s">
        <v>445</v>
      </c>
      <c r="X15" s="138" t="s">
        <v>409</v>
      </c>
    </row>
    <row r="16" spans="1:24" ht="73.5" customHeight="1">
      <c r="A16" s="137"/>
      <c r="B16" s="137"/>
      <c r="C16" s="137"/>
      <c r="D16" s="137"/>
      <c r="E16" s="137"/>
      <c r="F16" s="137"/>
      <c r="G16" s="137"/>
      <c r="H16" s="139"/>
      <c r="I16" s="139"/>
      <c r="J16" s="137"/>
      <c r="K16" s="137"/>
      <c r="L16" s="47" t="s">
        <v>451</v>
      </c>
      <c r="M16" s="25"/>
      <c r="N16" s="25">
        <v>70</v>
      </c>
      <c r="O16" s="25">
        <v>70</v>
      </c>
      <c r="P16" s="25">
        <v>71</v>
      </c>
      <c r="Q16" s="25">
        <v>71</v>
      </c>
      <c r="R16" s="137"/>
      <c r="S16" s="137"/>
      <c r="T16" s="137"/>
      <c r="U16" s="137"/>
      <c r="V16" s="137"/>
      <c r="W16" s="137"/>
      <c r="X16" s="139"/>
    </row>
    <row r="17" spans="1:24" ht="150" customHeight="1">
      <c r="A17" s="44">
        <v>9</v>
      </c>
      <c r="B17" s="45" t="s">
        <v>400</v>
      </c>
      <c r="C17" s="48" t="s">
        <v>401</v>
      </c>
      <c r="D17" s="47" t="s">
        <v>439</v>
      </c>
      <c r="E17" s="48" t="s">
        <v>440</v>
      </c>
      <c r="F17" s="44">
        <v>15</v>
      </c>
      <c r="G17" s="51" t="s">
        <v>452</v>
      </c>
      <c r="H17" s="115" t="s">
        <v>453</v>
      </c>
      <c r="I17" s="17" t="s">
        <v>454</v>
      </c>
      <c r="J17" s="44" t="s">
        <v>24</v>
      </c>
      <c r="K17" s="51" t="s">
        <v>25</v>
      </c>
      <c r="L17" s="47" t="s">
        <v>455</v>
      </c>
      <c r="M17" s="25"/>
      <c r="N17" s="25">
        <v>1</v>
      </c>
      <c r="O17" s="25">
        <v>0</v>
      </c>
      <c r="P17" s="25">
        <v>0</v>
      </c>
      <c r="Q17" s="25">
        <v>0</v>
      </c>
      <c r="R17" s="52" t="str">
        <f t="shared" ref="R17:V18" si="1">IF(M17="","",M17)</f>
        <v/>
      </c>
      <c r="S17" s="52">
        <f t="shared" si="1"/>
        <v>1</v>
      </c>
      <c r="T17" s="52">
        <f t="shared" si="1"/>
        <v>0</v>
      </c>
      <c r="U17" s="52">
        <f t="shared" si="1"/>
        <v>0</v>
      </c>
      <c r="V17" s="52">
        <f t="shared" si="1"/>
        <v>0</v>
      </c>
      <c r="W17" s="44" t="s">
        <v>27</v>
      </c>
      <c r="X17" s="26" t="s">
        <v>409</v>
      </c>
    </row>
    <row r="18" spans="1:24" ht="150" customHeight="1">
      <c r="A18" s="44">
        <v>10</v>
      </c>
      <c r="B18" s="45" t="s">
        <v>400</v>
      </c>
      <c r="C18" s="48" t="s">
        <v>401</v>
      </c>
      <c r="D18" s="47" t="s">
        <v>439</v>
      </c>
      <c r="E18" s="48" t="s">
        <v>440</v>
      </c>
      <c r="F18" s="44">
        <v>16</v>
      </c>
      <c r="G18" s="51" t="s">
        <v>456</v>
      </c>
      <c r="H18" s="115" t="s">
        <v>457</v>
      </c>
      <c r="I18" s="17" t="s">
        <v>458</v>
      </c>
      <c r="J18" s="44" t="s">
        <v>24</v>
      </c>
      <c r="K18" s="51" t="s">
        <v>25</v>
      </c>
      <c r="L18" s="47" t="s">
        <v>459</v>
      </c>
      <c r="M18" s="25"/>
      <c r="N18" s="25">
        <v>2</v>
      </c>
      <c r="O18" s="25">
        <v>2</v>
      </c>
      <c r="P18" s="25">
        <v>1</v>
      </c>
      <c r="Q18" s="25">
        <v>1</v>
      </c>
      <c r="R18" s="52" t="str">
        <f t="shared" si="1"/>
        <v/>
      </c>
      <c r="S18" s="52">
        <f t="shared" si="1"/>
        <v>2</v>
      </c>
      <c r="T18" s="52">
        <f t="shared" si="1"/>
        <v>2</v>
      </c>
      <c r="U18" s="52">
        <f t="shared" si="1"/>
        <v>1</v>
      </c>
      <c r="V18" s="52">
        <f t="shared" si="1"/>
        <v>1</v>
      </c>
      <c r="W18" s="44" t="s">
        <v>27</v>
      </c>
      <c r="X18" s="26" t="s">
        <v>409</v>
      </c>
    </row>
  </sheetData>
  <sheetProtection algorithmName="SHA-512" hashValue="jfcqD3Zs7BjNRDsch3esY5idDYhTie83qmWeAz1EaOIeE4pzxGLWQY7ieEgsYQ3lkGsWElauxVN1iuwxbljOtQ==" saltValue="ut5DgwHLQhVEdn1wUnXw4g==" spinCount="100000" sheet="1" formatCells="0" formatColumns="0" formatRows="0"/>
  <mergeCells count="124">
    <mergeCell ref="X1:X2"/>
    <mergeCell ref="U5:U6"/>
    <mergeCell ref="W9:W10"/>
    <mergeCell ref="K7:K8"/>
    <mergeCell ref="B5:B6"/>
    <mergeCell ref="D5:D6"/>
    <mergeCell ref="V3:V4"/>
    <mergeCell ref="A15:A16"/>
    <mergeCell ref="C15:C16"/>
    <mergeCell ref="X11:X12"/>
    <mergeCell ref="A1:A2"/>
    <mergeCell ref="A3:A4"/>
    <mergeCell ref="S9:S10"/>
    <mergeCell ref="U3:U4"/>
    <mergeCell ref="B1:B2"/>
    <mergeCell ref="C11:C12"/>
    <mergeCell ref="W3:W4"/>
    <mergeCell ref="H7:H8"/>
    <mergeCell ref="E11:E12"/>
    <mergeCell ref="J7:J8"/>
    <mergeCell ref="L1:L2"/>
    <mergeCell ref="I5:I6"/>
    <mergeCell ref="A5:A6"/>
    <mergeCell ref="S5:S6"/>
    <mergeCell ref="E15:E16"/>
    <mergeCell ref="G15:G16"/>
    <mergeCell ref="S15:S16"/>
    <mergeCell ref="B9:B10"/>
    <mergeCell ref="H3:H4"/>
    <mergeCell ref="X9:X10"/>
    <mergeCell ref="R3:R4"/>
    <mergeCell ref="J3:J4"/>
    <mergeCell ref="E7:E8"/>
    <mergeCell ref="C7:C8"/>
    <mergeCell ref="R9:R10"/>
    <mergeCell ref="R5:R6"/>
    <mergeCell ref="H5:H6"/>
    <mergeCell ref="J5:J6"/>
    <mergeCell ref="R11:R12"/>
    <mergeCell ref="T5:T6"/>
    <mergeCell ref="V5:V6"/>
    <mergeCell ref="F15:F16"/>
    <mergeCell ref="X7:X8"/>
    <mergeCell ref="J15:J16"/>
    <mergeCell ref="V15:V16"/>
    <mergeCell ref="C9:C10"/>
    <mergeCell ref="X15:X16"/>
    <mergeCell ref="E9:E10"/>
    <mergeCell ref="X5:X6"/>
    <mergeCell ref="D9:D10"/>
    <mergeCell ref="F9:F10"/>
    <mergeCell ref="T3:T4"/>
    <mergeCell ref="F11:F12"/>
    <mergeCell ref="G9:G10"/>
    <mergeCell ref="I9:I10"/>
    <mergeCell ref="K3:K4"/>
    <mergeCell ref="A9:A10"/>
    <mergeCell ref="C3:C4"/>
    <mergeCell ref="E3:E4"/>
    <mergeCell ref="U9:U10"/>
    <mergeCell ref="B7:B8"/>
    <mergeCell ref="G11:G12"/>
    <mergeCell ref="I11:I12"/>
    <mergeCell ref="K5:K6"/>
    <mergeCell ref="A11:A12"/>
    <mergeCell ref="C5:C6"/>
    <mergeCell ref="S11:S12"/>
    <mergeCell ref="E5:E6"/>
    <mergeCell ref="U11:U12"/>
    <mergeCell ref="W5:W6"/>
    <mergeCell ref="R7:R8"/>
    <mergeCell ref="K11:K12"/>
    <mergeCell ref="B3:B4"/>
    <mergeCell ref="B11:B12"/>
    <mergeCell ref="G7:G8"/>
    <mergeCell ref="D11:D12"/>
    <mergeCell ref="I7:I8"/>
    <mergeCell ref="K1:K2"/>
    <mergeCell ref="F5:F6"/>
    <mergeCell ref="S7:S8"/>
    <mergeCell ref="U7:U8"/>
    <mergeCell ref="T9:T10"/>
    <mergeCell ref="D3:D4"/>
    <mergeCell ref="D1:D2"/>
    <mergeCell ref="F1:F2"/>
    <mergeCell ref="G1:G2"/>
    <mergeCell ref="I1:I2"/>
    <mergeCell ref="S3:S4"/>
    <mergeCell ref="I15:I16"/>
    <mergeCell ref="F7:F8"/>
    <mergeCell ref="K15:K16"/>
    <mergeCell ref="H1:H2"/>
    <mergeCell ref="J1:J2"/>
    <mergeCell ref="U15:U16"/>
    <mergeCell ref="W15:W16"/>
    <mergeCell ref="R1:V1"/>
    <mergeCell ref="W1:W2"/>
    <mergeCell ref="W7:W8"/>
    <mergeCell ref="V9:V10"/>
    <mergeCell ref="V11:V12"/>
    <mergeCell ref="H9:H10"/>
    <mergeCell ref="J9:J10"/>
    <mergeCell ref="F3:F4"/>
    <mergeCell ref="A7:A8"/>
    <mergeCell ref="C1:C2"/>
    <mergeCell ref="X3:X4"/>
    <mergeCell ref="E1:E2"/>
    <mergeCell ref="H11:H12"/>
    <mergeCell ref="R15:R16"/>
    <mergeCell ref="M1:Q1"/>
    <mergeCell ref="J11:J12"/>
    <mergeCell ref="G3:G4"/>
    <mergeCell ref="I3:I4"/>
    <mergeCell ref="D7:D8"/>
    <mergeCell ref="B15:B16"/>
    <mergeCell ref="G5:G6"/>
    <mergeCell ref="W11:W12"/>
    <mergeCell ref="D15:D16"/>
    <mergeCell ref="T11:T12"/>
    <mergeCell ref="T7:T8"/>
    <mergeCell ref="V7:V8"/>
    <mergeCell ref="H15:H16"/>
    <mergeCell ref="T15:T16"/>
    <mergeCell ref="K9:K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8"/>
  <sheetViews>
    <sheetView topLeftCell="G1" zoomScale="91" zoomScaleNormal="91" workbookViewId="0">
      <selection activeCell="R1" sqref="R1:V1"/>
    </sheetView>
  </sheetViews>
  <sheetFormatPr baseColWidth="10" defaultRowHeight="14.4"/>
  <cols>
    <col min="3" max="3" width="28.88671875" style="23" customWidth="1"/>
    <col min="5" max="5" width="28.88671875" style="22" customWidth="1"/>
    <col min="7" max="7" width="28.88671875" style="22" customWidth="1"/>
    <col min="8" max="8" width="28.88671875" style="23" customWidth="1"/>
    <col min="9" max="9" width="45.6640625" customWidth="1"/>
    <col min="11" max="11" width="28.88671875" style="22" customWidth="1"/>
    <col min="12" max="12" width="28.88671875" customWidth="1"/>
    <col min="13" max="22" width="11.44140625" style="1" customWidth="1"/>
    <col min="24" max="24" width="29" customWidth="1"/>
  </cols>
  <sheetData>
    <row r="1" spans="1:24" ht="18.75" customHeight="1">
      <c r="A1" s="150" t="s">
        <v>0</v>
      </c>
      <c r="B1" s="150" t="s">
        <v>1</v>
      </c>
      <c r="C1" s="143" t="s">
        <v>2</v>
      </c>
      <c r="D1" s="150" t="s">
        <v>3</v>
      </c>
      <c r="E1" s="193" t="s">
        <v>4</v>
      </c>
      <c r="F1" s="150" t="s">
        <v>5</v>
      </c>
      <c r="G1" s="193" t="s">
        <v>6</v>
      </c>
      <c r="H1" s="156" t="s">
        <v>7</v>
      </c>
      <c r="I1" s="155" t="s">
        <v>8</v>
      </c>
      <c r="J1" s="150" t="s">
        <v>9</v>
      </c>
      <c r="K1" s="153" t="s">
        <v>10</v>
      </c>
      <c r="L1" s="153"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69.75" customHeight="1">
      <c r="A3" s="140">
        <v>1</v>
      </c>
      <c r="B3" s="140" t="s">
        <v>460</v>
      </c>
      <c r="C3" s="141" t="s">
        <v>461</v>
      </c>
      <c r="D3" s="149" t="s">
        <v>462</v>
      </c>
      <c r="E3" s="159" t="s">
        <v>463</v>
      </c>
      <c r="F3" s="140">
        <v>1</v>
      </c>
      <c r="G3" s="159" t="s">
        <v>464</v>
      </c>
      <c r="H3" s="142" t="s">
        <v>465</v>
      </c>
      <c r="I3" s="142" t="s">
        <v>466</v>
      </c>
      <c r="J3" s="152" t="s">
        <v>49</v>
      </c>
      <c r="K3" s="159" t="s">
        <v>467</v>
      </c>
      <c r="L3" s="47" t="s">
        <v>468</v>
      </c>
      <c r="M3" s="25"/>
      <c r="N3" s="25">
        <v>60</v>
      </c>
      <c r="O3" s="25">
        <v>61</v>
      </c>
      <c r="P3" s="25">
        <v>63</v>
      </c>
      <c r="Q3" s="25">
        <v>64</v>
      </c>
      <c r="R3" s="136" t="str">
        <f>IF(M4,M3/M4*100,"")</f>
        <v/>
      </c>
      <c r="S3" s="136">
        <f>IF(N4,N3/N4*100,"")</f>
        <v>75.949367088607602</v>
      </c>
      <c r="T3" s="136">
        <f>IF(O4,O3/O4*100,"")</f>
        <v>77.215189873417728</v>
      </c>
      <c r="U3" s="136">
        <f>IF(P4,P3/P4*100,"")</f>
        <v>78.75</v>
      </c>
      <c r="V3" s="136">
        <f>IF(Q4,Q3/Q4*100,"")</f>
        <v>80</v>
      </c>
      <c r="W3" s="140" t="s">
        <v>27</v>
      </c>
      <c r="X3" s="138" t="s">
        <v>469</v>
      </c>
    </row>
    <row r="4" spans="1:24" ht="60" customHeight="1">
      <c r="A4" s="137"/>
      <c r="B4" s="137"/>
      <c r="C4" s="137"/>
      <c r="D4" s="137"/>
      <c r="E4" s="137"/>
      <c r="F4" s="137"/>
      <c r="G4" s="137"/>
      <c r="H4" s="139"/>
      <c r="I4" s="139"/>
      <c r="J4" s="137"/>
      <c r="K4" s="137"/>
      <c r="L4" s="108" t="s">
        <v>470</v>
      </c>
      <c r="M4" s="100">
        <f>'8 Deporte universitario'!M7</f>
        <v>0</v>
      </c>
      <c r="N4" s="100">
        <v>79</v>
      </c>
      <c r="O4" s="100">
        <v>79</v>
      </c>
      <c r="P4" s="100">
        <v>80</v>
      </c>
      <c r="Q4" s="100">
        <v>80</v>
      </c>
      <c r="R4" s="137"/>
      <c r="S4" s="137"/>
      <c r="T4" s="137"/>
      <c r="U4" s="137"/>
      <c r="V4" s="137"/>
      <c r="W4" s="137"/>
      <c r="X4" s="139"/>
    </row>
    <row r="5" spans="1:24" ht="81.75" customHeight="1">
      <c r="A5" s="140">
        <v>2</v>
      </c>
      <c r="B5" s="140" t="s">
        <v>460</v>
      </c>
      <c r="C5" s="141" t="s">
        <v>461</v>
      </c>
      <c r="D5" s="149" t="s">
        <v>462</v>
      </c>
      <c r="E5" s="159" t="s">
        <v>463</v>
      </c>
      <c r="F5" s="140">
        <v>2</v>
      </c>
      <c r="G5" s="159" t="s">
        <v>471</v>
      </c>
      <c r="H5" s="142" t="s">
        <v>472</v>
      </c>
      <c r="I5" s="142" t="s">
        <v>473</v>
      </c>
      <c r="J5" s="152" t="s">
        <v>49</v>
      </c>
      <c r="K5" s="159" t="s">
        <v>474</v>
      </c>
      <c r="L5" s="47" t="s">
        <v>475</v>
      </c>
      <c r="M5" s="25"/>
      <c r="N5" s="25">
        <v>26</v>
      </c>
      <c r="O5" s="25">
        <v>27</v>
      </c>
      <c r="P5" s="25">
        <v>28</v>
      </c>
      <c r="Q5" s="25">
        <v>28</v>
      </c>
      <c r="R5" s="136" t="str">
        <f>IF(M6,M5/M6*100,"")</f>
        <v/>
      </c>
      <c r="S5" s="136">
        <f>IF(N6,N5/N6*100,"")</f>
        <v>32.911392405063289</v>
      </c>
      <c r="T5" s="136">
        <f>IF(O6,O5/O6*100,"")</f>
        <v>34.177215189873415</v>
      </c>
      <c r="U5" s="136">
        <f>IF(P6,P5/P6*100,"")</f>
        <v>35</v>
      </c>
      <c r="V5" s="136">
        <f>IF(Q6,Q5/Q6*100,"")</f>
        <v>35</v>
      </c>
      <c r="W5" s="140" t="s">
        <v>27</v>
      </c>
      <c r="X5" s="138" t="s">
        <v>469</v>
      </c>
    </row>
    <row r="6" spans="1:24" ht="48.75" customHeight="1">
      <c r="A6" s="137"/>
      <c r="B6" s="137"/>
      <c r="C6" s="137"/>
      <c r="D6" s="137"/>
      <c r="E6" s="137"/>
      <c r="F6" s="137"/>
      <c r="G6" s="137"/>
      <c r="H6" s="139"/>
      <c r="I6" s="139"/>
      <c r="J6" s="137"/>
      <c r="K6" s="137"/>
      <c r="L6" s="108" t="s">
        <v>470</v>
      </c>
      <c r="M6" s="100">
        <f>'8 Deporte universitario'!M7</f>
        <v>0</v>
      </c>
      <c r="N6" s="100">
        <v>79</v>
      </c>
      <c r="O6" s="100">
        <v>79</v>
      </c>
      <c r="P6" s="100">
        <v>80</v>
      </c>
      <c r="Q6" s="100">
        <v>80</v>
      </c>
      <c r="R6" s="137"/>
      <c r="S6" s="137"/>
      <c r="T6" s="137"/>
      <c r="U6" s="137"/>
      <c r="V6" s="137"/>
      <c r="W6" s="137"/>
      <c r="X6" s="139"/>
    </row>
    <row r="7" spans="1:24" ht="69" customHeight="1">
      <c r="A7" s="140">
        <v>3</v>
      </c>
      <c r="B7" s="140" t="s">
        <v>460</v>
      </c>
      <c r="C7" s="162" t="s">
        <v>461</v>
      </c>
      <c r="D7" s="149" t="s">
        <v>462</v>
      </c>
      <c r="E7" s="159" t="s">
        <v>463</v>
      </c>
      <c r="F7" s="140">
        <v>4</v>
      </c>
      <c r="G7" s="159" t="s">
        <v>476</v>
      </c>
      <c r="H7" s="142" t="s">
        <v>477</v>
      </c>
      <c r="I7" s="142" t="s">
        <v>478</v>
      </c>
      <c r="J7" s="152" t="s">
        <v>49</v>
      </c>
      <c r="K7" s="159" t="s">
        <v>479</v>
      </c>
      <c r="L7" s="47" t="s">
        <v>480</v>
      </c>
      <c r="M7" s="25"/>
      <c r="N7" s="25">
        <v>69</v>
      </c>
      <c r="O7" s="25">
        <v>71</v>
      </c>
      <c r="P7" s="25">
        <v>72</v>
      </c>
      <c r="Q7" s="25">
        <v>74</v>
      </c>
      <c r="R7" s="136" t="str">
        <f>IF(M8,M7/M8*100,"")</f>
        <v/>
      </c>
      <c r="S7" s="136">
        <f>IF(N8,N7/N8*100,"")</f>
        <v>19.008264462809919</v>
      </c>
      <c r="T7" s="136">
        <f>IF(O8,O7/O8*100,"")</f>
        <v>19.452054794520549</v>
      </c>
      <c r="U7" s="136">
        <f>IF(P8,P7/P8*100,"")</f>
        <v>19.618528610354225</v>
      </c>
      <c r="V7" s="136">
        <f>IF(Q8,Q7/Q8*100,"")</f>
        <v>20.108695652173914</v>
      </c>
      <c r="W7" s="140" t="s">
        <v>27</v>
      </c>
      <c r="X7" s="138" t="s">
        <v>469</v>
      </c>
    </row>
    <row r="8" spans="1:24" ht="44.25" customHeight="1">
      <c r="A8" s="137"/>
      <c r="B8" s="137"/>
      <c r="C8" s="137"/>
      <c r="D8" s="137"/>
      <c r="E8" s="137"/>
      <c r="F8" s="137"/>
      <c r="G8" s="137"/>
      <c r="H8" s="139"/>
      <c r="I8" s="139"/>
      <c r="J8" s="137"/>
      <c r="K8" s="137"/>
      <c r="L8" s="47" t="s">
        <v>481</v>
      </c>
      <c r="M8" s="25"/>
      <c r="N8" s="25">
        <v>363</v>
      </c>
      <c r="O8" s="25">
        <v>365</v>
      </c>
      <c r="P8" s="25">
        <v>367</v>
      </c>
      <c r="Q8" s="25">
        <v>368</v>
      </c>
      <c r="R8" s="137"/>
      <c r="S8" s="137"/>
      <c r="T8" s="137"/>
      <c r="U8" s="137"/>
      <c r="V8" s="137"/>
      <c r="W8" s="137"/>
      <c r="X8" s="139"/>
    </row>
  </sheetData>
  <sheetProtection algorithmName="SHA-512" hashValue="xRUwSIUsVunZ2GRyF3BNqLAuXfl6Gfml5wYEjWeub/9bipfXvHfIXmTYApz1FUAwZ7kk8e4z/peq0fUX/hGiRA==" saltValue="jk6TghyflhxLodlTNyLOTw==" spinCount="100000" sheet="1" objects="1" scenarios="1" formatCells="0" formatColumns="0" formatRows="0"/>
  <mergeCells count="70">
    <mergeCell ref="C5:C6"/>
    <mergeCell ref="F7:F8"/>
    <mergeCell ref="F1:F2"/>
    <mergeCell ref="H1:H2"/>
    <mergeCell ref="J1:J2"/>
    <mergeCell ref="K5:K6"/>
    <mergeCell ref="A5:A6"/>
    <mergeCell ref="G5:G6"/>
    <mergeCell ref="S5:S6"/>
    <mergeCell ref="X1:X2"/>
    <mergeCell ref="U5:U6"/>
    <mergeCell ref="T3:T4"/>
    <mergeCell ref="R3:R4"/>
    <mergeCell ref="J3:J4"/>
    <mergeCell ref="G1:G2"/>
    <mergeCell ref="H3:H4"/>
    <mergeCell ref="I1:I2"/>
    <mergeCell ref="A1:A2"/>
    <mergeCell ref="B5:B6"/>
    <mergeCell ref="D5:D6"/>
    <mergeCell ref="C1:C2"/>
    <mergeCell ref="V5:V6"/>
    <mergeCell ref="A7:A8"/>
    <mergeCell ref="S7:S8"/>
    <mergeCell ref="M1:Q1"/>
    <mergeCell ref="T5:T6"/>
    <mergeCell ref="U7:U8"/>
    <mergeCell ref="A3:A4"/>
    <mergeCell ref="G3:G4"/>
    <mergeCell ref="D7:D8"/>
    <mergeCell ref="I3:I4"/>
    <mergeCell ref="U3:U4"/>
    <mergeCell ref="D3:D4"/>
    <mergeCell ref="B1:B2"/>
    <mergeCell ref="H7:H8"/>
    <mergeCell ref="J7:J8"/>
    <mergeCell ref="L1:L2"/>
    <mergeCell ref="I5:I6"/>
    <mergeCell ref="X7:X8"/>
    <mergeCell ref="G7:G8"/>
    <mergeCell ref="X3:X4"/>
    <mergeCell ref="I7:I8"/>
    <mergeCell ref="E1:E2"/>
    <mergeCell ref="K1:K2"/>
    <mergeCell ref="F5:F6"/>
    <mergeCell ref="F3:F4"/>
    <mergeCell ref="W1:W2"/>
    <mergeCell ref="W7:W8"/>
    <mergeCell ref="W3:W4"/>
    <mergeCell ref="X5:X6"/>
    <mergeCell ref="T7:T8"/>
    <mergeCell ref="V7:V8"/>
    <mergeCell ref="K7:K8"/>
    <mergeCell ref="E7:E8"/>
    <mergeCell ref="R1:V1"/>
    <mergeCell ref="E5:E6"/>
    <mergeCell ref="W5:W6"/>
    <mergeCell ref="B3:B4"/>
    <mergeCell ref="R7:R8"/>
    <mergeCell ref="C7:C8"/>
    <mergeCell ref="R5:R6"/>
    <mergeCell ref="H5:H6"/>
    <mergeCell ref="J5:J6"/>
    <mergeCell ref="K3:K4"/>
    <mergeCell ref="C3:C4"/>
    <mergeCell ref="V3:V4"/>
    <mergeCell ref="E3:E4"/>
    <mergeCell ref="B7:B8"/>
    <mergeCell ref="S3:S4"/>
    <mergeCell ref="D1: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
  <sheetViews>
    <sheetView topLeftCell="G1" zoomScale="91" zoomScaleNormal="91" workbookViewId="0">
      <selection activeCell="R1" sqref="R1:V1"/>
    </sheetView>
  </sheetViews>
  <sheetFormatPr baseColWidth="10" defaultRowHeight="14.4"/>
  <cols>
    <col min="3" max="3" width="29" style="22" customWidth="1"/>
    <col min="5" max="5" width="29" style="22" customWidth="1"/>
    <col min="7" max="8" width="29" style="22" customWidth="1"/>
    <col min="9" max="9" width="45.6640625" customWidth="1"/>
    <col min="10" max="10" width="11.44140625" customWidth="1"/>
    <col min="11" max="11" width="29" customWidth="1"/>
    <col min="12" max="12" width="29" style="24" customWidth="1"/>
    <col min="18" max="22" width="11.44140625" style="1" customWidth="1"/>
    <col min="24" max="24" width="29" customWidth="1"/>
  </cols>
  <sheetData>
    <row r="1" spans="1:24" ht="28.95" customHeight="1">
      <c r="A1" s="150" t="s">
        <v>0</v>
      </c>
      <c r="B1" s="150" t="s">
        <v>1</v>
      </c>
      <c r="C1" s="193" t="s">
        <v>2</v>
      </c>
      <c r="D1" s="150" t="s">
        <v>3</v>
      </c>
      <c r="E1" s="193" t="s">
        <v>4</v>
      </c>
      <c r="F1" s="150" t="s">
        <v>5</v>
      </c>
      <c r="G1" s="193" t="s">
        <v>6</v>
      </c>
      <c r="H1" s="197" t="s">
        <v>7</v>
      </c>
      <c r="I1" s="155" t="s">
        <v>8</v>
      </c>
      <c r="J1" s="150" t="s">
        <v>9</v>
      </c>
      <c r="K1" s="153" t="s">
        <v>10</v>
      </c>
      <c r="L1" s="199" t="s">
        <v>11</v>
      </c>
      <c r="M1" s="145" t="s">
        <v>12</v>
      </c>
      <c r="N1" s="146"/>
      <c r="O1" s="146"/>
      <c r="P1" s="146"/>
      <c r="Q1" s="147"/>
      <c r="R1" s="133" t="s">
        <v>13</v>
      </c>
      <c r="S1" s="134"/>
      <c r="T1" s="134"/>
      <c r="U1" s="134"/>
      <c r="V1" s="135"/>
      <c r="W1" s="148" t="s">
        <v>14</v>
      </c>
      <c r="X1" s="154" t="s">
        <v>15</v>
      </c>
    </row>
    <row r="2" spans="1:24" ht="28.95"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35" customHeight="1">
      <c r="A3" s="44">
        <v>1</v>
      </c>
      <c r="B3" s="45" t="s">
        <v>482</v>
      </c>
      <c r="C3" s="48" t="s">
        <v>483</v>
      </c>
      <c r="D3" s="47" t="s">
        <v>484</v>
      </c>
      <c r="E3" s="48" t="s">
        <v>485</v>
      </c>
      <c r="F3" s="44">
        <v>24</v>
      </c>
      <c r="G3" s="48" t="s">
        <v>486</v>
      </c>
      <c r="H3" s="117" t="s">
        <v>487</v>
      </c>
      <c r="I3" s="17" t="s">
        <v>488</v>
      </c>
      <c r="J3" s="44" t="s">
        <v>24</v>
      </c>
      <c r="K3" s="47" t="s">
        <v>25</v>
      </c>
      <c r="L3" s="89" t="s">
        <v>489</v>
      </c>
      <c r="M3" s="26"/>
      <c r="N3" s="26">
        <v>2</v>
      </c>
      <c r="O3" s="26">
        <v>2</v>
      </c>
      <c r="P3" s="26">
        <v>2</v>
      </c>
      <c r="Q3" s="26">
        <v>2</v>
      </c>
      <c r="R3" s="52" t="str">
        <f t="shared" ref="R3:V4" si="0">IF(M3="","",M3)</f>
        <v/>
      </c>
      <c r="S3" s="52">
        <f t="shared" si="0"/>
        <v>2</v>
      </c>
      <c r="T3" s="52">
        <f t="shared" si="0"/>
        <v>2</v>
      </c>
      <c r="U3" s="52">
        <f t="shared" si="0"/>
        <v>2</v>
      </c>
      <c r="V3" s="52">
        <f t="shared" si="0"/>
        <v>2</v>
      </c>
      <c r="W3" s="44" t="s">
        <v>27</v>
      </c>
      <c r="X3" s="26" t="s">
        <v>469</v>
      </c>
    </row>
    <row r="4" spans="1:24" ht="135" customHeight="1">
      <c r="A4" s="44">
        <v>2</v>
      </c>
      <c r="B4" s="45" t="s">
        <v>482</v>
      </c>
      <c r="C4" s="48" t="s">
        <v>483</v>
      </c>
      <c r="D4" s="47" t="s">
        <v>484</v>
      </c>
      <c r="E4" s="48" t="s">
        <v>485</v>
      </c>
      <c r="F4" s="44">
        <v>25</v>
      </c>
      <c r="G4" s="48" t="s">
        <v>490</v>
      </c>
      <c r="H4" s="116" t="s">
        <v>491</v>
      </c>
      <c r="I4" s="17" t="s">
        <v>492</v>
      </c>
      <c r="J4" s="44" t="s">
        <v>24</v>
      </c>
      <c r="K4" s="47" t="s">
        <v>25</v>
      </c>
      <c r="L4" s="89" t="s">
        <v>493</v>
      </c>
      <c r="M4" s="26"/>
      <c r="N4" s="26">
        <v>1</v>
      </c>
      <c r="O4" s="26">
        <v>1</v>
      </c>
      <c r="P4" s="26">
        <v>1</v>
      </c>
      <c r="Q4" s="26">
        <v>1</v>
      </c>
      <c r="R4" s="52" t="str">
        <f t="shared" si="0"/>
        <v/>
      </c>
      <c r="S4" s="52">
        <f t="shared" si="0"/>
        <v>1</v>
      </c>
      <c r="T4" s="52">
        <f t="shared" si="0"/>
        <v>1</v>
      </c>
      <c r="U4" s="52">
        <f t="shared" si="0"/>
        <v>1</v>
      </c>
      <c r="V4" s="52">
        <f t="shared" si="0"/>
        <v>1</v>
      </c>
      <c r="W4" s="44" t="s">
        <v>27</v>
      </c>
      <c r="X4" s="26" t="s">
        <v>469</v>
      </c>
    </row>
  </sheetData>
  <sheetProtection algorithmName="SHA-512" hashValue="nTm9sBwIEK/j26nCNZarZsdTqaAk/veVWeLkFiyiVVvr7C/3BboHqtgzFXm9jnZaVCKVY6Nh0XnqjDniu+T0TA==" saltValue="hWca0Gnyu9TLqwSfu6L72w==" spinCount="100000" sheet="1" objects="1" scenarios="1" formatCells="0" formatColumns="0" formatRows="0"/>
  <mergeCells count="16">
    <mergeCell ref="A1:A2"/>
    <mergeCell ref="C1:C2"/>
    <mergeCell ref="B1:B2"/>
    <mergeCell ref="G1:G2"/>
    <mergeCell ref="D1:D2"/>
    <mergeCell ref="K1:K2"/>
    <mergeCell ref="I1:I2"/>
    <mergeCell ref="E1:E2"/>
    <mergeCell ref="F1:F2"/>
    <mergeCell ref="J1:J2"/>
    <mergeCell ref="W1:W2"/>
    <mergeCell ref="R1:V1"/>
    <mergeCell ref="X1:X2"/>
    <mergeCell ref="L1:L2"/>
    <mergeCell ref="H1:H2"/>
    <mergeCell ref="M1:Q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4"/>
  <sheetViews>
    <sheetView topLeftCell="F1" zoomScale="91" zoomScaleNormal="91" workbookViewId="0">
      <selection activeCell="R1" sqref="R1:V1"/>
    </sheetView>
  </sheetViews>
  <sheetFormatPr baseColWidth="10" defaultRowHeight="14.4"/>
  <cols>
    <col min="3" max="3" width="29" customWidth="1"/>
    <col min="5" max="5" width="29" customWidth="1"/>
    <col min="7" max="8" width="29" customWidth="1"/>
    <col min="9" max="9" width="45.6640625" customWidth="1"/>
    <col min="11" max="12" width="29" customWidth="1"/>
    <col min="13" max="22" width="11.44140625" style="1" customWidth="1"/>
    <col min="24" max="24" width="29" customWidth="1"/>
  </cols>
  <sheetData>
    <row r="1" spans="1:24" ht="27.6" customHeight="1">
      <c r="A1" s="150" t="s">
        <v>0</v>
      </c>
      <c r="B1" s="150" t="s">
        <v>1</v>
      </c>
      <c r="C1" s="193" t="s">
        <v>2</v>
      </c>
      <c r="D1" s="150" t="s">
        <v>3</v>
      </c>
      <c r="E1" s="193" t="s">
        <v>4</v>
      </c>
      <c r="F1" s="150" t="s">
        <v>5</v>
      </c>
      <c r="G1" s="193" t="s">
        <v>6</v>
      </c>
      <c r="H1" s="197" t="s">
        <v>7</v>
      </c>
      <c r="I1" s="155" t="s">
        <v>8</v>
      </c>
      <c r="J1" s="150" t="s">
        <v>9</v>
      </c>
      <c r="K1" s="148" t="s">
        <v>10</v>
      </c>
      <c r="L1" s="148" t="s">
        <v>11</v>
      </c>
      <c r="M1" s="145" t="s">
        <v>12</v>
      </c>
      <c r="N1" s="146"/>
      <c r="O1" s="146"/>
      <c r="P1" s="146"/>
      <c r="Q1" s="147"/>
      <c r="R1" s="133" t="s">
        <v>13</v>
      </c>
      <c r="S1" s="134"/>
      <c r="T1" s="134"/>
      <c r="U1" s="134"/>
      <c r="V1" s="135"/>
      <c r="W1" s="148" t="s">
        <v>14</v>
      </c>
      <c r="X1" s="154" t="s">
        <v>15</v>
      </c>
    </row>
    <row r="2" spans="1:24" ht="27.6"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35" customHeight="1">
      <c r="A3" s="44">
        <v>1</v>
      </c>
      <c r="B3" s="45" t="s">
        <v>494</v>
      </c>
      <c r="C3" s="46" t="s">
        <v>495</v>
      </c>
      <c r="D3" s="47" t="s">
        <v>496</v>
      </c>
      <c r="E3" s="46" t="s">
        <v>497</v>
      </c>
      <c r="F3" s="44">
        <v>7</v>
      </c>
      <c r="G3" s="47" t="s">
        <v>498</v>
      </c>
      <c r="H3" s="116" t="s">
        <v>499</v>
      </c>
      <c r="I3" s="17" t="s">
        <v>500</v>
      </c>
      <c r="J3" s="44" t="s">
        <v>24</v>
      </c>
      <c r="K3" s="47" t="s">
        <v>25</v>
      </c>
      <c r="L3" s="47" t="s">
        <v>501</v>
      </c>
      <c r="M3" s="25"/>
      <c r="N3" s="18">
        <v>3</v>
      </c>
      <c r="O3" s="25">
        <v>3</v>
      </c>
      <c r="P3" s="18">
        <v>3</v>
      </c>
      <c r="Q3" s="25">
        <v>3</v>
      </c>
      <c r="R3" s="52" t="str">
        <f t="shared" ref="R3:V4" si="0">IF(M3="","",M3)</f>
        <v/>
      </c>
      <c r="S3" s="52">
        <f t="shared" si="0"/>
        <v>3</v>
      </c>
      <c r="T3" s="52">
        <f t="shared" si="0"/>
        <v>3</v>
      </c>
      <c r="U3" s="52">
        <f t="shared" si="0"/>
        <v>3</v>
      </c>
      <c r="V3" s="52">
        <f t="shared" si="0"/>
        <v>3</v>
      </c>
      <c r="W3" s="52" t="s">
        <v>27</v>
      </c>
      <c r="X3" s="26" t="s">
        <v>502</v>
      </c>
    </row>
    <row r="4" spans="1:24" ht="135" customHeight="1">
      <c r="A4" s="44">
        <v>2</v>
      </c>
      <c r="B4" s="45" t="s">
        <v>494</v>
      </c>
      <c r="C4" s="46" t="s">
        <v>495</v>
      </c>
      <c r="D4" s="47" t="s">
        <v>503</v>
      </c>
      <c r="E4" s="46" t="s">
        <v>504</v>
      </c>
      <c r="F4" s="44">
        <v>10</v>
      </c>
      <c r="G4" s="47" t="s">
        <v>505</v>
      </c>
      <c r="H4" s="17" t="s">
        <v>506</v>
      </c>
      <c r="I4" s="17" t="s">
        <v>507</v>
      </c>
      <c r="J4" s="44" t="s">
        <v>24</v>
      </c>
      <c r="K4" s="47" t="s">
        <v>25</v>
      </c>
      <c r="L4" s="47" t="s">
        <v>508</v>
      </c>
      <c r="M4" s="25"/>
      <c r="N4" s="18">
        <v>1</v>
      </c>
      <c r="O4" s="25">
        <v>1</v>
      </c>
      <c r="P4" s="18">
        <v>1</v>
      </c>
      <c r="Q4" s="25">
        <v>1</v>
      </c>
      <c r="R4" s="52" t="str">
        <f t="shared" si="0"/>
        <v/>
      </c>
      <c r="S4" s="52">
        <f t="shared" si="0"/>
        <v>1</v>
      </c>
      <c r="T4" s="52">
        <f t="shared" si="0"/>
        <v>1</v>
      </c>
      <c r="U4" s="52">
        <f t="shared" si="0"/>
        <v>1</v>
      </c>
      <c r="V4" s="52">
        <f t="shared" si="0"/>
        <v>1</v>
      </c>
      <c r="W4" s="52" t="s">
        <v>27</v>
      </c>
      <c r="X4" s="26" t="s">
        <v>502</v>
      </c>
    </row>
  </sheetData>
  <sheetProtection algorithmName="SHA-512" hashValue="BBzPQf2bpLSXvkJxMbU7sbAMH4Pw9yxXXdB6OIjHOLplmHFaudvd+mpgcfJfJhud2QaID0AEEMJ98VVyqmq5KA==" saltValue="xjj7jCbw2IorsyMu0Ykowg==" spinCount="100000" sheet="1" formatCells="0" formatColumns="0" formatRows="0"/>
  <mergeCells count="16">
    <mergeCell ref="A1:A2"/>
    <mergeCell ref="B1:B2"/>
    <mergeCell ref="G1:G2"/>
    <mergeCell ref="D1:D2"/>
    <mergeCell ref="K1:K2"/>
    <mergeCell ref="I1:I2"/>
    <mergeCell ref="E1:E2"/>
    <mergeCell ref="J1:J2"/>
    <mergeCell ref="F1:F2"/>
    <mergeCell ref="W1:W2"/>
    <mergeCell ref="R1:V1"/>
    <mergeCell ref="X1:X2"/>
    <mergeCell ref="H1:H2"/>
    <mergeCell ref="C1:C2"/>
    <mergeCell ref="L1:L2"/>
    <mergeCell ref="M1:Q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10"/>
  <sheetViews>
    <sheetView topLeftCell="I1" zoomScale="91" zoomScaleNormal="91" workbookViewId="0">
      <selection activeCell="R1" sqref="R1:V1"/>
    </sheetView>
  </sheetViews>
  <sheetFormatPr baseColWidth="10" defaultRowHeight="14.4"/>
  <cols>
    <col min="1" max="1" width="11.44140625" style="14" customWidth="1"/>
    <col min="3" max="3" width="40" style="22" customWidth="1"/>
    <col min="5" max="5" width="40" style="23" customWidth="1"/>
    <col min="6" max="6" width="11.44140625" style="1" customWidth="1"/>
    <col min="7" max="7" width="40" style="22" customWidth="1"/>
    <col min="8" max="8" width="40" customWidth="1"/>
    <col min="9" max="9" width="45.6640625" customWidth="1"/>
    <col min="11" max="11" width="40" style="24" customWidth="1"/>
    <col min="12" max="12" width="40" customWidth="1"/>
    <col min="13" max="22" width="11.44140625" style="1" customWidth="1"/>
    <col min="24" max="24" width="29" customWidth="1"/>
  </cols>
  <sheetData>
    <row r="1" spans="1:24" ht="18.75" customHeight="1">
      <c r="A1" s="150" t="s">
        <v>0</v>
      </c>
      <c r="B1" s="150" t="s">
        <v>1</v>
      </c>
      <c r="C1" s="193" t="s">
        <v>2</v>
      </c>
      <c r="D1" s="150" t="s">
        <v>3</v>
      </c>
      <c r="E1" s="143" t="s">
        <v>4</v>
      </c>
      <c r="F1" s="150" t="s">
        <v>5</v>
      </c>
      <c r="G1" s="193" t="s">
        <v>6</v>
      </c>
      <c r="H1" s="197" t="s">
        <v>7</v>
      </c>
      <c r="I1" s="155" t="s">
        <v>8</v>
      </c>
      <c r="J1" s="150" t="s">
        <v>9</v>
      </c>
      <c r="K1" s="199" t="s">
        <v>10</v>
      </c>
      <c r="L1" s="199"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35" customHeight="1">
      <c r="A3" s="49">
        <v>1</v>
      </c>
      <c r="B3" s="47" t="s">
        <v>509</v>
      </c>
      <c r="C3" s="48" t="s">
        <v>510</v>
      </c>
      <c r="D3" s="47" t="s">
        <v>511</v>
      </c>
      <c r="E3" s="51" t="s">
        <v>512</v>
      </c>
      <c r="F3" s="49">
        <v>8</v>
      </c>
      <c r="G3" s="48" t="s">
        <v>513</v>
      </c>
      <c r="H3" s="116" t="s">
        <v>514</v>
      </c>
      <c r="I3" s="116" t="s">
        <v>515</v>
      </c>
      <c r="J3" s="44" t="s">
        <v>24</v>
      </c>
      <c r="K3" s="89" t="s">
        <v>25</v>
      </c>
      <c r="L3" s="47" t="s">
        <v>516</v>
      </c>
      <c r="M3" s="25"/>
      <c r="N3" s="25">
        <v>1</v>
      </c>
      <c r="O3" s="25">
        <v>1</v>
      </c>
      <c r="P3" s="25">
        <v>1</v>
      </c>
      <c r="Q3" s="25">
        <v>1</v>
      </c>
      <c r="R3" s="52" t="str">
        <f t="shared" ref="R3:V10" si="0">IF(M3="","",M3)</f>
        <v/>
      </c>
      <c r="S3" s="52">
        <f t="shared" si="0"/>
        <v>1</v>
      </c>
      <c r="T3" s="52">
        <f t="shared" si="0"/>
        <v>1</v>
      </c>
      <c r="U3" s="52">
        <f t="shared" si="0"/>
        <v>1</v>
      </c>
      <c r="V3" s="52">
        <f t="shared" si="0"/>
        <v>1</v>
      </c>
      <c r="W3" s="49" t="s">
        <v>27</v>
      </c>
      <c r="X3" s="26" t="s">
        <v>517</v>
      </c>
    </row>
    <row r="4" spans="1:24" ht="135" customHeight="1">
      <c r="A4" s="49">
        <v>2</v>
      </c>
      <c r="B4" s="47" t="s">
        <v>509</v>
      </c>
      <c r="C4" s="48" t="s">
        <v>510</v>
      </c>
      <c r="D4" s="47" t="s">
        <v>511</v>
      </c>
      <c r="E4" s="51" t="s">
        <v>512</v>
      </c>
      <c r="F4" s="49">
        <v>10</v>
      </c>
      <c r="G4" s="48" t="s">
        <v>518</v>
      </c>
      <c r="H4" s="116" t="s">
        <v>519</v>
      </c>
      <c r="I4" s="116" t="s">
        <v>520</v>
      </c>
      <c r="J4" s="44" t="s">
        <v>24</v>
      </c>
      <c r="K4" s="89" t="s">
        <v>25</v>
      </c>
      <c r="L4" s="47" t="s">
        <v>521</v>
      </c>
      <c r="M4" s="25"/>
      <c r="N4" s="25">
        <v>1</v>
      </c>
      <c r="O4" s="25">
        <v>1</v>
      </c>
      <c r="P4" s="25">
        <v>1</v>
      </c>
      <c r="Q4" s="25">
        <v>1</v>
      </c>
      <c r="R4" s="52" t="str">
        <f t="shared" si="0"/>
        <v/>
      </c>
      <c r="S4" s="52">
        <f t="shared" si="0"/>
        <v>1</v>
      </c>
      <c r="T4" s="52">
        <f t="shared" si="0"/>
        <v>1</v>
      </c>
      <c r="U4" s="52">
        <f t="shared" si="0"/>
        <v>1</v>
      </c>
      <c r="V4" s="52">
        <f t="shared" si="0"/>
        <v>1</v>
      </c>
      <c r="W4" s="49" t="s">
        <v>27</v>
      </c>
      <c r="X4" s="26" t="s">
        <v>517</v>
      </c>
    </row>
    <row r="5" spans="1:24" ht="135" customHeight="1">
      <c r="A5" s="49">
        <v>3</v>
      </c>
      <c r="B5" s="47" t="s">
        <v>509</v>
      </c>
      <c r="C5" s="48" t="s">
        <v>510</v>
      </c>
      <c r="D5" s="47" t="s">
        <v>522</v>
      </c>
      <c r="E5" s="51" t="s">
        <v>523</v>
      </c>
      <c r="F5" s="49">
        <v>11</v>
      </c>
      <c r="G5" s="48" t="s">
        <v>524</v>
      </c>
      <c r="H5" s="117" t="s">
        <v>525</v>
      </c>
      <c r="I5" s="116" t="s">
        <v>526</v>
      </c>
      <c r="J5" s="44" t="s">
        <v>24</v>
      </c>
      <c r="K5" s="89" t="s">
        <v>25</v>
      </c>
      <c r="L5" s="46" t="s">
        <v>527</v>
      </c>
      <c r="M5" s="25"/>
      <c r="N5" s="25">
        <v>1</v>
      </c>
      <c r="O5" s="25">
        <v>1</v>
      </c>
      <c r="P5" s="25">
        <v>1</v>
      </c>
      <c r="Q5" s="25">
        <v>1</v>
      </c>
      <c r="R5" s="52" t="str">
        <f t="shared" si="0"/>
        <v/>
      </c>
      <c r="S5" s="52">
        <f t="shared" si="0"/>
        <v>1</v>
      </c>
      <c r="T5" s="52">
        <f t="shared" si="0"/>
        <v>1</v>
      </c>
      <c r="U5" s="52">
        <f t="shared" si="0"/>
        <v>1</v>
      </c>
      <c r="V5" s="52">
        <f t="shared" si="0"/>
        <v>1</v>
      </c>
      <c r="W5" s="49" t="s">
        <v>27</v>
      </c>
      <c r="X5" s="26" t="s">
        <v>517</v>
      </c>
    </row>
    <row r="6" spans="1:24" ht="135" customHeight="1">
      <c r="A6" s="49">
        <v>4</v>
      </c>
      <c r="B6" s="47" t="s">
        <v>509</v>
      </c>
      <c r="C6" s="48" t="s">
        <v>510</v>
      </c>
      <c r="D6" s="47" t="s">
        <v>522</v>
      </c>
      <c r="E6" s="51" t="s">
        <v>523</v>
      </c>
      <c r="F6" s="49">
        <v>12</v>
      </c>
      <c r="G6" s="48" t="s">
        <v>528</v>
      </c>
      <c r="H6" s="116" t="s">
        <v>529</v>
      </c>
      <c r="I6" s="116" t="s">
        <v>530</v>
      </c>
      <c r="J6" s="44" t="s">
        <v>24</v>
      </c>
      <c r="K6" s="89" t="s">
        <v>25</v>
      </c>
      <c r="L6" s="47" t="s">
        <v>531</v>
      </c>
      <c r="M6" s="25"/>
      <c r="N6" s="25">
        <v>1</v>
      </c>
      <c r="O6" s="25">
        <v>1</v>
      </c>
      <c r="P6" s="25">
        <v>1</v>
      </c>
      <c r="Q6" s="25">
        <v>1</v>
      </c>
      <c r="R6" s="52" t="str">
        <f t="shared" si="0"/>
        <v/>
      </c>
      <c r="S6" s="52">
        <f t="shared" si="0"/>
        <v>1</v>
      </c>
      <c r="T6" s="52">
        <f t="shared" si="0"/>
        <v>1</v>
      </c>
      <c r="U6" s="52">
        <f t="shared" si="0"/>
        <v>1</v>
      </c>
      <c r="V6" s="52">
        <f t="shared" si="0"/>
        <v>1</v>
      </c>
      <c r="W6" s="49" t="s">
        <v>27</v>
      </c>
      <c r="X6" s="26" t="s">
        <v>517</v>
      </c>
    </row>
    <row r="7" spans="1:24" ht="135" customHeight="1">
      <c r="A7" s="49">
        <v>5</v>
      </c>
      <c r="B7" s="47" t="s">
        <v>509</v>
      </c>
      <c r="C7" s="48" t="s">
        <v>510</v>
      </c>
      <c r="D7" s="47" t="s">
        <v>522</v>
      </c>
      <c r="E7" s="51" t="s">
        <v>523</v>
      </c>
      <c r="F7" s="49">
        <v>13</v>
      </c>
      <c r="G7" s="48" t="s">
        <v>532</v>
      </c>
      <c r="H7" s="116" t="s">
        <v>533</v>
      </c>
      <c r="I7" s="116" t="s">
        <v>534</v>
      </c>
      <c r="J7" s="44" t="s">
        <v>24</v>
      </c>
      <c r="K7" s="89" t="s">
        <v>25</v>
      </c>
      <c r="L7" s="47" t="s">
        <v>535</v>
      </c>
      <c r="M7" s="25"/>
      <c r="N7" s="25">
        <v>1</v>
      </c>
      <c r="O7" s="25">
        <v>1</v>
      </c>
      <c r="P7" s="25">
        <v>1</v>
      </c>
      <c r="Q7" s="25">
        <v>1</v>
      </c>
      <c r="R7" s="52" t="str">
        <f t="shared" si="0"/>
        <v/>
      </c>
      <c r="S7" s="52">
        <f t="shared" si="0"/>
        <v>1</v>
      </c>
      <c r="T7" s="52">
        <f t="shared" si="0"/>
        <v>1</v>
      </c>
      <c r="U7" s="52">
        <f t="shared" si="0"/>
        <v>1</v>
      </c>
      <c r="V7" s="52">
        <f t="shared" si="0"/>
        <v>1</v>
      </c>
      <c r="W7" s="49" t="s">
        <v>27</v>
      </c>
      <c r="X7" s="26" t="s">
        <v>517</v>
      </c>
    </row>
    <row r="8" spans="1:24" ht="135" customHeight="1">
      <c r="A8" s="49">
        <v>6</v>
      </c>
      <c r="B8" s="47" t="s">
        <v>509</v>
      </c>
      <c r="C8" s="48" t="s">
        <v>510</v>
      </c>
      <c r="D8" s="47" t="s">
        <v>536</v>
      </c>
      <c r="E8" s="51" t="s">
        <v>537</v>
      </c>
      <c r="F8" s="49">
        <v>20</v>
      </c>
      <c r="G8" s="48" t="s">
        <v>538</v>
      </c>
      <c r="H8" s="117" t="s">
        <v>539</v>
      </c>
      <c r="I8" s="116" t="s">
        <v>540</v>
      </c>
      <c r="J8" s="44" t="s">
        <v>24</v>
      </c>
      <c r="K8" s="89" t="s">
        <v>25</v>
      </c>
      <c r="L8" s="46" t="s">
        <v>541</v>
      </c>
      <c r="M8" s="25"/>
      <c r="N8" s="25">
        <v>273</v>
      </c>
      <c r="O8" s="25">
        <v>273</v>
      </c>
      <c r="P8" s="25">
        <v>273</v>
      </c>
      <c r="Q8" s="25">
        <v>273</v>
      </c>
      <c r="R8" s="52" t="str">
        <f t="shared" si="0"/>
        <v/>
      </c>
      <c r="S8" s="52">
        <f t="shared" si="0"/>
        <v>273</v>
      </c>
      <c r="T8" s="52">
        <f t="shared" si="0"/>
        <v>273</v>
      </c>
      <c r="U8" s="52">
        <f t="shared" si="0"/>
        <v>273</v>
      </c>
      <c r="V8" s="52">
        <f t="shared" si="0"/>
        <v>273</v>
      </c>
      <c r="W8" s="49" t="s">
        <v>27</v>
      </c>
      <c r="X8" s="26" t="s">
        <v>517</v>
      </c>
    </row>
    <row r="9" spans="1:24" ht="135" customHeight="1">
      <c r="A9" s="49">
        <v>7</v>
      </c>
      <c r="B9" s="47" t="s">
        <v>509</v>
      </c>
      <c r="C9" s="48" t="s">
        <v>510</v>
      </c>
      <c r="D9" s="47" t="s">
        <v>536</v>
      </c>
      <c r="E9" s="51" t="s">
        <v>537</v>
      </c>
      <c r="F9" s="49">
        <v>22</v>
      </c>
      <c r="G9" s="48" t="s">
        <v>542</v>
      </c>
      <c r="H9" s="116" t="s">
        <v>543</v>
      </c>
      <c r="I9" s="116" t="s">
        <v>544</v>
      </c>
      <c r="J9" s="44" t="s">
        <v>24</v>
      </c>
      <c r="K9" s="89" t="s">
        <v>25</v>
      </c>
      <c r="L9" s="47" t="s">
        <v>545</v>
      </c>
      <c r="M9" s="25"/>
      <c r="N9" s="25">
        <v>155</v>
      </c>
      <c r="O9" s="25">
        <v>155</v>
      </c>
      <c r="P9" s="25">
        <v>155</v>
      </c>
      <c r="Q9" s="25">
        <v>155</v>
      </c>
      <c r="R9" s="52" t="str">
        <f t="shared" si="0"/>
        <v/>
      </c>
      <c r="S9" s="52">
        <f t="shared" si="0"/>
        <v>155</v>
      </c>
      <c r="T9" s="52">
        <f t="shared" si="0"/>
        <v>155</v>
      </c>
      <c r="U9" s="52">
        <f t="shared" si="0"/>
        <v>155</v>
      </c>
      <c r="V9" s="52">
        <f t="shared" si="0"/>
        <v>155</v>
      </c>
      <c r="W9" s="49" t="s">
        <v>27</v>
      </c>
      <c r="X9" s="26" t="s">
        <v>517</v>
      </c>
    </row>
    <row r="10" spans="1:24" ht="135" customHeight="1">
      <c r="A10" s="49">
        <v>8</v>
      </c>
      <c r="B10" s="47" t="s">
        <v>509</v>
      </c>
      <c r="C10" s="48" t="s">
        <v>510</v>
      </c>
      <c r="D10" s="47" t="s">
        <v>536</v>
      </c>
      <c r="E10" s="51" t="s">
        <v>537</v>
      </c>
      <c r="F10" s="49">
        <v>30</v>
      </c>
      <c r="G10" s="48" t="s">
        <v>546</v>
      </c>
      <c r="H10" s="17" t="s">
        <v>547</v>
      </c>
      <c r="I10" s="116" t="s">
        <v>548</v>
      </c>
      <c r="J10" s="45" t="s">
        <v>24</v>
      </c>
      <c r="K10" s="89" t="s">
        <v>25</v>
      </c>
      <c r="L10" s="47" t="s">
        <v>549</v>
      </c>
      <c r="M10" s="25"/>
      <c r="N10" s="25">
        <v>0</v>
      </c>
      <c r="O10" s="25">
        <v>0</v>
      </c>
      <c r="P10" s="25">
        <v>1</v>
      </c>
      <c r="Q10" s="25">
        <v>0</v>
      </c>
      <c r="R10" s="52" t="str">
        <f t="shared" si="0"/>
        <v/>
      </c>
      <c r="S10" s="52">
        <f t="shared" si="0"/>
        <v>0</v>
      </c>
      <c r="T10" s="52">
        <f t="shared" si="0"/>
        <v>0</v>
      </c>
      <c r="U10" s="52">
        <f t="shared" si="0"/>
        <v>1</v>
      </c>
      <c r="V10" s="52">
        <f t="shared" si="0"/>
        <v>0</v>
      </c>
      <c r="W10" s="47" t="s">
        <v>27</v>
      </c>
      <c r="X10" s="26" t="s">
        <v>517</v>
      </c>
    </row>
  </sheetData>
  <sheetProtection algorithmName="SHA-512" hashValue="CZTVx/3DWTYus3VKqwh3RclCPmAiMZR+WrjsWmdbYXmwrICmyjoLzuTBFYiOXGviqXTyIUOpSGBR3GBI4baj0w==" saltValue="89/l/hLJR4W9ip47NZ1v+Q==" spinCount="100000" sheet="1" objects="1" scenarios="1" formatCells="0" formatColumns="0" formatRows="0"/>
  <mergeCells count="16">
    <mergeCell ref="A1:A2"/>
    <mergeCell ref="B1:B2"/>
    <mergeCell ref="G1:G2"/>
    <mergeCell ref="D1:D2"/>
    <mergeCell ref="K1:K2"/>
    <mergeCell ref="I1:I2"/>
    <mergeCell ref="E1:E2"/>
    <mergeCell ref="J1:J2"/>
    <mergeCell ref="F1:F2"/>
    <mergeCell ref="W1:W2"/>
    <mergeCell ref="R1:V1"/>
    <mergeCell ref="X1:X2"/>
    <mergeCell ref="H1:H2"/>
    <mergeCell ref="C1:C2"/>
    <mergeCell ref="L1:L2"/>
    <mergeCell ref="M1:Q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
  <sheetViews>
    <sheetView topLeftCell="G1" zoomScale="91" zoomScaleNormal="91" workbookViewId="0">
      <selection activeCell="R1" sqref="R1:V1"/>
    </sheetView>
  </sheetViews>
  <sheetFormatPr baseColWidth="10" defaultRowHeight="14.4"/>
  <cols>
    <col min="2" max="2" width="18.6640625" customWidth="1"/>
    <col min="3" max="3" width="28.88671875" customWidth="1"/>
    <col min="5" max="5" width="28.88671875" style="22" customWidth="1"/>
    <col min="7" max="8" width="28.88671875" style="22" customWidth="1"/>
    <col min="9" max="9" width="45.6640625" customWidth="1"/>
    <col min="11" max="11" width="28.88671875" customWidth="1"/>
    <col min="12" max="12" width="28.88671875" style="22" customWidth="1"/>
    <col min="13" max="23" width="11.44140625" style="1" customWidth="1"/>
    <col min="24" max="24" width="29" customWidth="1"/>
  </cols>
  <sheetData>
    <row r="1" spans="1:24" ht="18.75" customHeight="1">
      <c r="A1" s="150" t="s">
        <v>0</v>
      </c>
      <c r="B1" s="150" t="s">
        <v>1</v>
      </c>
      <c r="C1" s="193" t="s">
        <v>2</v>
      </c>
      <c r="D1" s="150" t="s">
        <v>3</v>
      </c>
      <c r="E1" s="193" t="s">
        <v>4</v>
      </c>
      <c r="F1" s="150" t="s">
        <v>5</v>
      </c>
      <c r="G1" s="193" t="s">
        <v>6</v>
      </c>
      <c r="H1" s="197" t="s">
        <v>7</v>
      </c>
      <c r="I1" s="155" t="s">
        <v>8</v>
      </c>
      <c r="J1" s="150" t="s">
        <v>9</v>
      </c>
      <c r="K1" s="199" t="s">
        <v>10</v>
      </c>
      <c r="L1" s="153"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50" customHeight="1">
      <c r="A3" s="44">
        <v>1</v>
      </c>
      <c r="B3" s="45" t="s">
        <v>550</v>
      </c>
      <c r="C3" s="46" t="s">
        <v>551</v>
      </c>
      <c r="D3" s="47" t="s">
        <v>552</v>
      </c>
      <c r="E3" s="48" t="s">
        <v>553</v>
      </c>
      <c r="F3" s="44">
        <v>5</v>
      </c>
      <c r="G3" s="48" t="s">
        <v>554</v>
      </c>
      <c r="H3" s="117" t="s">
        <v>555</v>
      </c>
      <c r="I3" s="20" t="s">
        <v>556</v>
      </c>
      <c r="J3" s="44" t="s">
        <v>24</v>
      </c>
      <c r="K3" s="47" t="s">
        <v>25</v>
      </c>
      <c r="L3" s="48" t="s">
        <v>557</v>
      </c>
      <c r="M3" s="25"/>
      <c r="N3" s="25">
        <v>1</v>
      </c>
      <c r="O3" s="25">
        <v>1</v>
      </c>
      <c r="P3" s="25">
        <v>1</v>
      </c>
      <c r="Q3" s="25">
        <v>1</v>
      </c>
      <c r="R3" s="52" t="str">
        <f>IF(M3="","",M3)</f>
        <v/>
      </c>
      <c r="S3" s="52">
        <f>IF(N3="","",N3)</f>
        <v>1</v>
      </c>
      <c r="T3" s="52">
        <f>IF(O3="","",O3)</f>
        <v>1</v>
      </c>
      <c r="U3" s="52">
        <f>IF(P3="","",P3)</f>
        <v>1</v>
      </c>
      <c r="V3" s="52">
        <f>IF(Q3="","",Q3)</f>
        <v>1</v>
      </c>
      <c r="W3" s="44" t="s">
        <v>27</v>
      </c>
      <c r="X3" s="26" t="s">
        <v>469</v>
      </c>
    </row>
  </sheetData>
  <sheetProtection algorithmName="SHA-512" hashValue="D+6slupOrmk6dd6NNAIME1vYPjj7lxTbkmJdll6wVW0a7N1AoRgjtNIdD/z+DlB0fObneRuKOswBuahC4YzQsw==" saltValue="D/rXDub4NcBNtZa6KsKU6Q==" spinCount="100000" sheet="1" objects="1" scenarios="1" formatCells="0" formatColumns="0" formatRows="0"/>
  <mergeCells count="16">
    <mergeCell ref="A1:A2"/>
    <mergeCell ref="B1:B2"/>
    <mergeCell ref="G1:G2"/>
    <mergeCell ref="D1:D2"/>
    <mergeCell ref="K1:K2"/>
    <mergeCell ref="I1:I2"/>
    <mergeCell ref="E1:E2"/>
    <mergeCell ref="J1:J2"/>
    <mergeCell ref="F1:F2"/>
    <mergeCell ref="W1:W2"/>
    <mergeCell ref="R1:V1"/>
    <mergeCell ref="X1:X2"/>
    <mergeCell ref="H1:H2"/>
    <mergeCell ref="C1:C2"/>
    <mergeCell ref="L1:L2"/>
    <mergeCell ref="M1:Q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12"/>
  <sheetViews>
    <sheetView topLeftCell="F1" zoomScale="91" zoomScaleNormal="91" workbookViewId="0">
      <selection activeCell="L12" sqref="L12"/>
    </sheetView>
  </sheetViews>
  <sheetFormatPr baseColWidth="10" defaultRowHeight="14.4"/>
  <cols>
    <col min="1" max="1" width="11.44140625" style="14" customWidth="1"/>
    <col min="3" max="3" width="28.5546875" style="22" customWidth="1"/>
    <col min="5" max="5" width="28.5546875" style="22" customWidth="1"/>
    <col min="7" max="7" width="28.5546875" style="22" customWidth="1"/>
    <col min="8" max="8" width="28.5546875" customWidth="1"/>
    <col min="9" max="9" width="45.6640625" customWidth="1"/>
    <col min="11" max="11" width="28.5546875" style="23" customWidth="1"/>
    <col min="12" max="12" width="28.5546875" style="1" customWidth="1"/>
    <col min="13" max="23" width="11.44140625" style="1" customWidth="1"/>
    <col min="24" max="24" width="29" customWidth="1"/>
  </cols>
  <sheetData>
    <row r="1" spans="1:24" s="1" customFormat="1" ht="18.75" customHeight="1">
      <c r="A1" s="150" t="s">
        <v>0</v>
      </c>
      <c r="B1" s="150" t="s">
        <v>1</v>
      </c>
      <c r="C1" s="150" t="s">
        <v>2</v>
      </c>
      <c r="D1" s="150" t="s">
        <v>3</v>
      </c>
      <c r="E1" s="150" t="s">
        <v>4</v>
      </c>
      <c r="F1" s="150" t="s">
        <v>5</v>
      </c>
      <c r="G1" s="150" t="s">
        <v>6</v>
      </c>
      <c r="H1" s="188" t="s">
        <v>7</v>
      </c>
      <c r="I1" s="155" t="s">
        <v>8</v>
      </c>
      <c r="J1" s="150" t="s">
        <v>9</v>
      </c>
      <c r="K1" s="148" t="s">
        <v>10</v>
      </c>
      <c r="L1" s="148" t="s">
        <v>11</v>
      </c>
      <c r="M1" s="145" t="s">
        <v>12</v>
      </c>
      <c r="N1" s="146"/>
      <c r="O1" s="146"/>
      <c r="P1" s="146"/>
      <c r="Q1" s="147"/>
      <c r="R1" s="133" t="s">
        <v>13</v>
      </c>
      <c r="S1" s="134"/>
      <c r="T1" s="134"/>
      <c r="U1" s="134"/>
      <c r="V1" s="135"/>
      <c r="W1" s="148" t="s">
        <v>14</v>
      </c>
      <c r="X1" s="154" t="s">
        <v>15</v>
      </c>
    </row>
    <row r="2" spans="1:24" s="1" customFormat="1"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65.25" customHeight="1">
      <c r="A3" s="140">
        <v>1</v>
      </c>
      <c r="B3" s="140" t="s">
        <v>558</v>
      </c>
      <c r="C3" s="159" t="s">
        <v>559</v>
      </c>
      <c r="D3" s="149" t="s">
        <v>560</v>
      </c>
      <c r="E3" s="159" t="s">
        <v>561</v>
      </c>
      <c r="F3" s="140">
        <v>1</v>
      </c>
      <c r="G3" s="159" t="s">
        <v>562</v>
      </c>
      <c r="H3" s="142" t="s">
        <v>563</v>
      </c>
      <c r="I3" s="142" t="s">
        <v>564</v>
      </c>
      <c r="J3" s="152" t="s">
        <v>49</v>
      </c>
      <c r="K3" s="141" t="s">
        <v>565</v>
      </c>
      <c r="L3" s="49" t="s">
        <v>566</v>
      </c>
      <c r="M3" s="25"/>
      <c r="N3" s="25">
        <v>1136</v>
      </c>
      <c r="O3" s="25">
        <v>1162</v>
      </c>
      <c r="P3" s="25">
        <v>1187</v>
      </c>
      <c r="Q3" s="25">
        <v>1214</v>
      </c>
      <c r="R3" s="136" t="str">
        <f>IF(M4,M3/M4*100,"")</f>
        <v/>
      </c>
      <c r="S3" s="136">
        <f>IF(N4,N3/N4*100,"")</f>
        <v>38.006022080963533</v>
      </c>
      <c r="T3" s="136">
        <f>IF(O4,O3/O4*100,"")</f>
        <v>38.681757656458053</v>
      </c>
      <c r="U3" s="136">
        <f>IF(P4,P3/P4*100,"")</f>
        <v>39.317654852600199</v>
      </c>
      <c r="V3" s="136">
        <f>IF(Q4,Q3/Q4*100,"")</f>
        <v>40.013183915622939</v>
      </c>
      <c r="W3" s="136" t="s">
        <v>27</v>
      </c>
      <c r="X3" s="138" t="s">
        <v>567</v>
      </c>
    </row>
    <row r="4" spans="1:24" ht="65.25" customHeight="1">
      <c r="A4" s="137"/>
      <c r="B4" s="137"/>
      <c r="C4" s="137"/>
      <c r="D4" s="137"/>
      <c r="E4" s="137"/>
      <c r="F4" s="137"/>
      <c r="G4" s="137"/>
      <c r="H4" s="139"/>
      <c r="I4" s="139"/>
      <c r="J4" s="137"/>
      <c r="K4" s="137"/>
      <c r="L4" s="49" t="s">
        <v>568</v>
      </c>
      <c r="M4" s="25"/>
      <c r="N4" s="25">
        <v>2989</v>
      </c>
      <c r="O4" s="25">
        <v>3004</v>
      </c>
      <c r="P4" s="25">
        <v>3019</v>
      </c>
      <c r="Q4" s="25">
        <v>3034</v>
      </c>
      <c r="R4" s="137"/>
      <c r="S4" s="137"/>
      <c r="T4" s="137"/>
      <c r="U4" s="137"/>
      <c r="V4" s="137"/>
      <c r="W4" s="137"/>
      <c r="X4" s="139"/>
    </row>
    <row r="5" spans="1:24" ht="135" customHeight="1">
      <c r="A5" s="44">
        <v>2</v>
      </c>
      <c r="B5" s="45" t="s">
        <v>558</v>
      </c>
      <c r="C5" s="48" t="s">
        <v>559</v>
      </c>
      <c r="D5" s="47" t="s">
        <v>569</v>
      </c>
      <c r="E5" s="48" t="s">
        <v>570</v>
      </c>
      <c r="F5" s="44">
        <v>3</v>
      </c>
      <c r="G5" s="48" t="s">
        <v>571</v>
      </c>
      <c r="H5" s="116" t="s">
        <v>572</v>
      </c>
      <c r="I5" s="17" t="s">
        <v>573</v>
      </c>
      <c r="J5" s="44" t="s">
        <v>24</v>
      </c>
      <c r="K5" s="51" t="s">
        <v>25</v>
      </c>
      <c r="L5" s="49" t="s">
        <v>574</v>
      </c>
      <c r="M5" s="25"/>
      <c r="N5" s="25">
        <v>1</v>
      </c>
      <c r="O5" s="25">
        <v>1</v>
      </c>
      <c r="P5" s="25">
        <v>1</v>
      </c>
      <c r="Q5" s="25">
        <v>1</v>
      </c>
      <c r="R5" s="52" t="str">
        <f>IF(M5="","",M5)</f>
        <v/>
      </c>
      <c r="S5" s="52">
        <f>IF(N5="","",N5)</f>
        <v>1</v>
      </c>
      <c r="T5" s="52">
        <f>IF(O5="","",O5)</f>
        <v>1</v>
      </c>
      <c r="U5" s="52">
        <f>IF(P5="","",P5)</f>
        <v>1</v>
      </c>
      <c r="V5" s="52">
        <f>IF(Q5="","",Q5)</f>
        <v>1</v>
      </c>
      <c r="W5" s="44" t="s">
        <v>27</v>
      </c>
      <c r="X5" s="26" t="s">
        <v>567</v>
      </c>
    </row>
    <row r="6" spans="1:24" ht="70.5" customHeight="1">
      <c r="A6" s="140">
        <v>3</v>
      </c>
      <c r="B6" s="140" t="s">
        <v>558</v>
      </c>
      <c r="C6" s="159" t="s">
        <v>559</v>
      </c>
      <c r="D6" s="149" t="s">
        <v>575</v>
      </c>
      <c r="E6" s="159" t="s">
        <v>576</v>
      </c>
      <c r="F6" s="140">
        <v>6</v>
      </c>
      <c r="G6" s="159" t="s">
        <v>577</v>
      </c>
      <c r="H6" s="142" t="s">
        <v>578</v>
      </c>
      <c r="I6" s="142" t="s">
        <v>579</v>
      </c>
      <c r="J6" s="152" t="s">
        <v>49</v>
      </c>
      <c r="K6" s="141" t="s">
        <v>580</v>
      </c>
      <c r="L6" s="49" t="s">
        <v>581</v>
      </c>
      <c r="M6" s="25"/>
      <c r="N6" s="25">
        <v>1</v>
      </c>
      <c r="O6" s="25">
        <v>1</v>
      </c>
      <c r="P6" s="25">
        <v>1</v>
      </c>
      <c r="Q6" s="25">
        <v>1</v>
      </c>
      <c r="R6" s="136" t="str">
        <f>IF(M7,M6/M7*100,"")</f>
        <v/>
      </c>
      <c r="S6" s="136">
        <f>IF(N7,N6/N7*100,"")</f>
        <v>5</v>
      </c>
      <c r="T6" s="136">
        <f>IF(O7,O6/O7*100,"")</f>
        <v>5</v>
      </c>
      <c r="U6" s="136">
        <f>IF(P7,P6/P7*100,"")</f>
        <v>5</v>
      </c>
      <c r="V6" s="136">
        <f>IF(Q7,Q6/Q7*100,"")</f>
        <v>5</v>
      </c>
      <c r="W6" s="140" t="s">
        <v>27</v>
      </c>
      <c r="X6" s="138" t="s">
        <v>567</v>
      </c>
    </row>
    <row r="7" spans="1:24" ht="70.5" customHeight="1">
      <c r="A7" s="137"/>
      <c r="B7" s="137"/>
      <c r="C7" s="137"/>
      <c r="D7" s="137"/>
      <c r="E7" s="137"/>
      <c r="F7" s="137"/>
      <c r="G7" s="137"/>
      <c r="H7" s="139"/>
      <c r="I7" s="139"/>
      <c r="J7" s="137"/>
      <c r="K7" s="137"/>
      <c r="L7" s="49" t="s">
        <v>582</v>
      </c>
      <c r="M7" s="25"/>
      <c r="N7" s="25">
        <v>20</v>
      </c>
      <c r="O7" s="25">
        <v>20</v>
      </c>
      <c r="P7" s="25">
        <v>20</v>
      </c>
      <c r="Q7" s="25">
        <v>20</v>
      </c>
      <c r="R7" s="137"/>
      <c r="S7" s="137"/>
      <c r="T7" s="137"/>
      <c r="U7" s="137"/>
      <c r="V7" s="137"/>
      <c r="W7" s="137"/>
      <c r="X7" s="139"/>
    </row>
    <row r="8" spans="1:24" ht="135" customHeight="1">
      <c r="A8" s="44">
        <v>4</v>
      </c>
      <c r="B8" s="45" t="s">
        <v>558</v>
      </c>
      <c r="C8" s="48" t="s">
        <v>559</v>
      </c>
      <c r="D8" s="47" t="s">
        <v>575</v>
      </c>
      <c r="E8" s="48" t="s">
        <v>576</v>
      </c>
      <c r="F8" s="44">
        <v>7</v>
      </c>
      <c r="G8" s="48" t="s">
        <v>583</v>
      </c>
      <c r="H8" s="116" t="s">
        <v>584</v>
      </c>
      <c r="I8" s="17" t="s">
        <v>585</v>
      </c>
      <c r="J8" s="44" t="s">
        <v>24</v>
      </c>
      <c r="K8" s="51" t="s">
        <v>25</v>
      </c>
      <c r="L8" s="49" t="s">
        <v>586</v>
      </c>
      <c r="M8" s="25"/>
      <c r="N8" s="25">
        <v>1</v>
      </c>
      <c r="O8" s="25">
        <v>1</v>
      </c>
      <c r="P8" s="25">
        <v>1</v>
      </c>
      <c r="Q8" s="25">
        <v>1</v>
      </c>
      <c r="R8" s="52" t="str">
        <f t="shared" ref="R8:V12" si="0">IF(M8="","",M8)</f>
        <v/>
      </c>
      <c r="S8" s="52">
        <f t="shared" si="0"/>
        <v>1</v>
      </c>
      <c r="T8" s="52">
        <f t="shared" si="0"/>
        <v>1</v>
      </c>
      <c r="U8" s="52">
        <f t="shared" si="0"/>
        <v>1</v>
      </c>
      <c r="V8" s="52">
        <f t="shared" si="0"/>
        <v>1</v>
      </c>
      <c r="W8" s="44" t="s">
        <v>27</v>
      </c>
      <c r="X8" s="26" t="s">
        <v>567</v>
      </c>
    </row>
    <row r="9" spans="1:24" ht="135" customHeight="1">
      <c r="A9" s="44">
        <v>5</v>
      </c>
      <c r="B9" s="45" t="s">
        <v>558</v>
      </c>
      <c r="C9" s="48" t="s">
        <v>559</v>
      </c>
      <c r="D9" s="47" t="s">
        <v>575</v>
      </c>
      <c r="E9" s="48" t="s">
        <v>576</v>
      </c>
      <c r="F9" s="44">
        <v>13</v>
      </c>
      <c r="G9" s="48" t="s">
        <v>587</v>
      </c>
      <c r="H9" s="116" t="s">
        <v>588</v>
      </c>
      <c r="I9" s="17" t="s">
        <v>589</v>
      </c>
      <c r="J9" s="44" t="s">
        <v>24</v>
      </c>
      <c r="K9" s="51" t="s">
        <v>25</v>
      </c>
      <c r="L9" s="49" t="s">
        <v>590</v>
      </c>
      <c r="M9" s="25"/>
      <c r="N9" s="25">
        <v>1</v>
      </c>
      <c r="O9" s="25">
        <v>1</v>
      </c>
      <c r="P9" s="25">
        <v>1</v>
      </c>
      <c r="Q9" s="25">
        <v>1</v>
      </c>
      <c r="R9" s="52" t="str">
        <f t="shared" si="0"/>
        <v/>
      </c>
      <c r="S9" s="52">
        <f t="shared" si="0"/>
        <v>1</v>
      </c>
      <c r="T9" s="52">
        <f t="shared" si="0"/>
        <v>1</v>
      </c>
      <c r="U9" s="52">
        <f t="shared" si="0"/>
        <v>1</v>
      </c>
      <c r="V9" s="52">
        <f t="shared" si="0"/>
        <v>1</v>
      </c>
      <c r="W9" s="44" t="s">
        <v>27</v>
      </c>
      <c r="X9" s="26" t="s">
        <v>567</v>
      </c>
    </row>
    <row r="10" spans="1:24" ht="135" customHeight="1">
      <c r="A10" s="44">
        <v>6</v>
      </c>
      <c r="B10" s="45" t="s">
        <v>558</v>
      </c>
      <c r="C10" s="48" t="s">
        <v>559</v>
      </c>
      <c r="D10" s="47" t="s">
        <v>591</v>
      </c>
      <c r="E10" s="48" t="s">
        <v>592</v>
      </c>
      <c r="F10" s="44">
        <v>16</v>
      </c>
      <c r="G10" s="48" t="s">
        <v>593</v>
      </c>
      <c r="H10" s="117" t="s">
        <v>594</v>
      </c>
      <c r="I10" s="20" t="s">
        <v>595</v>
      </c>
      <c r="J10" s="44" t="s">
        <v>24</v>
      </c>
      <c r="K10" s="51" t="s">
        <v>25</v>
      </c>
      <c r="L10" s="49" t="s">
        <v>596</v>
      </c>
      <c r="M10" s="25"/>
      <c r="N10" s="25">
        <v>1</v>
      </c>
      <c r="O10" s="25">
        <v>1</v>
      </c>
      <c r="P10" s="25">
        <v>1</v>
      </c>
      <c r="Q10" s="25">
        <v>1</v>
      </c>
      <c r="R10" s="52" t="str">
        <f t="shared" si="0"/>
        <v/>
      </c>
      <c r="S10" s="52">
        <f t="shared" si="0"/>
        <v>1</v>
      </c>
      <c r="T10" s="52">
        <f t="shared" si="0"/>
        <v>1</v>
      </c>
      <c r="U10" s="52">
        <f t="shared" si="0"/>
        <v>1</v>
      </c>
      <c r="V10" s="52">
        <f t="shared" si="0"/>
        <v>1</v>
      </c>
      <c r="W10" s="44" t="s">
        <v>27</v>
      </c>
      <c r="X10" s="26" t="s">
        <v>567</v>
      </c>
    </row>
    <row r="11" spans="1:24" ht="135" customHeight="1">
      <c r="A11" s="44">
        <v>7</v>
      </c>
      <c r="B11" s="45" t="s">
        <v>558</v>
      </c>
      <c r="C11" s="48" t="s">
        <v>559</v>
      </c>
      <c r="D11" s="47" t="s">
        <v>591</v>
      </c>
      <c r="E11" s="48" t="s">
        <v>592</v>
      </c>
      <c r="F11" s="44">
        <v>24</v>
      </c>
      <c r="G11" s="48" t="s">
        <v>597</v>
      </c>
      <c r="H11" s="116" t="s">
        <v>598</v>
      </c>
      <c r="I11" s="17" t="s">
        <v>599</v>
      </c>
      <c r="J11" s="44" t="s">
        <v>600</v>
      </c>
      <c r="K11" s="51" t="s">
        <v>25</v>
      </c>
      <c r="L11" s="49" t="s">
        <v>601</v>
      </c>
      <c r="M11" s="25"/>
      <c r="N11" s="25">
        <v>1</v>
      </c>
      <c r="O11" s="25">
        <v>1</v>
      </c>
      <c r="P11" s="25">
        <v>1</v>
      </c>
      <c r="Q11" s="25">
        <v>1</v>
      </c>
      <c r="R11" s="52" t="str">
        <f t="shared" si="0"/>
        <v/>
      </c>
      <c r="S11" s="52">
        <f t="shared" si="0"/>
        <v>1</v>
      </c>
      <c r="T11" s="52">
        <f t="shared" si="0"/>
        <v>1</v>
      </c>
      <c r="U11" s="52">
        <f t="shared" si="0"/>
        <v>1</v>
      </c>
      <c r="V11" s="52">
        <f t="shared" si="0"/>
        <v>1</v>
      </c>
      <c r="W11" s="44" t="s">
        <v>27</v>
      </c>
      <c r="X11" s="26" t="s">
        <v>567</v>
      </c>
    </row>
    <row r="12" spans="1:24" ht="82.5" customHeight="1">
      <c r="A12" s="44">
        <v>8</v>
      </c>
      <c r="B12" s="45" t="s">
        <v>558</v>
      </c>
      <c r="C12" s="51" t="s">
        <v>559</v>
      </c>
      <c r="D12" s="47" t="s">
        <v>591</v>
      </c>
      <c r="E12" s="51" t="s">
        <v>592</v>
      </c>
      <c r="F12" s="45">
        <v>25</v>
      </c>
      <c r="G12" s="51" t="s">
        <v>602</v>
      </c>
      <c r="H12" s="17" t="s">
        <v>603</v>
      </c>
      <c r="I12" s="17" t="s">
        <v>604</v>
      </c>
      <c r="J12" s="45" t="s">
        <v>24</v>
      </c>
      <c r="K12" s="51" t="s">
        <v>25</v>
      </c>
      <c r="L12" s="49" t="s">
        <v>605</v>
      </c>
      <c r="M12" s="25"/>
      <c r="N12" s="25">
        <v>1</v>
      </c>
      <c r="O12" s="25">
        <v>1</v>
      </c>
      <c r="P12" s="25">
        <v>1</v>
      </c>
      <c r="Q12" s="25">
        <v>1</v>
      </c>
      <c r="R12" s="52" t="str">
        <f t="shared" si="0"/>
        <v/>
      </c>
      <c r="S12" s="52">
        <f t="shared" si="0"/>
        <v>1</v>
      </c>
      <c r="T12" s="52">
        <f t="shared" si="0"/>
        <v>1</v>
      </c>
      <c r="U12" s="52">
        <f t="shared" si="0"/>
        <v>1</v>
      </c>
      <c r="V12" s="52">
        <f t="shared" si="0"/>
        <v>1</v>
      </c>
      <c r="W12" s="45" t="s">
        <v>27</v>
      </c>
      <c r="X12" s="26" t="s">
        <v>567</v>
      </c>
    </row>
  </sheetData>
  <sheetProtection algorithmName="SHA-512" hashValue="whD1TR6TPVqumDd+BIUK4iixiLgRDm/6UcfsuQ+7miCRb02NG0JUSaM+1hzfunIBpDCBhE1DPpdLjWnkh43o7Q==" saltValue="FlnIQd0x//eIMlITFJ/POA==" spinCount="100000" sheet="1" formatCells="0" formatColumns="0" formatRows="0"/>
  <mergeCells count="52">
    <mergeCell ref="D6:D7"/>
    <mergeCell ref="J1:J2"/>
    <mergeCell ref="W6:W7"/>
    <mergeCell ref="A1:A2"/>
    <mergeCell ref="A6:A7"/>
    <mergeCell ref="F6:F7"/>
    <mergeCell ref="V6:V7"/>
    <mergeCell ref="M1:Q1"/>
    <mergeCell ref="X6:X7"/>
    <mergeCell ref="W1:W2"/>
    <mergeCell ref="A3:A4"/>
    <mergeCell ref="G3:G4"/>
    <mergeCell ref="I3:I4"/>
    <mergeCell ref="G6:G7"/>
    <mergeCell ref="D3:D4"/>
    <mergeCell ref="U3:U4"/>
    <mergeCell ref="B1:B2"/>
    <mergeCell ref="W3:W4"/>
    <mergeCell ref="E6:E7"/>
    <mergeCell ref="L1:L2"/>
    <mergeCell ref="X3:X4"/>
    <mergeCell ref="C1:C2"/>
    <mergeCell ref="E1:E2"/>
    <mergeCell ref="K1:K2"/>
    <mergeCell ref="R6:R7"/>
    <mergeCell ref="S6:S7"/>
    <mergeCell ref="X1:X2"/>
    <mergeCell ref="H3:H4"/>
    <mergeCell ref="R3:R4"/>
    <mergeCell ref="T3:T4"/>
    <mergeCell ref="J3:J4"/>
    <mergeCell ref="G1:G2"/>
    <mergeCell ref="T6:T7"/>
    <mergeCell ref="I1:I2"/>
    <mergeCell ref="U6:U7"/>
    <mergeCell ref="K3:K4"/>
    <mergeCell ref="R1:V1"/>
    <mergeCell ref="B3:B4"/>
    <mergeCell ref="H6:H7"/>
    <mergeCell ref="F3:F4"/>
    <mergeCell ref="J6:J7"/>
    <mergeCell ref="B6:B7"/>
    <mergeCell ref="C3:C4"/>
    <mergeCell ref="E3:E4"/>
    <mergeCell ref="V3:V4"/>
    <mergeCell ref="I6:I7"/>
    <mergeCell ref="K6:K7"/>
    <mergeCell ref="S3:S4"/>
    <mergeCell ref="D1:D2"/>
    <mergeCell ref="F1:F2"/>
    <mergeCell ref="C6:C7"/>
    <mergeCell ref="H1:H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10"/>
  <sheetViews>
    <sheetView tabSelected="1" topLeftCell="G1" zoomScale="85" zoomScaleNormal="85" workbookViewId="0">
      <selection activeCell="G3" sqref="G3"/>
    </sheetView>
  </sheetViews>
  <sheetFormatPr baseColWidth="10" defaultRowHeight="14.4"/>
  <cols>
    <col min="1" max="1" width="11.44140625" style="14" customWidth="1"/>
    <col min="3" max="3" width="28.44140625" style="23" customWidth="1"/>
    <col min="5" max="5" width="28.44140625" style="23" customWidth="1"/>
    <col min="7" max="8" width="28.44140625" style="23" customWidth="1"/>
    <col min="9" max="9" width="45.6640625" customWidth="1"/>
    <col min="11" max="11" width="28.44140625" style="23" customWidth="1"/>
    <col min="12" max="12" width="28.44140625" customWidth="1"/>
    <col min="13" max="23" width="11.44140625" style="1" customWidth="1"/>
    <col min="24" max="24" width="29" customWidth="1"/>
  </cols>
  <sheetData>
    <row r="1" spans="1:24" ht="18.75" customHeight="1">
      <c r="A1" s="150" t="s">
        <v>0</v>
      </c>
      <c r="B1" s="150" t="s">
        <v>1</v>
      </c>
      <c r="C1" s="143" t="s">
        <v>2</v>
      </c>
      <c r="D1" s="150" t="s">
        <v>3</v>
      </c>
      <c r="E1" s="143" t="s">
        <v>4</v>
      </c>
      <c r="F1" s="150" t="s">
        <v>5</v>
      </c>
      <c r="G1" s="143" t="s">
        <v>6</v>
      </c>
      <c r="H1" s="156" t="s">
        <v>7</v>
      </c>
      <c r="I1" s="155" t="s">
        <v>8</v>
      </c>
      <c r="J1" s="150" t="s">
        <v>9</v>
      </c>
      <c r="K1" s="144" t="s">
        <v>10</v>
      </c>
      <c r="L1" s="153"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42.5" customHeight="1">
      <c r="A3" s="45">
        <v>1</v>
      </c>
      <c r="B3" s="45" t="s">
        <v>17</v>
      </c>
      <c r="C3" s="51" t="s">
        <v>18</v>
      </c>
      <c r="D3" s="47" t="s">
        <v>19</v>
      </c>
      <c r="E3" s="51" t="s">
        <v>20</v>
      </c>
      <c r="F3" s="45">
        <v>8</v>
      </c>
      <c r="G3" s="51" t="s">
        <v>21</v>
      </c>
      <c r="H3" s="19" t="s">
        <v>22</v>
      </c>
      <c r="I3" s="17" t="s">
        <v>23</v>
      </c>
      <c r="J3" s="44" t="s">
        <v>24</v>
      </c>
      <c r="K3" s="51" t="s">
        <v>25</v>
      </c>
      <c r="L3" s="47" t="s">
        <v>26</v>
      </c>
      <c r="M3" s="25">
        <v>5</v>
      </c>
      <c r="N3" s="25">
        <v>6</v>
      </c>
      <c r="O3" s="25">
        <v>7</v>
      </c>
      <c r="P3" s="25">
        <v>7</v>
      </c>
      <c r="Q3" s="25">
        <v>9</v>
      </c>
      <c r="R3" s="52">
        <f t="shared" ref="R3:V6" si="0">IF(M3="","",M3)</f>
        <v>5</v>
      </c>
      <c r="S3" s="52">
        <f t="shared" si="0"/>
        <v>6</v>
      </c>
      <c r="T3" s="52">
        <f t="shared" si="0"/>
        <v>7</v>
      </c>
      <c r="U3" s="52">
        <f t="shared" si="0"/>
        <v>7</v>
      </c>
      <c r="V3" s="52">
        <f t="shared" si="0"/>
        <v>9</v>
      </c>
      <c r="W3" s="128" t="s">
        <v>27</v>
      </c>
      <c r="X3" s="26" t="s">
        <v>28</v>
      </c>
    </row>
    <row r="4" spans="1:24" ht="150" customHeight="1">
      <c r="A4" s="44">
        <v>2</v>
      </c>
      <c r="B4" s="45" t="s">
        <v>17</v>
      </c>
      <c r="C4" s="51" t="s">
        <v>18</v>
      </c>
      <c r="D4" s="47" t="s">
        <v>19</v>
      </c>
      <c r="E4" s="51" t="s">
        <v>20</v>
      </c>
      <c r="F4" s="44">
        <v>13</v>
      </c>
      <c r="G4" s="51" t="s">
        <v>29</v>
      </c>
      <c r="H4" s="118" t="s">
        <v>30</v>
      </c>
      <c r="I4" s="17" t="s">
        <v>31</v>
      </c>
      <c r="J4" s="44" t="s">
        <v>24</v>
      </c>
      <c r="K4" s="51" t="s">
        <v>25</v>
      </c>
      <c r="L4" s="47" t="s">
        <v>32</v>
      </c>
      <c r="M4" s="25"/>
      <c r="N4" s="25">
        <v>2</v>
      </c>
      <c r="O4" s="25">
        <v>2</v>
      </c>
      <c r="P4" s="25">
        <v>2</v>
      </c>
      <c r="Q4" s="25">
        <v>2</v>
      </c>
      <c r="R4" s="52" t="str">
        <f t="shared" si="0"/>
        <v/>
      </c>
      <c r="S4" s="52">
        <f t="shared" si="0"/>
        <v>2</v>
      </c>
      <c r="T4" s="52">
        <f t="shared" si="0"/>
        <v>2</v>
      </c>
      <c r="U4" s="52">
        <f t="shared" si="0"/>
        <v>2</v>
      </c>
      <c r="V4" s="52">
        <f t="shared" si="0"/>
        <v>2</v>
      </c>
      <c r="W4" s="44" t="s">
        <v>33</v>
      </c>
      <c r="X4" s="26" t="s">
        <v>28</v>
      </c>
    </row>
    <row r="5" spans="1:24" ht="95.25" customHeight="1">
      <c r="A5" s="44">
        <v>3</v>
      </c>
      <c r="B5" s="45" t="s">
        <v>17</v>
      </c>
      <c r="C5" s="51" t="s">
        <v>18</v>
      </c>
      <c r="D5" s="47" t="s">
        <v>34</v>
      </c>
      <c r="E5" s="51" t="s">
        <v>35</v>
      </c>
      <c r="F5" s="45">
        <v>14</v>
      </c>
      <c r="G5" s="51" t="s">
        <v>36</v>
      </c>
      <c r="H5" s="19" t="s">
        <v>37</v>
      </c>
      <c r="I5" s="20" t="s">
        <v>38</v>
      </c>
      <c r="J5" s="45" t="s">
        <v>24</v>
      </c>
      <c r="K5" s="51" t="s">
        <v>25</v>
      </c>
      <c r="L5" s="47" t="s">
        <v>39</v>
      </c>
      <c r="M5" s="25"/>
      <c r="N5" s="25">
        <v>1</v>
      </c>
      <c r="O5" s="25">
        <v>0</v>
      </c>
      <c r="P5" s="25">
        <v>0</v>
      </c>
      <c r="Q5" s="25">
        <v>0</v>
      </c>
      <c r="R5" s="52" t="str">
        <f t="shared" si="0"/>
        <v/>
      </c>
      <c r="S5" s="52">
        <f t="shared" si="0"/>
        <v>1</v>
      </c>
      <c r="T5" s="52">
        <f t="shared" si="0"/>
        <v>0</v>
      </c>
      <c r="U5" s="52">
        <f t="shared" si="0"/>
        <v>0</v>
      </c>
      <c r="V5" s="52">
        <f t="shared" si="0"/>
        <v>0</v>
      </c>
      <c r="W5" s="44" t="s">
        <v>33</v>
      </c>
      <c r="X5" s="26" t="s">
        <v>28</v>
      </c>
    </row>
    <row r="6" spans="1:24" ht="150" customHeight="1">
      <c r="A6" s="44">
        <v>4</v>
      </c>
      <c r="B6" s="45" t="s">
        <v>17</v>
      </c>
      <c r="C6" s="51" t="s">
        <v>18</v>
      </c>
      <c r="D6" s="47" t="s">
        <v>34</v>
      </c>
      <c r="E6" s="51" t="s">
        <v>35</v>
      </c>
      <c r="F6" s="44">
        <v>15</v>
      </c>
      <c r="G6" s="51" t="s">
        <v>40</v>
      </c>
      <c r="H6" s="118" t="s">
        <v>41</v>
      </c>
      <c r="I6" s="17" t="s">
        <v>42</v>
      </c>
      <c r="J6" s="44" t="s">
        <v>24</v>
      </c>
      <c r="K6" s="51" t="s">
        <v>25</v>
      </c>
      <c r="L6" s="47" t="s">
        <v>43</v>
      </c>
      <c r="M6" s="25"/>
      <c r="N6" s="25">
        <v>1</v>
      </c>
      <c r="O6" s="25">
        <v>1</v>
      </c>
      <c r="P6" s="25">
        <v>1</v>
      </c>
      <c r="Q6" s="25">
        <v>1</v>
      </c>
      <c r="R6" s="52" t="str">
        <f t="shared" si="0"/>
        <v/>
      </c>
      <c r="S6" s="52">
        <f t="shared" si="0"/>
        <v>1</v>
      </c>
      <c r="T6" s="52">
        <f t="shared" si="0"/>
        <v>1</v>
      </c>
      <c r="U6" s="52">
        <f t="shared" si="0"/>
        <v>1</v>
      </c>
      <c r="V6" s="52">
        <f t="shared" si="0"/>
        <v>1</v>
      </c>
      <c r="W6" s="44" t="s">
        <v>33</v>
      </c>
      <c r="X6" s="26" t="s">
        <v>28</v>
      </c>
    </row>
    <row r="7" spans="1:24" ht="117.75" customHeight="1">
      <c r="A7" s="140">
        <v>5</v>
      </c>
      <c r="B7" s="140" t="s">
        <v>17</v>
      </c>
      <c r="C7" s="141" t="s">
        <v>18</v>
      </c>
      <c r="D7" s="149" t="s">
        <v>44</v>
      </c>
      <c r="E7" s="141" t="s">
        <v>45</v>
      </c>
      <c r="F7" s="140">
        <v>18</v>
      </c>
      <c r="G7" s="141" t="s">
        <v>46</v>
      </c>
      <c r="H7" s="151" t="s">
        <v>47</v>
      </c>
      <c r="I7" s="142" t="s">
        <v>48</v>
      </c>
      <c r="J7" s="152" t="s">
        <v>49</v>
      </c>
      <c r="K7" s="141" t="s">
        <v>50</v>
      </c>
      <c r="L7" s="47" t="s">
        <v>51</v>
      </c>
      <c r="M7" s="25"/>
      <c r="N7" s="25">
        <v>1274</v>
      </c>
      <c r="O7" s="25">
        <v>1303</v>
      </c>
      <c r="P7" s="25">
        <v>1332</v>
      </c>
      <c r="Q7" s="25">
        <v>1361</v>
      </c>
      <c r="R7" s="136" t="str">
        <f>IF(M8,M7/M8*100,"")</f>
        <v/>
      </c>
      <c r="S7" s="136">
        <f>IF(N8,N7/N8*100,"")</f>
        <v>38.007159904534603</v>
      </c>
      <c r="T7" s="136">
        <f>IF(O8,O7/O8*100,"")</f>
        <v>38.676165034134755</v>
      </c>
      <c r="U7" s="136">
        <f>IF(P8,P7/P8*100,"")</f>
        <v>39.338452451269937</v>
      </c>
      <c r="V7" s="136">
        <f>IF(Q8,Q7/Q8*100,"")</f>
        <v>39.994122832794595</v>
      </c>
      <c r="W7" s="140" t="s">
        <v>33</v>
      </c>
      <c r="X7" s="138" t="s">
        <v>28</v>
      </c>
    </row>
    <row r="8" spans="1:24" ht="65.25" customHeight="1">
      <c r="A8" s="137"/>
      <c r="B8" s="137"/>
      <c r="C8" s="137"/>
      <c r="D8" s="137"/>
      <c r="E8" s="137"/>
      <c r="F8" s="137"/>
      <c r="G8" s="137"/>
      <c r="H8" s="139"/>
      <c r="I8" s="139"/>
      <c r="J8" s="137"/>
      <c r="K8" s="137"/>
      <c r="L8" s="47" t="s">
        <v>52</v>
      </c>
      <c r="M8" s="25"/>
      <c r="N8" s="25">
        <v>3352</v>
      </c>
      <c r="O8" s="25">
        <v>3369</v>
      </c>
      <c r="P8" s="25">
        <v>3386</v>
      </c>
      <c r="Q8" s="25">
        <v>3403</v>
      </c>
      <c r="R8" s="137"/>
      <c r="S8" s="137"/>
      <c r="T8" s="137"/>
      <c r="U8" s="137"/>
      <c r="V8" s="137"/>
      <c r="W8" s="137"/>
      <c r="X8" s="139"/>
    </row>
    <row r="9" spans="1:24" ht="150" customHeight="1">
      <c r="A9" s="44">
        <v>6</v>
      </c>
      <c r="B9" s="45" t="s">
        <v>17</v>
      </c>
      <c r="C9" s="51" t="s">
        <v>18</v>
      </c>
      <c r="D9" s="47" t="s">
        <v>53</v>
      </c>
      <c r="E9" s="51" t="s">
        <v>54</v>
      </c>
      <c r="F9" s="44">
        <v>3</v>
      </c>
      <c r="G9" s="51" t="s">
        <v>55</v>
      </c>
      <c r="H9" s="119" t="s">
        <v>56</v>
      </c>
      <c r="I9" s="20" t="s">
        <v>57</v>
      </c>
      <c r="J9" s="44" t="s">
        <v>24</v>
      </c>
      <c r="K9" s="51" t="s">
        <v>25</v>
      </c>
      <c r="L9" s="46" t="s">
        <v>58</v>
      </c>
      <c r="M9" s="25"/>
      <c r="N9" s="25">
        <v>1</v>
      </c>
      <c r="O9" s="25">
        <v>1</v>
      </c>
      <c r="P9" s="25">
        <v>1</v>
      </c>
      <c r="Q9" s="25">
        <v>1</v>
      </c>
      <c r="R9" s="52" t="str">
        <f t="shared" ref="R9:V10" si="1">IF(M9="","",M9)</f>
        <v/>
      </c>
      <c r="S9" s="52">
        <f t="shared" si="1"/>
        <v>1</v>
      </c>
      <c r="T9" s="52">
        <f t="shared" si="1"/>
        <v>1</v>
      </c>
      <c r="U9" s="52">
        <f t="shared" si="1"/>
        <v>1</v>
      </c>
      <c r="V9" s="52">
        <f t="shared" si="1"/>
        <v>1</v>
      </c>
      <c r="W9" s="44" t="s">
        <v>33</v>
      </c>
      <c r="X9" s="26" t="s">
        <v>28</v>
      </c>
    </row>
    <row r="10" spans="1:24" ht="150" customHeight="1">
      <c r="A10" s="44">
        <v>7</v>
      </c>
      <c r="B10" s="45" t="s">
        <v>17</v>
      </c>
      <c r="C10" s="51" t="s">
        <v>18</v>
      </c>
      <c r="D10" s="47" t="s">
        <v>53</v>
      </c>
      <c r="E10" s="51" t="s">
        <v>54</v>
      </c>
      <c r="F10" s="44">
        <v>5</v>
      </c>
      <c r="G10" s="51" t="s">
        <v>59</v>
      </c>
      <c r="H10" s="118" t="s">
        <v>60</v>
      </c>
      <c r="I10" s="17" t="s">
        <v>61</v>
      </c>
      <c r="J10" s="44" t="s">
        <v>24</v>
      </c>
      <c r="K10" s="51" t="s">
        <v>25</v>
      </c>
      <c r="L10" s="47" t="s">
        <v>62</v>
      </c>
      <c r="M10" s="25"/>
      <c r="N10" s="25">
        <v>1</v>
      </c>
      <c r="O10" s="25">
        <v>1</v>
      </c>
      <c r="P10" s="25">
        <v>1</v>
      </c>
      <c r="Q10" s="25">
        <v>1</v>
      </c>
      <c r="R10" s="52" t="str">
        <f t="shared" si="1"/>
        <v/>
      </c>
      <c r="S10" s="52">
        <f t="shared" si="1"/>
        <v>1</v>
      </c>
      <c r="T10" s="52">
        <f t="shared" si="1"/>
        <v>1</v>
      </c>
      <c r="U10" s="52">
        <f t="shared" si="1"/>
        <v>1</v>
      </c>
      <c r="V10" s="52">
        <f t="shared" si="1"/>
        <v>1</v>
      </c>
      <c r="W10" s="44" t="s">
        <v>33</v>
      </c>
      <c r="X10" s="26" t="s">
        <v>28</v>
      </c>
    </row>
  </sheetData>
  <sheetProtection algorithmName="SHA-512" hashValue="dBqoq/Mz48HYIhJZKd9MfsPKRJtzzFr4qETawanCoYfkVI1+btOdC0NLuBgwnr9gqS6OjAmJxfAt8bsTSQftJQ==" saltValue="eskxjDV5J4yog01K3hF9TQ==" spinCount="100000" sheet="1" objects="1" scenarios="1" formatCells="0" formatColumns="0" formatRows="0"/>
  <mergeCells count="34">
    <mergeCell ref="A1:A2"/>
    <mergeCell ref="B7:B8"/>
    <mergeCell ref="D1:D2"/>
    <mergeCell ref="F1:F2"/>
    <mergeCell ref="F7:F8"/>
    <mergeCell ref="H1:H2"/>
    <mergeCell ref="C7:C8"/>
    <mergeCell ref="V7:V8"/>
    <mergeCell ref="E7:E8"/>
    <mergeCell ref="K7:K8"/>
    <mergeCell ref="G1:G2"/>
    <mergeCell ref="I1:I2"/>
    <mergeCell ref="J1:J2"/>
    <mergeCell ref="H7:H8"/>
    <mergeCell ref="J7:J8"/>
    <mergeCell ref="L1:L2"/>
    <mergeCell ref="X1:X2"/>
    <mergeCell ref="T7:T8"/>
    <mergeCell ref="R1:V1"/>
    <mergeCell ref="R7:R8"/>
    <mergeCell ref="X7:X8"/>
    <mergeCell ref="A7:A8"/>
    <mergeCell ref="G7:G8"/>
    <mergeCell ref="I7:I8"/>
    <mergeCell ref="E1:E2"/>
    <mergeCell ref="K1:K2"/>
    <mergeCell ref="C1:C2"/>
    <mergeCell ref="S7:S8"/>
    <mergeCell ref="M1:Q1"/>
    <mergeCell ref="U7:U8"/>
    <mergeCell ref="W1:W2"/>
    <mergeCell ref="W7:W8"/>
    <mergeCell ref="D7:D8"/>
    <mergeCell ref="B1: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13"/>
  <sheetViews>
    <sheetView topLeftCell="E1" zoomScale="85" zoomScaleNormal="85" workbookViewId="0">
      <selection activeCell="M2" sqref="M2"/>
    </sheetView>
  </sheetViews>
  <sheetFormatPr baseColWidth="10" defaultRowHeight="14.4"/>
  <cols>
    <col min="1" max="1" width="11.5546875" style="14" customWidth="1"/>
    <col min="2" max="2" width="16.6640625" bestFit="1" customWidth="1"/>
    <col min="3" max="3" width="28.44140625" customWidth="1"/>
    <col min="5" max="5" width="28.44140625" style="22" customWidth="1"/>
    <col min="6" max="6" width="11.44140625" style="1" customWidth="1"/>
    <col min="7" max="8" width="28.44140625" customWidth="1"/>
    <col min="9" max="9" width="45.6640625" customWidth="1"/>
    <col min="11" max="11" width="28.44140625" customWidth="1"/>
    <col min="12" max="12" width="28.44140625" style="23" customWidth="1"/>
    <col min="13" max="22" width="11.44140625" style="1" customWidth="1"/>
    <col min="24" max="24" width="29" customWidth="1"/>
  </cols>
  <sheetData>
    <row r="1" spans="1:24" s="1" customFormat="1" ht="18.75" customHeight="1">
      <c r="A1" s="150" t="s">
        <v>0</v>
      </c>
      <c r="B1" s="150" t="s">
        <v>1</v>
      </c>
      <c r="C1" s="150" t="s">
        <v>2</v>
      </c>
      <c r="D1" s="150" t="s">
        <v>3</v>
      </c>
      <c r="E1" s="150" t="s">
        <v>4</v>
      </c>
      <c r="F1" s="150" t="s">
        <v>5</v>
      </c>
      <c r="G1" s="150" t="s">
        <v>6</v>
      </c>
      <c r="H1" s="188" t="s">
        <v>7</v>
      </c>
      <c r="I1" s="155" t="s">
        <v>8</v>
      </c>
      <c r="J1" s="150" t="s">
        <v>9</v>
      </c>
      <c r="K1" s="148" t="s">
        <v>10</v>
      </c>
      <c r="L1" s="144" t="s">
        <v>11</v>
      </c>
      <c r="M1" s="145" t="s">
        <v>12</v>
      </c>
      <c r="N1" s="146"/>
      <c r="O1" s="146"/>
      <c r="P1" s="146"/>
      <c r="Q1" s="147"/>
      <c r="R1" s="133" t="s">
        <v>13</v>
      </c>
      <c r="S1" s="134"/>
      <c r="T1" s="134"/>
      <c r="U1" s="134"/>
      <c r="V1" s="135"/>
      <c r="W1" s="148" t="s">
        <v>14</v>
      </c>
      <c r="X1" s="154" t="s">
        <v>15</v>
      </c>
    </row>
    <row r="2" spans="1:24" s="1" customFormat="1"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225" customHeight="1">
      <c r="A3" s="44">
        <v>1</v>
      </c>
      <c r="B3" s="45" t="s">
        <v>606</v>
      </c>
      <c r="C3" s="46" t="s">
        <v>607</v>
      </c>
      <c r="D3" s="47" t="s">
        <v>608</v>
      </c>
      <c r="E3" s="48" t="s">
        <v>609</v>
      </c>
      <c r="F3" s="44">
        <v>2</v>
      </c>
      <c r="G3" s="47" t="s">
        <v>610</v>
      </c>
      <c r="H3" s="120" t="s">
        <v>611</v>
      </c>
      <c r="I3" s="17" t="s">
        <v>612</v>
      </c>
      <c r="J3" s="44" t="s">
        <v>24</v>
      </c>
      <c r="K3" s="47" t="s">
        <v>25</v>
      </c>
      <c r="L3" s="51" t="s">
        <v>613</v>
      </c>
      <c r="M3" s="25"/>
      <c r="N3" s="25">
        <v>1</v>
      </c>
      <c r="O3" s="25">
        <v>1</v>
      </c>
      <c r="P3" s="25">
        <v>1</v>
      </c>
      <c r="Q3" s="25">
        <v>1</v>
      </c>
      <c r="R3" s="52" t="str">
        <f t="shared" ref="R3:V8" si="0">IF(M3="","",M3)</f>
        <v/>
      </c>
      <c r="S3" s="52">
        <f t="shared" si="0"/>
        <v>1</v>
      </c>
      <c r="T3" s="52">
        <f t="shared" si="0"/>
        <v>1</v>
      </c>
      <c r="U3" s="52">
        <f t="shared" si="0"/>
        <v>1</v>
      </c>
      <c r="V3" s="52">
        <f t="shared" si="0"/>
        <v>1</v>
      </c>
      <c r="W3" s="44" t="s">
        <v>27</v>
      </c>
      <c r="X3" s="26" t="s">
        <v>614</v>
      </c>
    </row>
    <row r="4" spans="1:24" ht="225" customHeight="1">
      <c r="A4" s="44">
        <v>2</v>
      </c>
      <c r="B4" s="45" t="s">
        <v>606</v>
      </c>
      <c r="C4" s="46" t="s">
        <v>607</v>
      </c>
      <c r="D4" s="47" t="s">
        <v>608</v>
      </c>
      <c r="E4" s="48" t="s">
        <v>609</v>
      </c>
      <c r="F4" s="44">
        <v>6</v>
      </c>
      <c r="G4" s="47" t="s">
        <v>615</v>
      </c>
      <c r="H4" s="120" t="s">
        <v>616</v>
      </c>
      <c r="I4" s="17" t="s">
        <v>617</v>
      </c>
      <c r="J4" s="44" t="s">
        <v>24</v>
      </c>
      <c r="K4" s="47" t="s">
        <v>25</v>
      </c>
      <c r="L4" s="51" t="s">
        <v>618</v>
      </c>
      <c r="M4" s="25"/>
      <c r="N4" s="25">
        <v>1</v>
      </c>
      <c r="O4" s="25">
        <v>1</v>
      </c>
      <c r="P4" s="25">
        <v>1</v>
      </c>
      <c r="Q4" s="25">
        <v>1</v>
      </c>
      <c r="R4" s="52" t="str">
        <f t="shared" si="0"/>
        <v/>
      </c>
      <c r="S4" s="52">
        <f t="shared" si="0"/>
        <v>1</v>
      </c>
      <c r="T4" s="52">
        <f t="shared" si="0"/>
        <v>1</v>
      </c>
      <c r="U4" s="52">
        <f t="shared" si="0"/>
        <v>1</v>
      </c>
      <c r="V4" s="52">
        <f t="shared" si="0"/>
        <v>1</v>
      </c>
      <c r="W4" s="44" t="s">
        <v>27</v>
      </c>
      <c r="X4" s="26" t="s">
        <v>614</v>
      </c>
    </row>
    <row r="5" spans="1:24" ht="225" customHeight="1">
      <c r="A5" s="44">
        <v>3</v>
      </c>
      <c r="B5" s="45" t="s">
        <v>606</v>
      </c>
      <c r="C5" s="46" t="s">
        <v>607</v>
      </c>
      <c r="D5" s="47" t="s">
        <v>619</v>
      </c>
      <c r="E5" s="48" t="s">
        <v>620</v>
      </c>
      <c r="F5" s="44">
        <v>12</v>
      </c>
      <c r="G5" s="47" t="s">
        <v>621</v>
      </c>
      <c r="H5" s="120" t="s">
        <v>622</v>
      </c>
      <c r="I5" s="17" t="s">
        <v>623</v>
      </c>
      <c r="J5" s="44" t="s">
        <v>24</v>
      </c>
      <c r="K5" s="47" t="s">
        <v>25</v>
      </c>
      <c r="L5" s="51" t="s">
        <v>624</v>
      </c>
      <c r="M5" s="25"/>
      <c r="N5" s="25">
        <v>5</v>
      </c>
      <c r="O5" s="25">
        <v>5</v>
      </c>
      <c r="P5" s="25">
        <v>5</v>
      </c>
      <c r="Q5" s="25">
        <v>5</v>
      </c>
      <c r="R5" s="52" t="str">
        <f t="shared" si="0"/>
        <v/>
      </c>
      <c r="S5" s="52">
        <f t="shared" si="0"/>
        <v>5</v>
      </c>
      <c r="T5" s="52">
        <f t="shared" si="0"/>
        <v>5</v>
      </c>
      <c r="U5" s="52">
        <f t="shared" si="0"/>
        <v>5</v>
      </c>
      <c r="V5" s="52">
        <f t="shared" si="0"/>
        <v>5</v>
      </c>
      <c r="W5" s="44" t="s">
        <v>27</v>
      </c>
      <c r="X5" s="26" t="s">
        <v>614</v>
      </c>
    </row>
    <row r="6" spans="1:24" ht="225" customHeight="1">
      <c r="A6" s="44">
        <v>4</v>
      </c>
      <c r="B6" s="45" t="s">
        <v>606</v>
      </c>
      <c r="C6" s="46" t="s">
        <v>607</v>
      </c>
      <c r="D6" s="47" t="s">
        <v>619</v>
      </c>
      <c r="E6" s="48" t="s">
        <v>620</v>
      </c>
      <c r="F6" s="44">
        <v>14</v>
      </c>
      <c r="G6" s="47" t="s">
        <v>625</v>
      </c>
      <c r="H6" s="121" t="s">
        <v>626</v>
      </c>
      <c r="I6" s="20" t="s">
        <v>627</v>
      </c>
      <c r="J6" s="44" t="s">
        <v>24</v>
      </c>
      <c r="K6" s="47" t="s">
        <v>25</v>
      </c>
      <c r="L6" s="51" t="s">
        <v>628</v>
      </c>
      <c r="M6" s="25"/>
      <c r="N6" s="25">
        <v>0</v>
      </c>
      <c r="O6" s="25">
        <v>0</v>
      </c>
      <c r="P6" s="25">
        <v>1</v>
      </c>
      <c r="Q6" s="25">
        <v>0</v>
      </c>
      <c r="R6" s="52" t="str">
        <f t="shared" si="0"/>
        <v/>
      </c>
      <c r="S6" s="52">
        <f t="shared" si="0"/>
        <v>0</v>
      </c>
      <c r="T6" s="52">
        <f t="shared" si="0"/>
        <v>0</v>
      </c>
      <c r="U6" s="52">
        <f t="shared" si="0"/>
        <v>1</v>
      </c>
      <c r="V6" s="52">
        <f t="shared" si="0"/>
        <v>0</v>
      </c>
      <c r="W6" s="44" t="s">
        <v>27</v>
      </c>
      <c r="X6" s="26" t="s">
        <v>614</v>
      </c>
    </row>
    <row r="7" spans="1:24" ht="225" customHeight="1">
      <c r="A7" s="44">
        <v>5</v>
      </c>
      <c r="B7" s="45" t="s">
        <v>606</v>
      </c>
      <c r="C7" s="46" t="s">
        <v>607</v>
      </c>
      <c r="D7" s="47" t="s">
        <v>619</v>
      </c>
      <c r="E7" s="48" t="s">
        <v>620</v>
      </c>
      <c r="F7" s="44">
        <v>15</v>
      </c>
      <c r="G7" s="47" t="s">
        <v>629</v>
      </c>
      <c r="H7" s="120" t="s">
        <v>630</v>
      </c>
      <c r="I7" s="17" t="s">
        <v>631</v>
      </c>
      <c r="J7" s="44" t="s">
        <v>24</v>
      </c>
      <c r="K7" s="47" t="s">
        <v>25</v>
      </c>
      <c r="L7" s="51" t="s">
        <v>632</v>
      </c>
      <c r="M7" s="25"/>
      <c r="N7" s="25">
        <v>1</v>
      </c>
      <c r="O7" s="25">
        <v>0</v>
      </c>
      <c r="P7" s="25">
        <v>0</v>
      </c>
      <c r="Q7" s="25">
        <v>0</v>
      </c>
      <c r="R7" s="52" t="str">
        <f t="shared" si="0"/>
        <v/>
      </c>
      <c r="S7" s="52">
        <f t="shared" si="0"/>
        <v>1</v>
      </c>
      <c r="T7" s="52">
        <f t="shared" si="0"/>
        <v>0</v>
      </c>
      <c r="U7" s="52">
        <f t="shared" si="0"/>
        <v>0</v>
      </c>
      <c r="V7" s="52">
        <f t="shared" si="0"/>
        <v>0</v>
      </c>
      <c r="W7" s="44" t="s">
        <v>27</v>
      </c>
      <c r="X7" s="26" t="s">
        <v>614</v>
      </c>
    </row>
    <row r="8" spans="1:24" ht="225" customHeight="1">
      <c r="A8" s="44">
        <v>6</v>
      </c>
      <c r="B8" s="45" t="s">
        <v>606</v>
      </c>
      <c r="C8" s="46" t="s">
        <v>607</v>
      </c>
      <c r="D8" s="47" t="s">
        <v>619</v>
      </c>
      <c r="E8" s="48" t="s">
        <v>620</v>
      </c>
      <c r="F8" s="44">
        <v>16</v>
      </c>
      <c r="G8" s="47" t="s">
        <v>633</v>
      </c>
      <c r="H8" s="120" t="s">
        <v>634</v>
      </c>
      <c r="I8" s="17" t="s">
        <v>635</v>
      </c>
      <c r="J8" s="44" t="s">
        <v>24</v>
      </c>
      <c r="K8" s="47" t="s">
        <v>25</v>
      </c>
      <c r="L8" s="51" t="s">
        <v>636</v>
      </c>
      <c r="M8" s="25"/>
      <c r="N8" s="25">
        <v>1</v>
      </c>
      <c r="O8" s="25">
        <v>1</v>
      </c>
      <c r="P8" s="25">
        <v>1</v>
      </c>
      <c r="Q8" s="25">
        <v>1</v>
      </c>
      <c r="R8" s="52" t="str">
        <f t="shared" si="0"/>
        <v/>
      </c>
      <c r="S8" s="52">
        <f t="shared" si="0"/>
        <v>1</v>
      </c>
      <c r="T8" s="52">
        <f t="shared" si="0"/>
        <v>1</v>
      </c>
      <c r="U8" s="52">
        <f t="shared" si="0"/>
        <v>1</v>
      </c>
      <c r="V8" s="52">
        <f t="shared" si="0"/>
        <v>1</v>
      </c>
      <c r="W8" s="44" t="s">
        <v>27</v>
      </c>
      <c r="X8" s="26" t="s">
        <v>614</v>
      </c>
    </row>
    <row r="9" spans="1:24" ht="83.25" customHeight="1">
      <c r="A9" s="140">
        <v>7</v>
      </c>
      <c r="B9" s="140" t="s">
        <v>606</v>
      </c>
      <c r="C9" s="186" t="s">
        <v>607</v>
      </c>
      <c r="D9" s="149" t="s">
        <v>637</v>
      </c>
      <c r="E9" s="159" t="s">
        <v>638</v>
      </c>
      <c r="F9" s="140">
        <v>20</v>
      </c>
      <c r="G9" s="149" t="s">
        <v>639</v>
      </c>
      <c r="H9" s="142" t="s">
        <v>640</v>
      </c>
      <c r="I9" s="142" t="s">
        <v>641</v>
      </c>
      <c r="J9" s="152" t="s">
        <v>49</v>
      </c>
      <c r="K9" s="149" t="s">
        <v>642</v>
      </c>
      <c r="L9" s="51" t="s">
        <v>643</v>
      </c>
      <c r="M9" s="25"/>
      <c r="N9" s="25">
        <v>348</v>
      </c>
      <c r="O9" s="25">
        <v>363</v>
      </c>
      <c r="P9" s="25">
        <v>380</v>
      </c>
      <c r="Q9" s="25">
        <v>399</v>
      </c>
      <c r="R9" s="136" t="str">
        <f>IF(M10,((M9/M10)-1)*100,"")</f>
        <v/>
      </c>
      <c r="S9" s="136">
        <f>IF(N10,((N9/N10)-1)*100,"")</f>
        <v>3.8805970149253799</v>
      </c>
      <c r="T9" s="136">
        <f>IF(O10,((O9/O10)-1)*100,"")</f>
        <v>4.31034482758621</v>
      </c>
      <c r="U9" s="136">
        <f>IF(P10,((P9/P10)-1)*100,"")</f>
        <v>4.6831955922864932</v>
      </c>
      <c r="V9" s="136">
        <f>IF(Q10,((Q9/Q10)-1)*100,"")</f>
        <v>5.0000000000000044</v>
      </c>
      <c r="W9" s="140" t="s">
        <v>27</v>
      </c>
      <c r="X9" s="138" t="s">
        <v>614</v>
      </c>
    </row>
    <row r="10" spans="1:24" ht="83.25" customHeight="1">
      <c r="A10" s="137"/>
      <c r="B10" s="137"/>
      <c r="C10" s="137"/>
      <c r="D10" s="137"/>
      <c r="E10" s="137"/>
      <c r="F10" s="137"/>
      <c r="G10" s="137"/>
      <c r="H10" s="139"/>
      <c r="I10" s="139"/>
      <c r="J10" s="137"/>
      <c r="K10" s="137"/>
      <c r="L10" s="51" t="s">
        <v>644</v>
      </c>
      <c r="M10" s="25"/>
      <c r="N10" s="25">
        <v>335</v>
      </c>
      <c r="O10" s="25">
        <v>348</v>
      </c>
      <c r="P10" s="25">
        <v>363</v>
      </c>
      <c r="Q10" s="25">
        <v>380</v>
      </c>
      <c r="R10" s="137"/>
      <c r="S10" s="137"/>
      <c r="T10" s="137"/>
      <c r="U10" s="137"/>
      <c r="V10" s="137"/>
      <c r="W10" s="137"/>
      <c r="X10" s="139"/>
    </row>
    <row r="11" spans="1:24" ht="225" customHeight="1">
      <c r="A11" s="44">
        <v>8</v>
      </c>
      <c r="B11" s="45" t="s">
        <v>606</v>
      </c>
      <c r="C11" s="46" t="s">
        <v>607</v>
      </c>
      <c r="D11" s="47" t="s">
        <v>637</v>
      </c>
      <c r="E11" s="48" t="s">
        <v>645</v>
      </c>
      <c r="F11" s="44">
        <v>25</v>
      </c>
      <c r="G11" s="47" t="s">
        <v>646</v>
      </c>
      <c r="H11" s="122" t="s">
        <v>647</v>
      </c>
      <c r="I11" s="17" t="s">
        <v>648</v>
      </c>
      <c r="J11" s="44" t="s">
        <v>24</v>
      </c>
      <c r="K11" s="47" t="s">
        <v>25</v>
      </c>
      <c r="L11" s="51" t="s">
        <v>649</v>
      </c>
      <c r="M11" s="25"/>
      <c r="N11" s="25">
        <v>1</v>
      </c>
      <c r="O11" s="25">
        <v>1</v>
      </c>
      <c r="P11" s="25">
        <v>1</v>
      </c>
      <c r="Q11" s="25">
        <v>1</v>
      </c>
      <c r="R11" s="52" t="str">
        <f t="shared" ref="R11:V13" si="1">IF(M11="","",M11)</f>
        <v/>
      </c>
      <c r="S11" s="52">
        <f t="shared" si="1"/>
        <v>1</v>
      </c>
      <c r="T11" s="52">
        <f t="shared" si="1"/>
        <v>1</v>
      </c>
      <c r="U11" s="52">
        <f t="shared" si="1"/>
        <v>1</v>
      </c>
      <c r="V11" s="52">
        <f t="shared" si="1"/>
        <v>1</v>
      </c>
      <c r="W11" s="44" t="s">
        <v>27</v>
      </c>
      <c r="X11" s="26" t="s">
        <v>614</v>
      </c>
    </row>
    <row r="12" spans="1:24" ht="225" customHeight="1">
      <c r="A12" s="44">
        <v>9</v>
      </c>
      <c r="B12" s="45" t="s">
        <v>606</v>
      </c>
      <c r="C12" s="46" t="s">
        <v>607</v>
      </c>
      <c r="D12" s="47" t="s">
        <v>650</v>
      </c>
      <c r="E12" s="48" t="s">
        <v>651</v>
      </c>
      <c r="F12" s="44">
        <v>37</v>
      </c>
      <c r="G12" s="47" t="s">
        <v>652</v>
      </c>
      <c r="H12" s="120" t="s">
        <v>653</v>
      </c>
      <c r="I12" s="17" t="s">
        <v>654</v>
      </c>
      <c r="J12" s="44" t="s">
        <v>24</v>
      </c>
      <c r="K12" s="47" t="s">
        <v>25</v>
      </c>
      <c r="L12" s="51" t="s">
        <v>655</v>
      </c>
      <c r="M12" s="25"/>
      <c r="N12" s="25">
        <v>1</v>
      </c>
      <c r="O12" s="25">
        <v>1</v>
      </c>
      <c r="P12" s="25">
        <v>1</v>
      </c>
      <c r="Q12" s="25">
        <v>1</v>
      </c>
      <c r="R12" s="52" t="str">
        <f t="shared" si="1"/>
        <v/>
      </c>
      <c r="S12" s="52">
        <f t="shared" si="1"/>
        <v>1</v>
      </c>
      <c r="T12" s="52">
        <f t="shared" si="1"/>
        <v>1</v>
      </c>
      <c r="U12" s="52">
        <f t="shared" si="1"/>
        <v>1</v>
      </c>
      <c r="V12" s="52">
        <f t="shared" si="1"/>
        <v>1</v>
      </c>
      <c r="W12" s="44" t="s">
        <v>27</v>
      </c>
      <c r="X12" s="26" t="s">
        <v>614</v>
      </c>
    </row>
    <row r="13" spans="1:24" ht="97.5" customHeight="1">
      <c r="A13" s="44">
        <v>10</v>
      </c>
      <c r="B13" s="45" t="s">
        <v>606</v>
      </c>
      <c r="C13" s="46" t="s">
        <v>607</v>
      </c>
      <c r="D13" s="47" t="s">
        <v>656</v>
      </c>
      <c r="E13" s="48" t="s">
        <v>657</v>
      </c>
      <c r="F13" s="44">
        <v>42</v>
      </c>
      <c r="G13" s="47" t="s">
        <v>658</v>
      </c>
      <c r="H13" s="17" t="s">
        <v>659</v>
      </c>
      <c r="I13" s="17" t="s">
        <v>660</v>
      </c>
      <c r="J13" s="45" t="s">
        <v>24</v>
      </c>
      <c r="K13" s="47" t="s">
        <v>25</v>
      </c>
      <c r="L13" s="51" t="s">
        <v>661</v>
      </c>
      <c r="M13" s="25"/>
      <c r="N13" s="25">
        <v>0</v>
      </c>
      <c r="O13" s="25">
        <v>0</v>
      </c>
      <c r="P13" s="25">
        <v>1</v>
      </c>
      <c r="Q13" s="25">
        <v>0</v>
      </c>
      <c r="R13" s="52" t="str">
        <f t="shared" si="1"/>
        <v/>
      </c>
      <c r="S13" s="52">
        <f t="shared" si="1"/>
        <v>0</v>
      </c>
      <c r="T13" s="52">
        <f t="shared" si="1"/>
        <v>0</v>
      </c>
      <c r="U13" s="52">
        <f t="shared" si="1"/>
        <v>1</v>
      </c>
      <c r="V13" s="52">
        <f t="shared" si="1"/>
        <v>0</v>
      </c>
      <c r="W13" s="45" t="s">
        <v>27</v>
      </c>
      <c r="X13" s="26" t="s">
        <v>614</v>
      </c>
    </row>
  </sheetData>
  <sheetProtection algorithmName="SHA-512" hashValue="graHDEw5qrcUXUtd24DXguhcjiD8+8Bru6TWUl9B1n135PqVeKBW38qzA+IGPAdQwiO5GZH8eBHAOVnleUD4hQ==" saltValue="jzoMPrRTBdF7+0DhNNmOiA==" spinCount="100000" sheet="1" formatCells="0" formatColumns="0" formatRows="0"/>
  <autoFilter ref="A1:X13" xr:uid="{00000000-0009-0000-0000-000010000000}">
    <filterColumn colId="12" showButton="0"/>
    <filterColumn colId="13" showButton="0"/>
    <filterColumn colId="14" showButton="0"/>
    <filterColumn colId="15" showButton="0"/>
    <filterColumn colId="17" showButton="0"/>
    <filterColumn colId="18" showButton="0"/>
    <filterColumn colId="19" showButton="0"/>
    <filterColumn colId="20" showButton="0"/>
  </autoFilter>
  <mergeCells count="34">
    <mergeCell ref="A9:A10"/>
    <mergeCell ref="U9:U10"/>
    <mergeCell ref="D1:D2"/>
    <mergeCell ref="F1:F2"/>
    <mergeCell ref="H1:H2"/>
    <mergeCell ref="J1:J2"/>
    <mergeCell ref="A1:A2"/>
    <mergeCell ref="B1:B2"/>
    <mergeCell ref="L1:L2"/>
    <mergeCell ref="B9:B10"/>
    <mergeCell ref="X1:X2"/>
    <mergeCell ref="D9:D10"/>
    <mergeCell ref="W9:W10"/>
    <mergeCell ref="F9:F10"/>
    <mergeCell ref="X9:X10"/>
    <mergeCell ref="G1:G2"/>
    <mergeCell ref="I1:I2"/>
    <mergeCell ref="R9:R10"/>
    <mergeCell ref="G9:G10"/>
    <mergeCell ref="I9:I10"/>
    <mergeCell ref="K9:K10"/>
    <mergeCell ref="W1:W2"/>
    <mergeCell ref="T9:T10"/>
    <mergeCell ref="C9:C10"/>
    <mergeCell ref="V9:V10"/>
    <mergeCell ref="E9:E10"/>
    <mergeCell ref="S9:S10"/>
    <mergeCell ref="R1:V1"/>
    <mergeCell ref="H9:H10"/>
    <mergeCell ref="J9:J10"/>
    <mergeCell ref="C1:C2"/>
    <mergeCell ref="E1:E2"/>
    <mergeCell ref="K1:K2"/>
    <mergeCell ref="M1:Q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3"/>
  <sheetViews>
    <sheetView topLeftCell="G1" zoomScale="91" zoomScaleNormal="91" workbookViewId="0">
      <selection activeCell="R1" sqref="R1:V1"/>
    </sheetView>
  </sheetViews>
  <sheetFormatPr baseColWidth="10" defaultRowHeight="14.4"/>
  <cols>
    <col min="3" max="3" width="31.33203125" customWidth="1"/>
    <col min="5" max="5" width="31.33203125" customWidth="1"/>
    <col min="7" max="8" width="31.33203125" customWidth="1"/>
    <col min="9" max="9" width="45.6640625" customWidth="1"/>
    <col min="11" max="12" width="31.33203125" customWidth="1"/>
    <col min="24" max="24" width="29" customWidth="1"/>
  </cols>
  <sheetData>
    <row r="1" spans="1:24" ht="18.75" customHeight="1">
      <c r="A1" s="150" t="s">
        <v>0</v>
      </c>
      <c r="B1" s="150" t="s">
        <v>1</v>
      </c>
      <c r="C1" s="143" t="s">
        <v>2</v>
      </c>
      <c r="D1" s="150" t="s">
        <v>3</v>
      </c>
      <c r="E1" s="143" t="s">
        <v>4</v>
      </c>
      <c r="F1" s="150" t="s">
        <v>5</v>
      </c>
      <c r="G1" s="143" t="s">
        <v>6</v>
      </c>
      <c r="H1" s="143" t="s">
        <v>7</v>
      </c>
      <c r="I1" s="201" t="s">
        <v>8</v>
      </c>
      <c r="J1" s="150" t="s">
        <v>9</v>
      </c>
      <c r="K1" s="144" t="s">
        <v>10</v>
      </c>
      <c r="L1" s="153" t="s">
        <v>11</v>
      </c>
      <c r="M1" s="145" t="s">
        <v>12</v>
      </c>
      <c r="N1" s="146"/>
      <c r="O1" s="146"/>
      <c r="P1" s="146"/>
      <c r="Q1" s="147"/>
      <c r="R1" s="133" t="s">
        <v>13</v>
      </c>
      <c r="S1" s="134"/>
      <c r="T1" s="134"/>
      <c r="U1" s="134"/>
      <c r="V1" s="135"/>
      <c r="W1" s="148" t="s">
        <v>14</v>
      </c>
      <c r="X1" s="200" t="s">
        <v>15</v>
      </c>
    </row>
    <row r="2" spans="1:24" ht="24" customHeight="1">
      <c r="A2" s="137"/>
      <c r="B2" s="137"/>
      <c r="C2" s="137"/>
      <c r="D2" s="137"/>
      <c r="E2" s="137"/>
      <c r="F2" s="137"/>
      <c r="G2" s="137"/>
      <c r="H2" s="137"/>
      <c r="I2" s="137"/>
      <c r="J2" s="137"/>
      <c r="K2" s="137"/>
      <c r="L2" s="137"/>
      <c r="M2" s="5" t="s">
        <v>16</v>
      </c>
      <c r="N2" s="5">
        <v>2027</v>
      </c>
      <c r="O2" s="5">
        <v>2028</v>
      </c>
      <c r="P2" s="5">
        <v>2029</v>
      </c>
      <c r="Q2" s="5">
        <v>2030</v>
      </c>
      <c r="R2" s="50" t="s">
        <v>16</v>
      </c>
      <c r="S2" s="50">
        <v>2027</v>
      </c>
      <c r="T2" s="50">
        <v>2028</v>
      </c>
      <c r="U2" s="50">
        <v>2029</v>
      </c>
      <c r="V2" s="50">
        <v>2030</v>
      </c>
      <c r="W2" s="137"/>
      <c r="X2" s="137"/>
    </row>
    <row r="3" spans="1:24" ht="165" customHeight="1">
      <c r="A3" s="44">
        <v>1</v>
      </c>
      <c r="B3" s="45" t="s">
        <v>662</v>
      </c>
      <c r="C3" s="46" t="s">
        <v>663</v>
      </c>
      <c r="D3" s="47" t="s">
        <v>664</v>
      </c>
      <c r="E3" s="46" t="s">
        <v>665</v>
      </c>
      <c r="F3" s="44">
        <v>2</v>
      </c>
      <c r="G3" s="47" t="s">
        <v>666</v>
      </c>
      <c r="H3" s="121" t="s">
        <v>667</v>
      </c>
      <c r="I3" s="20" t="s">
        <v>668</v>
      </c>
      <c r="J3" s="44" t="s">
        <v>24</v>
      </c>
      <c r="K3" s="47" t="s">
        <v>25</v>
      </c>
      <c r="L3" s="89" t="s">
        <v>669</v>
      </c>
      <c r="M3" s="26"/>
      <c r="N3" s="26">
        <v>1</v>
      </c>
      <c r="O3" s="26">
        <v>1</v>
      </c>
      <c r="P3" s="26">
        <v>1</v>
      </c>
      <c r="Q3" s="26">
        <v>1</v>
      </c>
      <c r="R3" s="52" t="str">
        <f>IF(M3="","",M3)</f>
        <v/>
      </c>
      <c r="S3" s="52">
        <f>IF(N3="","",N3)</f>
        <v>1</v>
      </c>
      <c r="T3" s="52">
        <f>IF(O3="","",O3)</f>
        <v>1</v>
      </c>
      <c r="U3" s="52">
        <f>IF(P3="","",P3)</f>
        <v>1</v>
      </c>
      <c r="V3" s="52">
        <f>IF(Q3="","",Q3)</f>
        <v>1</v>
      </c>
      <c r="W3" s="44" t="s">
        <v>33</v>
      </c>
      <c r="X3" s="26" t="s">
        <v>670</v>
      </c>
    </row>
  </sheetData>
  <sheetProtection algorithmName="SHA-512" hashValue="ARN1TEMZjyYSr1t7S4GjGAx8N6LFJelTTMCuTVIQ7kjkDqvLKGxVkw3Yt9Q2OExVMc/0Zbo1Am+FwsdnKheEWg==" saltValue="Kxmr+mlcGt08Le4C2ES7OA==" spinCount="100000" sheet="1" formatCells="0" formatColumns="0" formatRows="0"/>
  <mergeCells count="16">
    <mergeCell ref="A1:A2"/>
    <mergeCell ref="C1:C2"/>
    <mergeCell ref="B1:B2"/>
    <mergeCell ref="G1:G2"/>
    <mergeCell ref="D1:D2"/>
    <mergeCell ref="K1:K2"/>
    <mergeCell ref="I1:I2"/>
    <mergeCell ref="E1:E2"/>
    <mergeCell ref="F1:F2"/>
    <mergeCell ref="J1:J2"/>
    <mergeCell ref="W1:W2"/>
    <mergeCell ref="R1:V1"/>
    <mergeCell ref="X1:X2"/>
    <mergeCell ref="L1:L2"/>
    <mergeCell ref="H1:H2"/>
    <mergeCell ref="M1:Q1"/>
  </mergeCells>
  <conditionalFormatting sqref="F3">
    <cfRule type="duplicateValues"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4"/>
  <sheetViews>
    <sheetView topLeftCell="I1" zoomScale="85" zoomScaleNormal="85" workbookViewId="0">
      <selection activeCell="R1" sqref="R1:V1"/>
    </sheetView>
  </sheetViews>
  <sheetFormatPr baseColWidth="10" defaultRowHeight="14.4"/>
  <cols>
    <col min="1" max="1" width="11.44140625" style="14" customWidth="1"/>
    <col min="3" max="3" width="28.44140625" customWidth="1"/>
    <col min="5" max="5" width="28.44140625" customWidth="1"/>
    <col min="7" max="8" width="28.44140625" customWidth="1"/>
    <col min="9" max="9" width="45.6640625" customWidth="1"/>
    <col min="11" max="12" width="28.44140625" customWidth="1"/>
    <col min="13" max="22" width="11.44140625" style="1" customWidth="1"/>
    <col min="24" max="24" width="29" customWidth="1"/>
  </cols>
  <sheetData>
    <row r="1" spans="1:24" ht="18.75" customHeight="1">
      <c r="A1" s="150" t="s">
        <v>0</v>
      </c>
      <c r="B1" s="150" t="s">
        <v>1</v>
      </c>
      <c r="C1" s="143" t="s">
        <v>2</v>
      </c>
      <c r="D1" s="150" t="s">
        <v>3</v>
      </c>
      <c r="E1" s="143" t="s">
        <v>4</v>
      </c>
      <c r="F1" s="150" t="s">
        <v>5</v>
      </c>
      <c r="G1" s="143" t="s">
        <v>6</v>
      </c>
      <c r="H1" s="156" t="s">
        <v>7</v>
      </c>
      <c r="I1" s="155" t="s">
        <v>8</v>
      </c>
      <c r="J1" s="150" t="s">
        <v>9</v>
      </c>
      <c r="K1" s="144" t="s">
        <v>10</v>
      </c>
      <c r="L1" s="153" t="s">
        <v>11</v>
      </c>
      <c r="M1" s="145" t="s">
        <v>12</v>
      </c>
      <c r="N1" s="146"/>
      <c r="O1" s="146"/>
      <c r="P1" s="146"/>
      <c r="Q1" s="147"/>
      <c r="R1" s="133" t="s">
        <v>13</v>
      </c>
      <c r="S1" s="134"/>
      <c r="T1" s="134"/>
      <c r="U1" s="134"/>
      <c r="V1" s="135"/>
      <c r="W1" s="148" t="s">
        <v>14</v>
      </c>
      <c r="X1" s="154" t="s">
        <v>15</v>
      </c>
    </row>
    <row r="2" spans="1:24" ht="24" customHeight="1">
      <c r="A2" s="137"/>
      <c r="B2" s="137"/>
      <c r="C2" s="137"/>
      <c r="D2" s="137"/>
      <c r="E2" s="137"/>
      <c r="F2" s="137"/>
      <c r="G2" s="137"/>
      <c r="H2" s="139"/>
      <c r="I2" s="139"/>
      <c r="J2" s="137"/>
      <c r="K2" s="137"/>
      <c r="L2" s="137"/>
      <c r="M2" s="5" t="s">
        <v>16</v>
      </c>
      <c r="N2" s="5">
        <v>2027</v>
      </c>
      <c r="O2" s="5">
        <v>2028</v>
      </c>
      <c r="P2" s="5">
        <v>2029</v>
      </c>
      <c r="Q2" s="5">
        <v>2030</v>
      </c>
      <c r="R2" s="50" t="s">
        <v>16</v>
      </c>
      <c r="S2" s="50">
        <v>2027</v>
      </c>
      <c r="T2" s="50">
        <v>2028</v>
      </c>
      <c r="U2" s="50">
        <v>2029</v>
      </c>
      <c r="V2" s="50">
        <v>2030</v>
      </c>
      <c r="W2" s="137"/>
      <c r="X2" s="139"/>
    </row>
    <row r="3" spans="1:24" ht="135" customHeight="1">
      <c r="A3" s="44">
        <v>1</v>
      </c>
      <c r="B3" s="45" t="s">
        <v>671</v>
      </c>
      <c r="C3" s="46" t="s">
        <v>672</v>
      </c>
      <c r="D3" s="47" t="s">
        <v>673</v>
      </c>
      <c r="E3" s="46" t="s">
        <v>674</v>
      </c>
      <c r="F3" s="44">
        <v>7</v>
      </c>
      <c r="G3" s="47" t="s">
        <v>675</v>
      </c>
      <c r="H3" s="118" t="s">
        <v>676</v>
      </c>
      <c r="I3" s="16" t="s">
        <v>677</v>
      </c>
      <c r="J3" s="44" t="s">
        <v>24</v>
      </c>
      <c r="K3" s="47" t="s">
        <v>25</v>
      </c>
      <c r="L3" s="47" t="s">
        <v>678</v>
      </c>
      <c r="M3" s="25"/>
      <c r="N3" s="25">
        <v>0</v>
      </c>
      <c r="O3" s="25">
        <v>0</v>
      </c>
      <c r="P3" s="25">
        <v>1</v>
      </c>
      <c r="Q3" s="25">
        <v>0</v>
      </c>
      <c r="R3" s="52" t="str">
        <f t="shared" ref="R3:R14" si="0">IF(M3="","",M3)</f>
        <v/>
      </c>
      <c r="S3" s="52">
        <f t="shared" ref="S3:S14" si="1">IF(N3="","",N3)</f>
        <v>0</v>
      </c>
      <c r="T3" s="52">
        <f t="shared" ref="T3:T14" si="2">IF(O3="","",O3)</f>
        <v>0</v>
      </c>
      <c r="U3" s="52">
        <f t="shared" ref="U3:U14" si="3">IF(P3="","",P3)</f>
        <v>1</v>
      </c>
      <c r="V3" s="52">
        <f t="shared" ref="V3:V14" si="4">IF(Q3="","",Q3)</f>
        <v>0</v>
      </c>
      <c r="W3" s="44" t="s">
        <v>27</v>
      </c>
      <c r="X3" s="26" t="s">
        <v>679</v>
      </c>
    </row>
    <row r="4" spans="1:24" ht="135" customHeight="1">
      <c r="A4" s="44">
        <v>2</v>
      </c>
      <c r="B4" s="45" t="s">
        <v>671</v>
      </c>
      <c r="C4" s="46" t="s">
        <v>672</v>
      </c>
      <c r="D4" s="47" t="s">
        <v>673</v>
      </c>
      <c r="E4" s="46" t="s">
        <v>674</v>
      </c>
      <c r="F4" s="44">
        <v>8</v>
      </c>
      <c r="G4" s="47" t="s">
        <v>680</v>
      </c>
      <c r="H4" s="118" t="s">
        <v>681</v>
      </c>
      <c r="I4" s="16" t="s">
        <v>682</v>
      </c>
      <c r="J4" s="44" t="s">
        <v>24</v>
      </c>
      <c r="K4" s="47" t="s">
        <v>25</v>
      </c>
      <c r="L4" s="47" t="s">
        <v>683</v>
      </c>
      <c r="M4" s="25"/>
      <c r="N4" s="25">
        <v>1</v>
      </c>
      <c r="O4" s="25">
        <v>1</v>
      </c>
      <c r="P4" s="25">
        <v>1</v>
      </c>
      <c r="Q4" s="25">
        <v>1</v>
      </c>
      <c r="R4" s="52" t="str">
        <f t="shared" si="0"/>
        <v/>
      </c>
      <c r="S4" s="52">
        <f t="shared" si="1"/>
        <v>1</v>
      </c>
      <c r="T4" s="52">
        <f t="shared" si="2"/>
        <v>1</v>
      </c>
      <c r="U4" s="52">
        <f t="shared" si="3"/>
        <v>1</v>
      </c>
      <c r="V4" s="52">
        <f t="shared" si="4"/>
        <v>1</v>
      </c>
      <c r="W4" s="44" t="s">
        <v>27</v>
      </c>
      <c r="X4" s="26" t="s">
        <v>679</v>
      </c>
    </row>
    <row r="5" spans="1:24" ht="135" customHeight="1">
      <c r="A5" s="44">
        <v>3</v>
      </c>
      <c r="B5" s="45" t="s">
        <v>671</v>
      </c>
      <c r="C5" s="46" t="s">
        <v>672</v>
      </c>
      <c r="D5" s="47" t="s">
        <v>673</v>
      </c>
      <c r="E5" s="46" t="s">
        <v>674</v>
      </c>
      <c r="F5" s="44">
        <v>10</v>
      </c>
      <c r="G5" s="47" t="s">
        <v>684</v>
      </c>
      <c r="H5" s="118" t="s">
        <v>685</v>
      </c>
      <c r="I5" s="16" t="s">
        <v>686</v>
      </c>
      <c r="J5" s="44" t="s">
        <v>24</v>
      </c>
      <c r="K5" s="47" t="s">
        <v>25</v>
      </c>
      <c r="L5" s="47" t="s">
        <v>687</v>
      </c>
      <c r="M5" s="25"/>
      <c r="N5" s="25">
        <v>1</v>
      </c>
      <c r="O5" s="25">
        <v>1</v>
      </c>
      <c r="P5" s="25">
        <v>1</v>
      </c>
      <c r="Q5" s="25">
        <v>1</v>
      </c>
      <c r="R5" s="52" t="str">
        <f t="shared" si="0"/>
        <v/>
      </c>
      <c r="S5" s="52">
        <f t="shared" si="1"/>
        <v>1</v>
      </c>
      <c r="T5" s="52">
        <f t="shared" si="2"/>
        <v>1</v>
      </c>
      <c r="U5" s="52">
        <f t="shared" si="3"/>
        <v>1</v>
      </c>
      <c r="V5" s="52">
        <f t="shared" si="4"/>
        <v>1</v>
      </c>
      <c r="W5" s="44" t="s">
        <v>27</v>
      </c>
      <c r="X5" s="26" t="s">
        <v>679</v>
      </c>
    </row>
    <row r="6" spans="1:24" ht="135" customHeight="1">
      <c r="A6" s="44">
        <v>4</v>
      </c>
      <c r="B6" s="45" t="s">
        <v>671</v>
      </c>
      <c r="C6" s="46" t="s">
        <v>672</v>
      </c>
      <c r="D6" s="47" t="s">
        <v>673</v>
      </c>
      <c r="E6" s="46" t="s">
        <v>674</v>
      </c>
      <c r="F6" s="44">
        <v>13</v>
      </c>
      <c r="G6" s="47" t="s">
        <v>688</v>
      </c>
      <c r="H6" s="118" t="s">
        <v>689</v>
      </c>
      <c r="I6" s="16" t="s">
        <v>690</v>
      </c>
      <c r="J6" s="44" t="s">
        <v>24</v>
      </c>
      <c r="K6" s="47" t="s">
        <v>25</v>
      </c>
      <c r="L6" s="47" t="s">
        <v>691</v>
      </c>
      <c r="M6" s="25"/>
      <c r="N6" s="25">
        <v>1</v>
      </c>
      <c r="O6" s="25">
        <v>1</v>
      </c>
      <c r="P6" s="25">
        <v>1</v>
      </c>
      <c r="Q6" s="25">
        <v>1</v>
      </c>
      <c r="R6" s="52" t="str">
        <f t="shared" si="0"/>
        <v/>
      </c>
      <c r="S6" s="52">
        <f t="shared" si="1"/>
        <v>1</v>
      </c>
      <c r="T6" s="52">
        <f t="shared" si="2"/>
        <v>1</v>
      </c>
      <c r="U6" s="52">
        <f t="shared" si="3"/>
        <v>1</v>
      </c>
      <c r="V6" s="52">
        <f t="shared" si="4"/>
        <v>1</v>
      </c>
      <c r="W6" s="44" t="s">
        <v>27</v>
      </c>
      <c r="X6" s="26" t="s">
        <v>679</v>
      </c>
    </row>
    <row r="7" spans="1:24" ht="135" customHeight="1">
      <c r="A7" s="44">
        <v>5</v>
      </c>
      <c r="B7" s="45" t="s">
        <v>671</v>
      </c>
      <c r="C7" s="46" t="s">
        <v>672</v>
      </c>
      <c r="D7" s="47" t="s">
        <v>673</v>
      </c>
      <c r="E7" s="46" t="s">
        <v>674</v>
      </c>
      <c r="F7" s="44">
        <v>15</v>
      </c>
      <c r="G7" s="47" t="s">
        <v>692</v>
      </c>
      <c r="H7" s="20" t="s">
        <v>693</v>
      </c>
      <c r="I7" s="16" t="s">
        <v>694</v>
      </c>
      <c r="J7" s="44" t="s">
        <v>24</v>
      </c>
      <c r="K7" s="47" t="s">
        <v>25</v>
      </c>
      <c r="L7" s="105" t="s">
        <v>695</v>
      </c>
      <c r="M7" s="25"/>
      <c r="N7" s="25">
        <v>1</v>
      </c>
      <c r="O7" s="25">
        <v>1</v>
      </c>
      <c r="P7" s="25">
        <v>1</v>
      </c>
      <c r="Q7" s="25">
        <v>1</v>
      </c>
      <c r="R7" s="52" t="str">
        <f t="shared" si="0"/>
        <v/>
      </c>
      <c r="S7" s="52">
        <f t="shared" si="1"/>
        <v>1</v>
      </c>
      <c r="T7" s="52">
        <f t="shared" si="2"/>
        <v>1</v>
      </c>
      <c r="U7" s="52">
        <f t="shared" si="3"/>
        <v>1</v>
      </c>
      <c r="V7" s="52">
        <f t="shared" si="4"/>
        <v>1</v>
      </c>
      <c r="W7" s="44" t="s">
        <v>27</v>
      </c>
      <c r="X7" s="26" t="s">
        <v>679</v>
      </c>
    </row>
    <row r="8" spans="1:24" ht="135" customHeight="1">
      <c r="A8" s="44">
        <v>6</v>
      </c>
      <c r="B8" s="45" t="s">
        <v>671</v>
      </c>
      <c r="C8" s="46" t="s">
        <v>672</v>
      </c>
      <c r="D8" s="47" t="s">
        <v>673</v>
      </c>
      <c r="E8" s="46" t="s">
        <v>674</v>
      </c>
      <c r="F8" s="44">
        <v>16</v>
      </c>
      <c r="G8" s="47" t="s">
        <v>696</v>
      </c>
      <c r="H8" s="118" t="s">
        <v>697</v>
      </c>
      <c r="I8" s="16" t="s">
        <v>698</v>
      </c>
      <c r="J8" s="44" t="s">
        <v>24</v>
      </c>
      <c r="K8" s="47" t="s">
        <v>25</v>
      </c>
      <c r="L8" s="47" t="s">
        <v>699</v>
      </c>
      <c r="M8" s="25"/>
      <c r="N8" s="25">
        <v>1</v>
      </c>
      <c r="O8" s="25">
        <v>1</v>
      </c>
      <c r="P8" s="25">
        <v>1</v>
      </c>
      <c r="Q8" s="25">
        <v>1</v>
      </c>
      <c r="R8" s="52" t="str">
        <f t="shared" si="0"/>
        <v/>
      </c>
      <c r="S8" s="52">
        <f t="shared" si="1"/>
        <v>1</v>
      </c>
      <c r="T8" s="52">
        <f t="shared" si="2"/>
        <v>1</v>
      </c>
      <c r="U8" s="52">
        <f t="shared" si="3"/>
        <v>1</v>
      </c>
      <c r="V8" s="52">
        <f t="shared" si="4"/>
        <v>1</v>
      </c>
      <c r="W8" s="44" t="s">
        <v>27</v>
      </c>
      <c r="X8" s="26" t="s">
        <v>679</v>
      </c>
    </row>
    <row r="9" spans="1:24" ht="135" customHeight="1">
      <c r="A9" s="44">
        <v>7</v>
      </c>
      <c r="B9" s="45" t="s">
        <v>671</v>
      </c>
      <c r="C9" s="46" t="s">
        <v>672</v>
      </c>
      <c r="D9" s="47" t="s">
        <v>700</v>
      </c>
      <c r="E9" s="46" t="s">
        <v>701</v>
      </c>
      <c r="F9" s="44">
        <v>1</v>
      </c>
      <c r="G9" s="47" t="s">
        <v>702</v>
      </c>
      <c r="H9" s="119" t="s">
        <v>703</v>
      </c>
      <c r="I9" s="16" t="s">
        <v>704</v>
      </c>
      <c r="J9" s="44" t="s">
        <v>24</v>
      </c>
      <c r="K9" s="47" t="s">
        <v>25</v>
      </c>
      <c r="L9" s="46" t="s">
        <v>705</v>
      </c>
      <c r="M9" s="25"/>
      <c r="N9" s="25">
        <v>32</v>
      </c>
      <c r="O9" s="25">
        <v>32</v>
      </c>
      <c r="P9" s="25">
        <v>32</v>
      </c>
      <c r="Q9" s="25">
        <v>32</v>
      </c>
      <c r="R9" s="52" t="str">
        <f t="shared" si="0"/>
        <v/>
      </c>
      <c r="S9" s="52">
        <f t="shared" si="1"/>
        <v>32</v>
      </c>
      <c r="T9" s="52">
        <f t="shared" si="2"/>
        <v>32</v>
      </c>
      <c r="U9" s="52">
        <f t="shared" si="3"/>
        <v>32</v>
      </c>
      <c r="V9" s="52">
        <f t="shared" si="4"/>
        <v>32</v>
      </c>
      <c r="W9" s="44" t="s">
        <v>27</v>
      </c>
      <c r="X9" s="26" t="s">
        <v>679</v>
      </c>
    </row>
    <row r="10" spans="1:24" ht="135" customHeight="1">
      <c r="A10" s="44">
        <v>8</v>
      </c>
      <c r="B10" s="45" t="s">
        <v>671</v>
      </c>
      <c r="C10" s="46" t="s">
        <v>672</v>
      </c>
      <c r="D10" s="47" t="s">
        <v>700</v>
      </c>
      <c r="E10" s="46" t="s">
        <v>701</v>
      </c>
      <c r="F10" s="44">
        <v>3</v>
      </c>
      <c r="G10" s="47" t="s">
        <v>706</v>
      </c>
      <c r="H10" s="119" t="s">
        <v>707</v>
      </c>
      <c r="I10" s="16" t="s">
        <v>708</v>
      </c>
      <c r="J10" s="44" t="s">
        <v>24</v>
      </c>
      <c r="K10" s="47" t="s">
        <v>25</v>
      </c>
      <c r="L10" s="46" t="s">
        <v>709</v>
      </c>
      <c r="M10" s="25"/>
      <c r="N10" s="25">
        <v>10</v>
      </c>
      <c r="O10" s="25">
        <v>15</v>
      </c>
      <c r="P10" s="25">
        <v>19</v>
      </c>
      <c r="Q10" s="25">
        <v>19</v>
      </c>
      <c r="R10" s="52" t="str">
        <f t="shared" si="0"/>
        <v/>
      </c>
      <c r="S10" s="52">
        <f t="shared" si="1"/>
        <v>10</v>
      </c>
      <c r="T10" s="52">
        <f t="shared" si="2"/>
        <v>15</v>
      </c>
      <c r="U10" s="52">
        <f t="shared" si="3"/>
        <v>19</v>
      </c>
      <c r="V10" s="52">
        <f t="shared" si="4"/>
        <v>19</v>
      </c>
      <c r="W10" s="44" t="s">
        <v>27</v>
      </c>
      <c r="X10" s="26" t="s">
        <v>679</v>
      </c>
    </row>
    <row r="11" spans="1:24" ht="135" customHeight="1">
      <c r="A11" s="44">
        <v>9</v>
      </c>
      <c r="B11" s="45" t="s">
        <v>671</v>
      </c>
      <c r="C11" s="46" t="s">
        <v>672</v>
      </c>
      <c r="D11" s="47" t="s">
        <v>700</v>
      </c>
      <c r="E11" s="46" t="s">
        <v>701</v>
      </c>
      <c r="F11" s="44">
        <v>4</v>
      </c>
      <c r="G11" s="47" t="s">
        <v>710</v>
      </c>
      <c r="H11" s="119" t="s">
        <v>711</v>
      </c>
      <c r="I11" s="16" t="s">
        <v>712</v>
      </c>
      <c r="J11" s="44" t="s">
        <v>24</v>
      </c>
      <c r="K11" s="47" t="s">
        <v>25</v>
      </c>
      <c r="L11" s="46" t="s">
        <v>713</v>
      </c>
      <c r="M11" s="25"/>
      <c r="N11" s="25">
        <v>20</v>
      </c>
      <c r="O11" s="25">
        <v>30</v>
      </c>
      <c r="P11" s="25">
        <v>39</v>
      </c>
      <c r="Q11" s="25">
        <v>39</v>
      </c>
      <c r="R11" s="52" t="str">
        <f t="shared" si="0"/>
        <v/>
      </c>
      <c r="S11" s="52">
        <f t="shared" si="1"/>
        <v>20</v>
      </c>
      <c r="T11" s="52">
        <f t="shared" si="2"/>
        <v>30</v>
      </c>
      <c r="U11" s="52">
        <f t="shared" si="3"/>
        <v>39</v>
      </c>
      <c r="V11" s="52">
        <f t="shared" si="4"/>
        <v>39</v>
      </c>
      <c r="W11" s="44" t="s">
        <v>27</v>
      </c>
      <c r="X11" s="26" t="s">
        <v>679</v>
      </c>
    </row>
    <row r="12" spans="1:24" ht="135" customHeight="1">
      <c r="A12" s="44">
        <v>10</v>
      </c>
      <c r="B12" s="45" t="s">
        <v>671</v>
      </c>
      <c r="C12" s="46" t="s">
        <v>672</v>
      </c>
      <c r="D12" s="47" t="s">
        <v>714</v>
      </c>
      <c r="E12" s="46" t="s">
        <v>715</v>
      </c>
      <c r="F12" s="44">
        <v>21</v>
      </c>
      <c r="G12" s="47" t="s">
        <v>716</v>
      </c>
      <c r="H12" s="17" t="s">
        <v>717</v>
      </c>
      <c r="I12" s="16" t="s">
        <v>718</v>
      </c>
      <c r="J12" s="44" t="s">
        <v>24</v>
      </c>
      <c r="K12" s="47" t="s">
        <v>25</v>
      </c>
      <c r="L12" s="46" t="s">
        <v>719</v>
      </c>
      <c r="M12" s="25"/>
      <c r="N12" s="25">
        <v>1</v>
      </c>
      <c r="O12" s="25">
        <v>1</v>
      </c>
      <c r="P12" s="25">
        <v>1</v>
      </c>
      <c r="Q12" s="25">
        <v>1</v>
      </c>
      <c r="R12" s="52" t="str">
        <f t="shared" si="0"/>
        <v/>
      </c>
      <c r="S12" s="52">
        <f t="shared" si="1"/>
        <v>1</v>
      </c>
      <c r="T12" s="52">
        <f t="shared" si="2"/>
        <v>1</v>
      </c>
      <c r="U12" s="52">
        <f t="shared" si="3"/>
        <v>1</v>
      </c>
      <c r="V12" s="52">
        <f t="shared" si="4"/>
        <v>1</v>
      </c>
      <c r="W12" s="44" t="s">
        <v>27</v>
      </c>
      <c r="X12" s="26" t="s">
        <v>679</v>
      </c>
    </row>
    <row r="13" spans="1:24" ht="135" customHeight="1">
      <c r="A13" s="44">
        <v>11</v>
      </c>
      <c r="B13" s="45" t="s">
        <v>671</v>
      </c>
      <c r="C13" s="46" t="s">
        <v>672</v>
      </c>
      <c r="D13" s="47" t="s">
        <v>714</v>
      </c>
      <c r="E13" s="46" t="s">
        <v>715</v>
      </c>
      <c r="F13" s="44">
        <v>22</v>
      </c>
      <c r="G13" s="47" t="s">
        <v>720</v>
      </c>
      <c r="H13" s="118" t="s">
        <v>721</v>
      </c>
      <c r="I13" s="16" t="s">
        <v>722</v>
      </c>
      <c r="J13" s="44" t="s">
        <v>24</v>
      </c>
      <c r="K13" s="47" t="s">
        <v>25</v>
      </c>
      <c r="L13" s="47" t="s">
        <v>723</v>
      </c>
      <c r="M13" s="25"/>
      <c r="N13" s="25">
        <v>1</v>
      </c>
      <c r="O13" s="25">
        <v>1</v>
      </c>
      <c r="P13" s="25">
        <v>1</v>
      </c>
      <c r="Q13" s="25">
        <v>1</v>
      </c>
      <c r="R13" s="52" t="str">
        <f t="shared" si="0"/>
        <v/>
      </c>
      <c r="S13" s="52">
        <f t="shared" si="1"/>
        <v>1</v>
      </c>
      <c r="T13" s="52">
        <f t="shared" si="2"/>
        <v>1</v>
      </c>
      <c r="U13" s="52">
        <f t="shared" si="3"/>
        <v>1</v>
      </c>
      <c r="V13" s="52">
        <f t="shared" si="4"/>
        <v>1</v>
      </c>
      <c r="W13" s="44" t="s">
        <v>27</v>
      </c>
      <c r="X13" s="26" t="s">
        <v>679</v>
      </c>
    </row>
    <row r="14" spans="1:24" ht="135" customHeight="1">
      <c r="A14" s="44">
        <v>12</v>
      </c>
      <c r="B14" s="45" t="s">
        <v>671</v>
      </c>
      <c r="C14" s="46" t="s">
        <v>672</v>
      </c>
      <c r="D14" s="47" t="s">
        <v>714</v>
      </c>
      <c r="E14" s="46" t="s">
        <v>715</v>
      </c>
      <c r="F14" s="44">
        <v>23</v>
      </c>
      <c r="G14" s="47" t="s">
        <v>724</v>
      </c>
      <c r="H14" s="118" t="s">
        <v>725</v>
      </c>
      <c r="I14" s="16" t="s">
        <v>726</v>
      </c>
      <c r="J14" s="44" t="s">
        <v>24</v>
      </c>
      <c r="K14" s="47" t="s">
        <v>25</v>
      </c>
      <c r="L14" s="47" t="s">
        <v>727</v>
      </c>
      <c r="M14" s="25"/>
      <c r="N14" s="25">
        <v>1</v>
      </c>
      <c r="O14" s="25">
        <v>1</v>
      </c>
      <c r="P14" s="25">
        <v>1</v>
      </c>
      <c r="Q14" s="25">
        <v>1</v>
      </c>
      <c r="R14" s="52" t="str">
        <f t="shared" si="0"/>
        <v/>
      </c>
      <c r="S14" s="52">
        <f t="shared" si="1"/>
        <v>1</v>
      </c>
      <c r="T14" s="52">
        <f t="shared" si="2"/>
        <v>1</v>
      </c>
      <c r="U14" s="52">
        <f t="shared" si="3"/>
        <v>1</v>
      </c>
      <c r="V14" s="52">
        <f t="shared" si="4"/>
        <v>1</v>
      </c>
      <c r="W14" s="44" t="s">
        <v>27</v>
      </c>
      <c r="X14" s="26" t="s">
        <v>679</v>
      </c>
    </row>
  </sheetData>
  <sheetProtection algorithmName="SHA-512" hashValue="MG0DooOSK8lwmVDSkNZQVOXfn9wyiRYUxip0dvKbtyZPzpOEg21w4GcpJ8s8hzn6QFKrnPQ4D0GFhU2EerVb8g==" saltValue="seDWXXjO34gDenkIIeu3wg==" spinCount="100000" sheet="1" objects="1" scenarios="1" formatCells="0" formatColumns="0" formatRows="0"/>
  <mergeCells count="16">
    <mergeCell ref="A1:A2"/>
    <mergeCell ref="C1:C2"/>
    <mergeCell ref="B1:B2"/>
    <mergeCell ref="G1:G2"/>
    <mergeCell ref="D1:D2"/>
    <mergeCell ref="K1:K2"/>
    <mergeCell ref="I1:I2"/>
    <mergeCell ref="E1:E2"/>
    <mergeCell ref="F1:F2"/>
    <mergeCell ref="J1:J2"/>
    <mergeCell ref="W1:W2"/>
    <mergeCell ref="R1:V1"/>
    <mergeCell ref="X1:X2"/>
    <mergeCell ref="L1:L2"/>
    <mergeCell ref="H1:H2"/>
    <mergeCell ref="M1:Q1"/>
  </mergeCells>
  <conditionalFormatting sqref="F3 F5">
    <cfRule type="duplicateValues"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4:J105"/>
  <sheetViews>
    <sheetView workbookViewId="0">
      <selection activeCell="D22" sqref="D22"/>
    </sheetView>
  </sheetViews>
  <sheetFormatPr baseColWidth="10" defaultRowHeight="14.4"/>
  <cols>
    <col min="1" max="1" width="21" style="14" customWidth="1"/>
    <col min="2" max="2" width="28.33203125" bestFit="1" customWidth="1"/>
    <col min="10" max="10" width="33.6640625" customWidth="1"/>
  </cols>
  <sheetData>
    <row r="4" spans="1:10">
      <c r="A4" s="211" t="s">
        <v>728</v>
      </c>
      <c r="B4" s="206"/>
      <c r="C4" s="206"/>
      <c r="D4" s="206"/>
      <c r="E4" s="206"/>
      <c r="F4" s="206"/>
      <c r="G4" s="206"/>
      <c r="H4" s="206"/>
      <c r="I4" s="206"/>
      <c r="J4" s="206"/>
    </row>
    <row r="5" spans="1:10">
      <c r="A5" s="205" t="s">
        <v>729</v>
      </c>
      <c r="B5" s="206"/>
      <c r="C5" s="206"/>
      <c r="D5" s="206"/>
      <c r="E5" s="206"/>
      <c r="F5" s="206"/>
      <c r="G5" s="206"/>
      <c r="H5" s="206"/>
      <c r="I5" s="206"/>
      <c r="J5" s="206"/>
    </row>
    <row r="6" spans="1:10">
      <c r="A6" s="202" t="s">
        <v>730</v>
      </c>
      <c r="B6" s="208" t="s">
        <v>731</v>
      </c>
      <c r="C6" s="204" t="s">
        <v>13</v>
      </c>
      <c r="D6" s="134"/>
      <c r="E6" s="134"/>
      <c r="F6" s="134"/>
      <c r="G6" s="134"/>
      <c r="H6" s="110"/>
      <c r="I6" s="171" t="s">
        <v>14</v>
      </c>
      <c r="J6" s="207" t="s">
        <v>15</v>
      </c>
    </row>
    <row r="7" spans="1:10" ht="24" customHeight="1">
      <c r="A7" s="203"/>
      <c r="B7" s="209"/>
      <c r="C7" s="7" t="s">
        <v>732</v>
      </c>
      <c r="D7" s="4">
        <v>2026</v>
      </c>
      <c r="E7" s="4">
        <v>2027</v>
      </c>
      <c r="F7" s="4">
        <v>2028</v>
      </c>
      <c r="G7" s="4">
        <v>2029</v>
      </c>
      <c r="H7" s="4">
        <v>2030</v>
      </c>
      <c r="I7" s="137"/>
      <c r="J7" s="137"/>
    </row>
    <row r="8" spans="1:10">
      <c r="A8" s="14">
        <v>3</v>
      </c>
      <c r="B8" t="str">
        <f>'2 EstudiantadoEstProf'!I5</f>
        <v>Mejorar o mantener de forma conservadora en la Facultad de Ingeniería el indicador IND-NS-210, con la trayectoria 2027: 80%, 2028: 80%, 2029: 80%, 2030: 80%, sustentada en referencia PRDI; no existe serie histórica directamente comparable para la variable.</v>
      </c>
      <c r="C8" s="32" t="e">
        <f>'2 EstudiantadoEstProf'!#REF!</f>
        <v>#REF!</v>
      </c>
      <c r="D8" s="32" t="str">
        <f>'2 EstudiantadoEstProf'!R5</f>
        <v/>
      </c>
      <c r="E8" s="32">
        <f>'2 EstudiantadoEstProf'!S5</f>
        <v>80</v>
      </c>
      <c r="F8" s="32">
        <f>'2 EstudiantadoEstProf'!T5</f>
        <v>80</v>
      </c>
      <c r="G8" s="32">
        <f>'2 EstudiantadoEstProf'!U5</f>
        <v>80</v>
      </c>
      <c r="H8" s="32">
        <f>'2 EstudiantadoEstProf'!V5</f>
        <v>80</v>
      </c>
      <c r="I8" t="str">
        <f>'2 EstudiantadoEstProf'!W3</f>
        <v>Anual</v>
      </c>
      <c r="J8" t="str">
        <f>'2 EstudiantadoEstProf'!X5</f>
        <v>Subdirección Académica y coordinaciones de licenciatura</v>
      </c>
    </row>
    <row r="10" spans="1:10">
      <c r="A10" s="14">
        <v>4</v>
      </c>
      <c r="B10" t="str">
        <f>'2 EstudiantadoEstProf'!I7</f>
        <v>Mejorar o mantener de forma conservadora en la Facultad de Ingeniería el indicador IND-PRDI-351, con la trayectoria 2027: 88.89%, 2028: 90.25%, 2029: 91.55%, 2030: 92.91%, sustentada en referencia PRDI; no existe serie histórica directamente comparable para la variable.</v>
      </c>
      <c r="C10" s="32" t="e">
        <f>'2 EstudiantadoEstProf'!#REF!</f>
        <v>#REF!</v>
      </c>
      <c r="D10" s="32" t="str">
        <f>'2 EstudiantadoEstProf'!R7</f>
        <v/>
      </c>
      <c r="E10" s="32">
        <f>'2 EstudiantadoEstProf'!S7</f>
        <v>88.892606222816994</v>
      </c>
      <c r="F10" s="32">
        <f>'2 EstudiantadoEstProf'!T7</f>
        <v>90.246338215712385</v>
      </c>
      <c r="G10" s="32">
        <f>'2 EstudiantadoEstProf'!U7</f>
        <v>91.553494534614117</v>
      </c>
      <c r="H10" s="32">
        <f>'2 EstudiantadoEstProf'!V7</f>
        <v>92.913645352669732</v>
      </c>
      <c r="I10" t="str">
        <f>'2 EstudiantadoEstProf'!W5</f>
        <v>Anual</v>
      </c>
      <c r="J10" t="str">
        <f>'2 EstudiantadoEstProf'!X7</f>
        <v>Subdirección Académica y coordinaciones de licenciatura</v>
      </c>
    </row>
    <row r="12" spans="1:10">
      <c r="A12" s="14">
        <v>5</v>
      </c>
      <c r="B12" t="str">
        <f>'2 EstudiantadoEstProf'!I9</f>
        <v>Mejorar o mantener de forma conservadora en la Facultad de Ingeniería el indicador IND-PRDI-200, con la trayectoria 2027: 68%, 2028: 70%, 2029: 71.29%, 2030: 71.57%, sustentada en referencia PRDI; no existe serie histórica directamente comparable para la variable.</v>
      </c>
      <c r="C12" s="32" t="e">
        <f>'2 EstudiantadoEstProf'!#REF!</f>
        <v>#REF!</v>
      </c>
      <c r="D12" s="32" t="str">
        <f>'2 EstudiantadoEstProf'!R9</f>
        <v/>
      </c>
      <c r="E12" s="32">
        <f>'2 EstudiantadoEstProf'!S9</f>
        <v>68</v>
      </c>
      <c r="F12" s="32">
        <f>'2 EstudiantadoEstProf'!T9</f>
        <v>70</v>
      </c>
      <c r="G12" s="32">
        <f>'2 EstudiantadoEstProf'!U9</f>
        <v>71.287128712871279</v>
      </c>
      <c r="H12" s="32">
        <f>'2 EstudiantadoEstProf'!V9</f>
        <v>71.568627450980387</v>
      </c>
      <c r="I12" t="str">
        <f>'2 EstudiantadoEstProf'!W9</f>
        <v>Anual</v>
      </c>
      <c r="J12" t="str">
        <f>'2 EstudiantadoEstProf'!X9</f>
        <v>Subdirección Académica y coordinaciones de licenciatura</v>
      </c>
    </row>
    <row r="13" spans="1:10" ht="15.75" customHeight="1" thickBot="1"/>
    <row r="14" spans="1:10" ht="15.75" customHeight="1" thickBot="1">
      <c r="A14" s="14">
        <v>8</v>
      </c>
      <c r="B14" s="15" t="str">
        <f>'2 EstudiantadoEstProf'!I13</f>
        <v>Mejorar o mantener de forma conservadora en la Facultad de Ingeniería el indicador IND-PRDI-353, con la trayectoria 2027: 98.13%, 2028: 98.74%, 2029: 99.37%, 2030: 100%, sustentada en serie histórica directamente comparable del sitio.</v>
      </c>
      <c r="C14" t="e">
        <f>'2 EstudiantadoEstProf'!#REF!</f>
        <v>#REF!</v>
      </c>
      <c r="D14" t="str">
        <f>'2 EstudiantadoEstProf'!R13</f>
        <v/>
      </c>
      <c r="E14">
        <f>'2 EstudiantadoEstProf'!S13</f>
        <v>98.126463700234183</v>
      </c>
      <c r="F14">
        <f>'2 EstudiantadoEstProf'!T13</f>
        <v>98.73501997336885</v>
      </c>
      <c r="G14">
        <f>'2 EstudiantadoEstProf'!U13</f>
        <v>99.370652533951642</v>
      </c>
      <c r="H14">
        <f>'2 EstudiantadoEstProf'!V13</f>
        <v>100</v>
      </c>
      <c r="I14" t="str">
        <f>'2 EstudiantadoEstProf'!W13</f>
        <v>Anual</v>
      </c>
      <c r="J14" t="str">
        <f>'2 EstudiantadoEstProf'!X13</f>
        <v>Subdirección Académica y coordinaciones de licenciatura</v>
      </c>
    </row>
    <row r="16" spans="1:10">
      <c r="A16" s="14">
        <v>12</v>
      </c>
      <c r="B16" t="str">
        <f>'2 EstudiantadoEstProf'!I18</f>
        <v>Mejorar o mantener de forma conservadora en la Facultad de Ingeniería el indicador IND-PRDI-357, con la trayectoria 2027: 80%, 2028: 80%, 2029: 80%, 2030: 80%, sustentada en referencia PRDI; no existe serie histórica directamente comparable para la variable.</v>
      </c>
      <c r="C16" t="e">
        <f>'2 EstudiantadoEstProf'!#REF!</f>
        <v>#REF!</v>
      </c>
      <c r="D16" t="str">
        <f>'2 EstudiantadoEstProf'!R18</f>
        <v/>
      </c>
      <c r="E16">
        <f>'2 EstudiantadoEstProf'!S18</f>
        <v>80</v>
      </c>
      <c r="F16">
        <f>'2 EstudiantadoEstProf'!T18</f>
        <v>80</v>
      </c>
      <c r="G16">
        <f>'2 EstudiantadoEstProf'!U18</f>
        <v>80</v>
      </c>
      <c r="H16">
        <f>'2 EstudiantadoEstProf'!V18</f>
        <v>80</v>
      </c>
      <c r="I16" t="str">
        <f>'2 EstudiantadoEstProf'!W18</f>
        <v>Anual</v>
      </c>
      <c r="J16" t="str">
        <f>'2 EstudiantadoEstProf'!X18</f>
        <v>Subdirección Académica y coordinaciones de licenciatura</v>
      </c>
    </row>
    <row r="18" spans="1:10">
      <c r="A18" s="14">
        <v>18</v>
      </c>
      <c r="B18" t="str">
        <f>'2 EstudiantadoEstProf'!I24</f>
        <v>Mejorar o mantener de forma conservadora en la Facultad de Ingeniería el indicador IND-PRDI-40, con la trayectoria 2027: 3%, 2028: 4%, 2029: 4.95%, 2030: 5.88%, sustentada en serie histórica directamente comparable del sitio.</v>
      </c>
      <c r="C18" t="e">
        <f>'2 EstudiantadoEstProf'!#REF!</f>
        <v>#REF!</v>
      </c>
      <c r="D18" t="str">
        <f>'2 EstudiantadoEstProf'!R24</f>
        <v/>
      </c>
      <c r="E18">
        <f>'2 EstudiantadoEstProf'!S24</f>
        <v>3</v>
      </c>
      <c r="F18">
        <f>'2 EstudiantadoEstProf'!T24</f>
        <v>4</v>
      </c>
      <c r="G18">
        <f>'2 EstudiantadoEstProf'!U24</f>
        <v>4.9504950495049505</v>
      </c>
      <c r="H18">
        <f>'2 EstudiantadoEstProf'!V24</f>
        <v>5.8823529411764701</v>
      </c>
      <c r="I18" t="str">
        <f>'2 EstudiantadoEstProf'!W24</f>
        <v>Anual</v>
      </c>
      <c r="J18" t="str">
        <f>'2 EstudiantadoEstProf'!X24</f>
        <v>Subdirección Académica y coordinaciones de licenciatura</v>
      </c>
    </row>
    <row r="20" spans="1:10">
      <c r="A20" s="14">
        <v>20</v>
      </c>
      <c r="B20" t="str">
        <f>'2 EstudiantadoEstProf'!I27</f>
        <v>Mejorar o mantener de forma conservadora en la Facultad de Ingeniería el indicador IND-NS-127, con la trayectoria 2027: 5.19%, 2028: 6.19%, 2029: 7.19%, 2030: 8.21%, sustentada en serie histórica directamente comparable del sitio.</v>
      </c>
      <c r="C20" t="e">
        <f>'2 EstudiantadoEstProf'!#REF!</f>
        <v>#REF!</v>
      </c>
      <c r="D20" t="str">
        <f>'2 EstudiantadoEstProf'!R27</f>
        <v/>
      </c>
      <c r="E20">
        <f>'2 EstudiantadoEstProf'!S27</f>
        <v>5.1856808297089332</v>
      </c>
      <c r="F20">
        <f>'2 EstudiantadoEstProf'!T27</f>
        <v>6.1917443408788282</v>
      </c>
      <c r="G20">
        <f>'2 EstudiantadoEstProf'!U27</f>
        <v>7.1878105332891682</v>
      </c>
      <c r="H20">
        <f>'2 EstudiantadoEstProf'!V27</f>
        <v>8.2069874752801582</v>
      </c>
      <c r="I20" t="str">
        <f>'2 EstudiantadoEstProf'!W27</f>
        <v>Anual</v>
      </c>
      <c r="J20" t="str">
        <f>'2 EstudiantadoEstProf'!X27</f>
        <v>Subdirección Académica y coordinaciones de licenciatura</v>
      </c>
    </row>
    <row r="22" spans="1:10">
      <c r="A22" s="14">
        <v>21</v>
      </c>
      <c r="B22" t="str">
        <f>'2 EstudiantadoEstProf'!I29</f>
        <v>Mejorar o mantener de forma conservadora en la Facultad de Ingeniería el indicador IND-PRDI-34, con la trayectoria 2027: 8.03%, 2028: 7.96%, 2029: 7.88%, 2030: 7.81%, sustentada en serie histórica directamente comparable del sitio.</v>
      </c>
      <c r="C22" t="e">
        <f>'2 EstudiantadoEstProf'!#REF!</f>
        <v>#REF!</v>
      </c>
      <c r="D22" t="str">
        <f>'2 EstudiantadoEstProf'!R29</f>
        <v/>
      </c>
      <c r="E22">
        <f>'2 EstudiantadoEstProf'!S29</f>
        <v>8.0294412847106038</v>
      </c>
      <c r="F22">
        <f>'2 EstudiantadoEstProf'!T29</f>
        <v>7.9560585885485979</v>
      </c>
      <c r="G22">
        <f>'2 EstudiantadoEstProf'!U29</f>
        <v>7.8834051010268302</v>
      </c>
      <c r="H22">
        <f>'2 EstudiantadoEstProf'!V29</f>
        <v>7.8114700065919589</v>
      </c>
      <c r="I22" t="str">
        <f>'2 EstudiantadoEstProf'!W29</f>
        <v>Anual</v>
      </c>
      <c r="J22" t="str">
        <f>'2 EstudiantadoEstProf'!X29</f>
        <v>Subdirección Académica y coordinaciones de licenciatura</v>
      </c>
    </row>
    <row r="26" spans="1:10">
      <c r="A26" s="14">
        <v>23</v>
      </c>
      <c r="B26" t="str">
        <f>'2 EstudiantadoEstProf'!I34</f>
        <v>Mejorar o mantener de forma conservadora en la Facultad de Ingeniería el indicador IND-PRDI-366, con la trayectoria 2027: 94.01%, 2028: 95.34%, 2029: 96.65%, 2030: 97.99%, sustentada en referencia PRDI; no existe serie histórica directamente comparable para la variable.</v>
      </c>
      <c r="C26" t="e">
        <f>'2 EstudiantadoEstProf'!#REF!</f>
        <v>#REF!</v>
      </c>
      <c r="D26" t="str">
        <f>'2 EstudiantadoEstProf'!R34</f>
        <v/>
      </c>
      <c r="E26">
        <f>'2 EstudiantadoEstProf'!S34</f>
        <v>94.011375041820017</v>
      </c>
      <c r="F26">
        <f>'2 EstudiantadoEstProf'!T34</f>
        <v>95.339547270306255</v>
      </c>
      <c r="G26">
        <f>'2 EstudiantadoEstProf'!U34</f>
        <v>96.654521364690297</v>
      </c>
      <c r="H26">
        <f>'2 EstudiantadoEstProf'!V34</f>
        <v>97.989452867501655</v>
      </c>
      <c r="I26" t="str">
        <f>'2 EstudiantadoEstProf'!W34</f>
        <v>Anual</v>
      </c>
      <c r="J26" t="str">
        <f>'2 EstudiantadoEstProf'!X34</f>
        <v>Subdirección Académica y coordinaciones de licenciatura</v>
      </c>
    </row>
    <row r="29" spans="1:10">
      <c r="A29" s="210" t="s">
        <v>733</v>
      </c>
      <c r="B29" s="206"/>
      <c r="C29" s="206"/>
      <c r="D29" s="206"/>
      <c r="E29" s="206"/>
      <c r="F29" s="206"/>
      <c r="G29" s="206"/>
      <c r="H29" s="206"/>
      <c r="I29" s="206"/>
      <c r="J29" s="206"/>
    </row>
    <row r="30" spans="1:10">
      <c r="A30" s="202" t="s">
        <v>730</v>
      </c>
      <c r="B30" s="208" t="s">
        <v>731</v>
      </c>
      <c r="C30" s="204" t="s">
        <v>13</v>
      </c>
      <c r="D30" s="134"/>
      <c r="E30" s="134"/>
      <c r="F30" s="134"/>
      <c r="G30" s="134"/>
      <c r="H30" s="110"/>
      <c r="I30" s="171" t="s">
        <v>14</v>
      </c>
      <c r="J30" s="207" t="s">
        <v>15</v>
      </c>
    </row>
    <row r="31" spans="1:10" ht="24" customHeight="1">
      <c r="A31" s="203"/>
      <c r="B31" s="209"/>
      <c r="C31" s="7" t="s">
        <v>732</v>
      </c>
      <c r="D31" s="4">
        <v>2026</v>
      </c>
      <c r="E31" s="4">
        <v>2027</v>
      </c>
      <c r="F31" s="4">
        <v>2028</v>
      </c>
      <c r="G31" s="4">
        <v>2029</v>
      </c>
      <c r="H31" s="4">
        <v>2030</v>
      </c>
      <c r="I31" s="137"/>
      <c r="J31" s="137"/>
    </row>
    <row r="32" spans="1:10">
      <c r="A32" s="14">
        <v>7</v>
      </c>
      <c r="B32" t="str">
        <f>'3 Est avanzados excelencia'!I9</f>
        <v>Mejorar o mantener de forma conservadora en la Facultad de Ingeniería el indicador IND-PRDI-365, con la trayectoria 2027: 15.15%, 2028: 18.18%, 2029: 18.18%, 2030: 18.18%, sustentada en referencia PRDI; no existe serie histórica directamente comparable para la variable. Sustento en la Matriz de consistencia: «Validar y documentar el valor de Ref. 2026 durante 2027 y, una vez confirmado, mantenerlo o mejorarlo hasta 2030.»</v>
      </c>
      <c r="C32" t="e">
        <f>'3 Est avanzados excelencia'!#REF!</f>
        <v>#REF!</v>
      </c>
      <c r="D32" t="str">
        <f>'3 Est avanzados excelencia'!R9</f>
        <v/>
      </c>
      <c r="E32">
        <f>'3 Est avanzados excelencia'!S9</f>
        <v>15.151515151515152</v>
      </c>
      <c r="F32">
        <f>'3 Est avanzados excelencia'!T9</f>
        <v>18.181818181818183</v>
      </c>
      <c r="G32">
        <f>'3 Est avanzados excelencia'!U9</f>
        <v>18.181818181818183</v>
      </c>
      <c r="H32">
        <f>'3 Est avanzados excelencia'!V9</f>
        <v>18.181818181818183</v>
      </c>
      <c r="I32" t="str">
        <f>'3 Est avanzados excelencia'!W9</f>
        <v>Anual</v>
      </c>
      <c r="J32" t="str">
        <f>'3 Est avanzados excelencia'!X9</f>
        <v>Coordinación de Estudios Avanzados</v>
      </c>
    </row>
    <row r="35" spans="1:10">
      <c r="A35" s="39" t="s">
        <v>734</v>
      </c>
    </row>
    <row r="36" spans="1:10">
      <c r="A36" s="202" t="s">
        <v>730</v>
      </c>
      <c r="B36" s="208" t="s">
        <v>731</v>
      </c>
      <c r="C36" s="204" t="s">
        <v>13</v>
      </c>
      <c r="D36" s="134"/>
      <c r="E36" s="134"/>
      <c r="F36" s="134"/>
      <c r="G36" s="134"/>
      <c r="H36" s="110"/>
      <c r="I36" s="171" t="s">
        <v>14</v>
      </c>
      <c r="J36" s="207" t="s">
        <v>15</v>
      </c>
    </row>
    <row r="37" spans="1:10" ht="24" customHeight="1">
      <c r="A37" s="203"/>
      <c r="B37" s="209"/>
      <c r="C37" s="7" t="s">
        <v>732</v>
      </c>
      <c r="D37" s="4">
        <v>2026</v>
      </c>
      <c r="E37" s="4">
        <v>2027</v>
      </c>
      <c r="F37" s="4">
        <v>2028</v>
      </c>
      <c r="G37" s="4">
        <v>2029</v>
      </c>
      <c r="H37" s="4">
        <v>2030</v>
      </c>
      <c r="I37" s="137"/>
      <c r="J37" s="137"/>
    </row>
    <row r="38" spans="1:10">
      <c r="A38" s="14">
        <v>2</v>
      </c>
      <c r="B38" t="str">
        <f>'4 Investigación abierta'!I4</f>
        <v>Mejorar o mantener de forma conservadora en la Facultad de Ingeniería el indicador IND-PRDI-221, con la trayectoria 2027: 100%, 2028: 100%, 2029: 100%, 2030: 100%, sustentada en serie histórica directamente comparable del sitio.</v>
      </c>
      <c r="C38" t="e">
        <f>'4 Investigación abierta'!#REF!</f>
        <v>#REF!</v>
      </c>
      <c r="D38" t="str">
        <f>'4 Investigación abierta'!R4</f>
        <v/>
      </c>
      <c r="E38">
        <f>'4 Investigación abierta'!S4</f>
        <v>100</v>
      </c>
      <c r="F38">
        <f>'4 Investigación abierta'!T4</f>
        <v>100</v>
      </c>
      <c r="G38">
        <f>'4 Investigación abierta'!U4</f>
        <v>100</v>
      </c>
      <c r="H38">
        <f>'4 Investigación abierta'!V4</f>
        <v>100</v>
      </c>
      <c r="I38" t="str">
        <f>'4 Investigación abierta'!W4</f>
        <v>Anual</v>
      </c>
      <c r="J38" t="str">
        <f>'4 Investigación abierta'!X4</f>
        <v>Coordinación de Investigación</v>
      </c>
    </row>
    <row r="40" spans="1:10">
      <c r="A40" s="14">
        <v>3</v>
      </c>
      <c r="B40" t="str">
        <f>'4 Investigación abierta'!I6</f>
        <v>Mejorar o mantener de forma conservadora en la Facultad de Ingeniería el indicador IND-PRDI-368, con la trayectoria 2027: 47.14%, 2028: 48.57%, 2029: 49.3%, 2030: 49.3%, sustentada en referencia PRDI; no existe serie histórica directamente comparable para la variable.</v>
      </c>
      <c r="C40" t="e">
        <f>'4 Investigación abierta'!#REF!</f>
        <v>#REF!</v>
      </c>
      <c r="D40" t="str">
        <f>'4 Investigación abierta'!R6</f>
        <v/>
      </c>
      <c r="E40">
        <f>'4 Investigación abierta'!S6</f>
        <v>47.142857142857139</v>
      </c>
      <c r="F40">
        <f>'4 Investigación abierta'!T6</f>
        <v>48.571428571428569</v>
      </c>
      <c r="G40">
        <f>'4 Investigación abierta'!U6</f>
        <v>49.295774647887328</v>
      </c>
      <c r="H40">
        <f>'4 Investigación abierta'!V6</f>
        <v>49.295774647887328</v>
      </c>
      <c r="I40" t="str">
        <f>'4 Investigación abierta'!W6</f>
        <v>Anual</v>
      </c>
      <c r="J40" t="str">
        <f>'4 Investigación abierta'!X6</f>
        <v>Coordinación de Investigación</v>
      </c>
    </row>
    <row r="42" spans="1:10">
      <c r="A42" s="14">
        <v>4</v>
      </c>
      <c r="B42" t="str">
        <f>'4 Investigación abierta'!I8</f>
        <v>Mejorar o mantener de forma conservadora en la Facultad de Ingeniería el indicador IND-PRDI-370, con la trayectoria 2027: 47.14%, 2028: 48.57%, 2029: 49.3%, 2030: 49.3%, sustentada en referencia PRDI; no existe serie histórica directamente comparable para la variable.</v>
      </c>
      <c r="C42" t="e">
        <f>'4 Investigación abierta'!#REF!</f>
        <v>#REF!</v>
      </c>
      <c r="D42" t="str">
        <f>'4 Investigación abierta'!R8</f>
        <v/>
      </c>
      <c r="E42">
        <f>'4 Investigación abierta'!S8</f>
        <v>47.142857142857139</v>
      </c>
      <c r="F42">
        <f>'4 Investigación abierta'!T8</f>
        <v>48.571428571428569</v>
      </c>
      <c r="G42">
        <f>'4 Investigación abierta'!U8</f>
        <v>49.295774647887328</v>
      </c>
      <c r="H42">
        <f>'4 Investigación abierta'!V8</f>
        <v>49.295774647887328</v>
      </c>
      <c r="I42" t="str">
        <f>'4 Investigación abierta'!W8</f>
        <v>Anual</v>
      </c>
      <c r="J42" t="str">
        <f>'4 Investigación abierta'!X8</f>
        <v>Coordinación de Investigación</v>
      </c>
    </row>
    <row r="44" spans="1:10">
      <c r="A44" s="14">
        <v>7</v>
      </c>
      <c r="B44" t="str">
        <f>'4 Investigación abierta'!I12</f>
        <v>Mejorar o mantener de forma conservadora en la Facultad de Ingeniería el indicador IND-PRDI-367, con la trayectoria 2027: 20%, 2028: 20%, 2029: 20%, 2030: 20%, sustentada en referencia PRDI; no existe serie histórica directamente comparable para la variable.</v>
      </c>
      <c r="C44" t="e">
        <f>'4 Investigación abierta'!#REF!</f>
        <v>#REF!</v>
      </c>
      <c r="D44" t="str">
        <f>'4 Investigación abierta'!R12</f>
        <v/>
      </c>
      <c r="E44">
        <f>'4 Investigación abierta'!S12</f>
        <v>20</v>
      </c>
      <c r="F44">
        <f>'4 Investigación abierta'!T12</f>
        <v>20</v>
      </c>
      <c r="G44">
        <f>'4 Investigación abierta'!U12</f>
        <v>20</v>
      </c>
      <c r="H44">
        <f>'4 Investigación abierta'!V12</f>
        <v>20</v>
      </c>
      <c r="I44" t="str">
        <f>'4 Investigación abierta'!W12</f>
        <v>Anual</v>
      </c>
      <c r="J44" t="str">
        <f>'4 Investigación abierta'!X12</f>
        <v>Coordinación de Investigación</v>
      </c>
    </row>
    <row r="46" spans="1:10">
      <c r="A46" s="14">
        <v>8</v>
      </c>
      <c r="B46" t="str">
        <f>'4 Investigación abierta'!I14</f>
        <v>Mejorar o mantener de forma conservadora en la Facultad de Ingeniería el indicador IND-PRDI-225, con la trayectoria 2027: 50%, 2028: 52.5%, 2029: 52.5%, 2030: 53.66%, sustentada en referencia PRDI; no existe serie histórica directamente comparable para la variable. Sustento en la Matriz de consistencia: «Registrar 1 acuerdo de mejora sobre los productos y colaboraciones de investigación en 2028 y revisar su cumplimiento anualmente hasta 2030.»</v>
      </c>
      <c r="C46" t="e">
        <f>'4 Investigación abierta'!#REF!</f>
        <v>#REF!</v>
      </c>
      <c r="D46" t="str">
        <f>'4 Investigación abierta'!R14</f>
        <v/>
      </c>
      <c r="E46">
        <f>'4 Investigación abierta'!S14</f>
        <v>50</v>
      </c>
      <c r="F46">
        <f>'4 Investigación abierta'!T14</f>
        <v>52.5</v>
      </c>
      <c r="G46">
        <f>'4 Investigación abierta'!U14</f>
        <v>52.5</v>
      </c>
      <c r="H46">
        <f>'4 Investigación abierta'!V14</f>
        <v>53.658536585365859</v>
      </c>
      <c r="I46" t="str">
        <f>'4 Investigación abierta'!W14</f>
        <v>Anual</v>
      </c>
      <c r="J46" t="str">
        <f>'4 Investigación abierta'!X14</f>
        <v>Coordinación de Investigación</v>
      </c>
    </row>
    <row r="49" spans="1:10">
      <c r="A49" s="39" t="s">
        <v>735</v>
      </c>
      <c r="B49" s="39"/>
      <c r="C49" s="39"/>
      <c r="D49" s="39"/>
      <c r="E49" s="39"/>
      <c r="F49" s="39"/>
      <c r="G49" s="39"/>
      <c r="H49" s="39"/>
      <c r="I49" s="39"/>
      <c r="J49" s="39"/>
    </row>
    <row r="50" spans="1:10">
      <c r="A50" s="202" t="s">
        <v>730</v>
      </c>
      <c r="B50" s="208" t="s">
        <v>731</v>
      </c>
      <c r="C50" s="204" t="s">
        <v>13</v>
      </c>
      <c r="D50" s="134"/>
      <c r="E50" s="134"/>
      <c r="F50" s="134"/>
      <c r="G50" s="134"/>
      <c r="H50" s="110"/>
      <c r="I50" s="171" t="s">
        <v>14</v>
      </c>
      <c r="J50" s="207" t="s">
        <v>15</v>
      </c>
    </row>
    <row r="51" spans="1:10" ht="24" customHeight="1">
      <c r="A51" s="203"/>
      <c r="B51" s="209"/>
      <c r="C51" s="7" t="s">
        <v>732</v>
      </c>
      <c r="D51" s="4">
        <v>2026</v>
      </c>
      <c r="E51" s="4">
        <v>2027</v>
      </c>
      <c r="F51" s="4">
        <v>2028</v>
      </c>
      <c r="G51" s="4">
        <v>2029</v>
      </c>
      <c r="H51" s="4">
        <v>2030</v>
      </c>
      <c r="I51" s="137"/>
      <c r="J51" s="137"/>
    </row>
    <row r="52" spans="1:10">
      <c r="A52" s="14">
        <v>2</v>
      </c>
      <c r="B52" t="str">
        <f>'8 Deporte universitario'!I4</f>
        <v>Mejorar o mantener de forma conservadora en la Facultad de Ingeniería el indicador IND-PRDI-372, con la trayectoria 2027: 39.08%, 2028: 39.65%, 2029: 40.42%, 2030: 40.97%, sustentada en referencia PRDI; no existe serie histórica directamente comparable para la variable.</v>
      </c>
      <c r="C52" s="32" t="e">
        <f>'8 Deporte universitario'!#REF!</f>
        <v>#REF!</v>
      </c>
      <c r="D52" s="32" t="str">
        <f>'8 Deporte universitario'!R4</f>
        <v/>
      </c>
      <c r="E52" s="32">
        <f>'8 Deporte universitario'!S4</f>
        <v>39.08450704225352</v>
      </c>
      <c r="F52" s="32">
        <f>'8 Deporte universitario'!T4</f>
        <v>39.649122807017548</v>
      </c>
      <c r="G52" s="32">
        <f>'8 Deporte universitario'!U4</f>
        <v>40.418118466898953</v>
      </c>
      <c r="H52" s="32">
        <f>'8 Deporte universitario'!V4</f>
        <v>40.972222222222221</v>
      </c>
      <c r="I52" t="str">
        <f>'8 Deporte universitario'!W4</f>
        <v>Anual</v>
      </c>
      <c r="J52" t="str">
        <f>'8 Deporte universitario'!X4</f>
        <v>Coordinación de Actividades Deportivas</v>
      </c>
    </row>
    <row r="53" spans="1:10">
      <c r="C53" s="32"/>
      <c r="D53" s="32"/>
      <c r="E53" s="32"/>
      <c r="F53" s="32"/>
      <c r="G53" s="32"/>
      <c r="H53" s="32"/>
    </row>
    <row r="54" spans="1:10">
      <c r="A54" s="14">
        <v>3</v>
      </c>
      <c r="B54" t="str">
        <f>'8 Deporte universitario'!I6</f>
        <v>Mejorar o mantener de forma conservadora en la Facultad de Ingeniería el indicador IND-PRDI-374, con la trayectoria 2027: 29.11%, 2028: 29.11%, 2029: 30%, 2030: 30%, sustentada en referencia PRDI; no existe serie histórica directamente comparable para la variable. Sustento en la Matriz de consistencia: «Realizar 1 revisión documentada de el acceso a espacios y actividades deportivas en 2027 y actualizarla una vez al año de 2028 a 2030.»</v>
      </c>
      <c r="C54" s="32" t="e">
        <f>'8 Deporte universitario'!#REF!</f>
        <v>#REF!</v>
      </c>
      <c r="D54" s="32" t="str">
        <f>'8 Deporte universitario'!R6</f>
        <v/>
      </c>
      <c r="E54" s="32">
        <f>'8 Deporte universitario'!S6</f>
        <v>29.11392405063291</v>
      </c>
      <c r="F54" s="32">
        <f>'8 Deporte universitario'!T6</f>
        <v>29.11392405063291</v>
      </c>
      <c r="G54" s="32">
        <f>'8 Deporte universitario'!U6</f>
        <v>30</v>
      </c>
      <c r="H54" s="32">
        <f>'8 Deporte universitario'!V6</f>
        <v>30</v>
      </c>
      <c r="I54" t="str">
        <f>'8 Deporte universitario'!W6</f>
        <v>Anual</v>
      </c>
      <c r="J54" t="str">
        <f>'8 Deporte universitario'!X6</f>
        <v>Coordinación de Actividades Deportivas</v>
      </c>
    </row>
    <row r="55" spans="1:10">
      <c r="C55" s="32"/>
      <c r="D55" s="32"/>
      <c r="E55" s="32"/>
      <c r="F55" s="32"/>
      <c r="G55" s="32"/>
      <c r="H55" s="32"/>
    </row>
    <row r="56" spans="1:10">
      <c r="A56" s="14">
        <v>4</v>
      </c>
      <c r="B56" t="str">
        <f>'8 Deporte universitario'!I8</f>
        <v>Mejorar o mantener de forma conservadora en la Facultad de Ingeniería el indicador IND-PRDI-377, con la trayectoria 2027: 47.51%, 2028: 48.34%, 2029: 49.16%, 2030: 50%, sustentada en referencia PRDI; no existe serie histórica directamente comparable para la variable. Sustento en la Matriz de consistencia: «Realizar 1 reunión y 1 encuesta a estudiantes y responsables deportivos cada año de 2028 a 2030 y documentar los ajustes derivados.»</v>
      </c>
      <c r="C56" s="32" t="e">
        <f>'8 Deporte universitario'!#REF!</f>
        <v>#REF!</v>
      </c>
      <c r="D56" s="32" t="str">
        <f>'8 Deporte universitario'!R8</f>
        <v/>
      </c>
      <c r="E56" s="32">
        <f>'8 Deporte universitario'!S8</f>
        <v>47.507527601204416</v>
      </c>
      <c r="F56" s="32">
        <f>'8 Deporte universitario'!T8</f>
        <v>48.335552596537951</v>
      </c>
      <c r="G56" s="32">
        <f>'8 Deporte universitario'!U8</f>
        <v>49.155349453461412</v>
      </c>
      <c r="H56" s="32">
        <f>'8 Deporte universitario'!V8</f>
        <v>50</v>
      </c>
      <c r="I56" t="str">
        <f>'8 Deporte universitario'!W8</f>
        <v>Anual</v>
      </c>
      <c r="J56" t="str">
        <f>'8 Deporte universitario'!X8</f>
        <v>Coordinación de Actividades Deportivas</v>
      </c>
    </row>
    <row r="59" spans="1:10">
      <c r="A59" s="39" t="s">
        <v>736</v>
      </c>
    </row>
    <row r="60" spans="1:10">
      <c r="A60" s="202" t="s">
        <v>730</v>
      </c>
      <c r="B60" s="208" t="s">
        <v>731</v>
      </c>
      <c r="C60" s="204" t="s">
        <v>13</v>
      </c>
      <c r="D60" s="134"/>
      <c r="E60" s="134"/>
      <c r="F60" s="134"/>
      <c r="G60" s="134"/>
      <c r="H60" s="110"/>
      <c r="I60" s="171" t="s">
        <v>14</v>
      </c>
      <c r="J60" s="207" t="s">
        <v>15</v>
      </c>
    </row>
    <row r="61" spans="1:10" ht="24" customHeight="1">
      <c r="A61" s="203"/>
      <c r="B61" s="209"/>
      <c r="C61" s="7" t="s">
        <v>732</v>
      </c>
      <c r="D61" s="4">
        <v>2026</v>
      </c>
      <c r="E61" s="4">
        <v>2027</v>
      </c>
      <c r="F61" s="4">
        <v>2028</v>
      </c>
      <c r="G61" s="4">
        <v>2029</v>
      </c>
      <c r="H61" s="4">
        <v>2030</v>
      </c>
      <c r="I61" s="137"/>
      <c r="J61" s="137"/>
    </row>
    <row r="62" spans="1:10">
      <c r="A62" s="14">
        <v>1</v>
      </c>
      <c r="B62" t="str">
        <f t="array" ref="B62:B63">'9 Fortalecimiento docente'!I3:I4</f>
        <v>Mejorar o mantener de forma conservadora en la Facultad de Ingeniería el indicador IND-NS-212, con la trayectoria 2027: 61.62%, 2028: 62.81%, 2029: 63.76%, 2030: 64.93%, sustentada en referencia PRDI; no existe serie histórica directamente comparable para la variable.</v>
      </c>
      <c r="C62" t="e">
        <f>'9 Fortalecimiento docente'!#REF!</f>
        <v>#REF!</v>
      </c>
      <c r="D62" t="str">
        <f>'9 Fortalecimiento docente'!R3</f>
        <v/>
      </c>
      <c r="E62">
        <f>'9 Fortalecimiento docente'!S3</f>
        <v>61.619718309859152</v>
      </c>
      <c r="F62">
        <f>'9 Fortalecimiento docente'!T3</f>
        <v>62.807017543859644</v>
      </c>
      <c r="G62">
        <f>'9 Fortalecimiento docente'!U3</f>
        <v>63.763066202090592</v>
      </c>
      <c r="H62">
        <f>'9 Fortalecimiento docente'!V3</f>
        <v>64.930555555555557</v>
      </c>
      <c r="I62" t="str">
        <f>'9 Fortalecimiento docente'!W3</f>
        <v>Anual</v>
      </c>
      <c r="J62" t="str">
        <f>'9 Fortalecimiento docente'!X3</f>
        <v>Subdirección Académica</v>
      </c>
    </row>
    <row r="63" spans="1:10">
      <c r="B63">
        <v>0</v>
      </c>
    </row>
    <row r="64" spans="1:10">
      <c r="A64" s="14">
        <v>2</v>
      </c>
      <c r="B64" t="str">
        <f t="array" ref="B64:B65">'9 Fortalecimiento docente'!I5:I6</f>
        <v>Mejorar o mantener de forma conservadora en la Facultad de Ingeniería el indicador IND-PRDI-371, con la trayectoria 2027: 23.59%, 2028: 24.21%, 2029: 24.74%, 2030: 25%, sustentada en referencia PRDI; no existe serie histórica directamente comparable para la variable.</v>
      </c>
      <c r="C64" t="e">
        <f>'9 Fortalecimiento docente'!#REF!</f>
        <v>#REF!</v>
      </c>
      <c r="D64" t="str">
        <f>'9 Fortalecimiento docente'!R5</f>
        <v/>
      </c>
      <c r="E64">
        <f>'9 Fortalecimiento docente'!S5</f>
        <v>23.591549295774648</v>
      </c>
      <c r="F64">
        <f>'9 Fortalecimiento docente'!T5</f>
        <v>24.210526315789473</v>
      </c>
      <c r="G64">
        <f>'9 Fortalecimiento docente'!U5</f>
        <v>24.738675958188153</v>
      </c>
      <c r="H64">
        <f>'9 Fortalecimiento docente'!V5</f>
        <v>25</v>
      </c>
      <c r="I64" t="str">
        <f>'9 Fortalecimiento docente'!W5</f>
        <v>Anual</v>
      </c>
      <c r="J64" t="str">
        <f>'9 Fortalecimiento docente'!X5</f>
        <v>Subdirección Académica</v>
      </c>
    </row>
    <row r="65" spans="1:10">
      <c r="B65">
        <v>0</v>
      </c>
    </row>
    <row r="66" spans="1:10">
      <c r="A66" s="14">
        <v>3</v>
      </c>
      <c r="B66" t="str">
        <f t="array" ref="B66:B67">'9 Fortalecimiento docente'!I7:I8</f>
        <v>Mejorar o mantener de forma conservadora en la Facultad de Ingeniería el indicador IND-PRDI-373, con la trayectoria 2027: 47.54%, 2028: 48.42%, 2029: 49.13%, 2030: 50%, sustentada en referencia PRDI; no existe serie histórica directamente comparable para la variable. Sustento en la Matriz de consistencia: «Realizar 1 revisión documentada de las necesidades didácticas y de tutoría en 2027 y actualizarla una vez al año de 2028 a 2030.»</v>
      </c>
      <c r="C66" t="e">
        <f>'9 Fortalecimiento docente'!#REF!</f>
        <v>#REF!</v>
      </c>
      <c r="D66" t="str">
        <f>'9 Fortalecimiento docente'!R7</f>
        <v/>
      </c>
      <c r="E66">
        <f>'9 Fortalecimiento docente'!S7</f>
        <v>47.535211267605632</v>
      </c>
      <c r="F66">
        <f>'9 Fortalecimiento docente'!T7</f>
        <v>48.421052631578945</v>
      </c>
      <c r="G66">
        <f>'9 Fortalecimiento docente'!U7</f>
        <v>49.128919860627178</v>
      </c>
      <c r="H66">
        <f>'9 Fortalecimiento docente'!V7</f>
        <v>50</v>
      </c>
      <c r="I66" t="str">
        <f>'9 Fortalecimiento docente'!W7</f>
        <v>Anual</v>
      </c>
      <c r="J66" t="str">
        <f>'9 Fortalecimiento docente'!X7</f>
        <v>Subdirección Académica</v>
      </c>
    </row>
    <row r="67" spans="1:10">
      <c r="B67">
        <v>0</v>
      </c>
    </row>
    <row r="68" spans="1:10">
      <c r="A68" s="14">
        <v>4</v>
      </c>
      <c r="B68" t="str">
        <f t="array" ref="B68:B69">'9 Fortalecimiento docente'!I9:I10</f>
        <v>Mejorar o mantener de forma conservadora en la Facultad de Ingeniería el indicador IND-PRDI-375, con la trayectoria 2027: 96.13%, 2028: 97.19%, 2029: 98.61%, 2030: 100%, sustentada en referencia PRDI; no existe serie histórica directamente comparable para la variable.</v>
      </c>
      <c r="C68" t="e">
        <f>'9 Fortalecimiento docente'!#REF!</f>
        <v>#REF!</v>
      </c>
      <c r="D68" t="str">
        <f>'9 Fortalecimiento docente'!R9</f>
        <v/>
      </c>
      <c r="E68">
        <f>'9 Fortalecimiento docente'!S9</f>
        <v>96.126760563380287</v>
      </c>
      <c r="F68">
        <f>'9 Fortalecimiento docente'!T9</f>
        <v>97.192982456140356</v>
      </c>
      <c r="G68">
        <f>'9 Fortalecimiento docente'!U9</f>
        <v>98.606271777003485</v>
      </c>
      <c r="H68">
        <f>'9 Fortalecimiento docente'!V9</f>
        <v>100</v>
      </c>
      <c r="I68" t="str">
        <f>'9 Fortalecimiento docente'!W9</f>
        <v>Anual</v>
      </c>
      <c r="J68" t="str">
        <f>'9 Fortalecimiento docente'!X9</f>
        <v>Subdirección Académica</v>
      </c>
    </row>
    <row r="69" spans="1:10">
      <c r="B69">
        <v>0</v>
      </c>
    </row>
    <row r="70" spans="1:10">
      <c r="A70" s="14">
        <v>5</v>
      </c>
      <c r="B70" t="str">
        <f t="array" ref="B70:B71">'9 Fortalecimiento docente'!I11:I12</f>
        <v>Mejorar o mantener de forma conservadora en la Facultad de Ingeniería el indicador IND-PRDI-376, con la trayectoria 2027: 23.59%, 2028: 24.21%, 2029: 24.74%, 2030: 25%, sustentada en referencia PRDI; no existe serie histórica directamente comparable para la variable.</v>
      </c>
      <c r="C70" t="e">
        <f>'9 Fortalecimiento docente'!#REF!</f>
        <v>#REF!</v>
      </c>
      <c r="D70" t="str">
        <f>'9 Fortalecimiento docente'!R11</f>
        <v/>
      </c>
      <c r="E70">
        <f>'9 Fortalecimiento docente'!S11</f>
        <v>23.591549295774648</v>
      </c>
      <c r="F70">
        <f>'9 Fortalecimiento docente'!T11</f>
        <v>24.210526315789473</v>
      </c>
      <c r="G70">
        <f>'9 Fortalecimiento docente'!U11</f>
        <v>24.738675958188153</v>
      </c>
      <c r="H70">
        <f>'9 Fortalecimiento docente'!V11</f>
        <v>25</v>
      </c>
      <c r="I70" t="str">
        <f>'9 Fortalecimiento docente'!W11</f>
        <v>Anual</v>
      </c>
      <c r="J70" t="str">
        <f>'9 Fortalecimiento docente'!X11</f>
        <v>Subdirección Académica</v>
      </c>
    </row>
    <row r="71" spans="1:10">
      <c r="B71">
        <v>0</v>
      </c>
    </row>
    <row r="72" spans="1:10">
      <c r="A72" s="14">
        <v>8</v>
      </c>
      <c r="B72" t="str">
        <f>'9 Fortalecimiento docente'!I15</f>
        <v>Mejorar o mantener de forma conservadora en la Facultad de Ingeniería el indicador IND-PRDI-47, con la trayectoria 2027: 71.43%, 2028: 72.86%, 2029: 73.24%, 2030: 74.65%, sustentada en referencia PRDI; no existe serie histórica directamente comparable para la variable. Sustento en la Matriz de consistencia: «Realizar 1 reunión y 1 encuesta a profesorado y estudiantes de cada licenciatura cada año de 2028 a 2030 y documentar los ajustes derivados.»</v>
      </c>
      <c r="C72" t="e">
        <f>'9 Fortalecimiento docente'!#REF!</f>
        <v>#REF!</v>
      </c>
      <c r="D72" t="str">
        <f>'9 Fortalecimiento docente'!R15</f>
        <v/>
      </c>
      <c r="E72">
        <f>'9 Fortalecimiento docente'!S15</f>
        <v>71.428571428571431</v>
      </c>
      <c r="F72">
        <f>'9 Fortalecimiento docente'!T15</f>
        <v>72.857142857142847</v>
      </c>
      <c r="G72">
        <f>'9 Fortalecimiento docente'!U15</f>
        <v>73.239436619718319</v>
      </c>
      <c r="H72">
        <f>'9 Fortalecimiento docente'!V15</f>
        <v>74.647887323943664</v>
      </c>
      <c r="I72" t="str">
        <f>'9 Fortalecimiento docente'!W15</f>
        <v>Acumulada</v>
      </c>
      <c r="J72" t="str">
        <f>'9 Fortalecimiento docente'!X15</f>
        <v>Subdirección Académica</v>
      </c>
    </row>
    <row r="75" spans="1:10">
      <c r="A75" s="39" t="s">
        <v>737</v>
      </c>
    </row>
    <row r="76" spans="1:10">
      <c r="A76" s="202" t="s">
        <v>730</v>
      </c>
      <c r="B76" s="208" t="s">
        <v>731</v>
      </c>
      <c r="C76" s="204" t="s">
        <v>13</v>
      </c>
      <c r="D76" s="134"/>
      <c r="E76" s="134"/>
      <c r="F76" s="134"/>
      <c r="G76" s="134"/>
      <c r="H76" s="110"/>
      <c r="I76" s="171" t="s">
        <v>14</v>
      </c>
      <c r="J76" s="207" t="s">
        <v>15</v>
      </c>
    </row>
    <row r="77" spans="1:10" ht="24" customHeight="1">
      <c r="A77" s="203"/>
      <c r="B77" s="209"/>
      <c r="C77" s="7" t="s">
        <v>732</v>
      </c>
      <c r="D77" s="4">
        <v>2026</v>
      </c>
      <c r="E77" s="4">
        <v>2027</v>
      </c>
      <c r="F77" s="4">
        <v>2028</v>
      </c>
      <c r="G77" s="4">
        <v>2029</v>
      </c>
      <c r="H77" s="4">
        <v>2030</v>
      </c>
      <c r="I77" s="137"/>
      <c r="J77" s="137"/>
    </row>
    <row r="78" spans="1:10">
      <c r="A78" s="14">
        <v>1</v>
      </c>
      <c r="B78" t="str">
        <f>'10 Dignificación las y los trab'!I3</f>
        <v>Mejorar o mantener de forma conservadora en la Facultad de Ingeniería el indicador IND-PRDI-378, con la trayectoria 2027: 75.95%, 2028: 77.22%, 2029: 78.75%, 2030: 80%, sustentada en referencia PRDI; no existe serie histórica directamente comparable para la variable. Sustento en la Matriz de consistencia: «Realizar 1 diagnóstico de necesidades del personal en 2027 y ejecutar 1 programa anual de mejora de 2028 a 2030.»</v>
      </c>
      <c r="C78" t="e">
        <f>'10 Dignificación las y los trab'!#REF!</f>
        <v>#REF!</v>
      </c>
      <c r="D78" t="str">
        <f>'10 Dignificación las y los trab'!R3</f>
        <v/>
      </c>
      <c r="E78">
        <f>'10 Dignificación las y los trab'!S3</f>
        <v>75.949367088607602</v>
      </c>
      <c r="F78">
        <f>'10 Dignificación las y los trab'!T3</f>
        <v>77.215189873417728</v>
      </c>
      <c r="G78">
        <f>'10 Dignificación las y los trab'!U3</f>
        <v>78.75</v>
      </c>
      <c r="H78">
        <f>'10 Dignificación las y los trab'!V3</f>
        <v>80</v>
      </c>
      <c r="I78" t="str">
        <f>'10 Dignificación las y los trab'!W3</f>
        <v>Anual</v>
      </c>
      <c r="J78" t="str">
        <f>'10 Dignificación las y los trab'!X3</f>
        <v>Subdirección Administrativa</v>
      </c>
    </row>
    <row r="80" spans="1:10">
      <c r="A80" s="14">
        <v>2</v>
      </c>
      <c r="B80" t="str">
        <f>'10 Dignificación las y los trab'!I5</f>
        <v>Mejorar o mantener de forma conservadora en la Facultad de Ingeniería el indicador IND-PRDI-380, con la trayectoria 2027: 32.91%, 2028: 34.18%, 2029: 35%, 2030: 35%, sustentada en referencia PRDI; no existe serie histórica directamente comparable para la variable. Sustento en la Matriz de consistencia: «Realizar 1 reunión y 1 encuesta a personal académico y administrativo cada año de 2028 a 2030 y documentar los ajustes derivados.»</v>
      </c>
      <c r="C80" t="e">
        <f>'10 Dignificación las y los trab'!#REF!</f>
        <v>#REF!</v>
      </c>
      <c r="D80" t="str">
        <f>'10 Dignificación las y los trab'!R5</f>
        <v/>
      </c>
      <c r="E80">
        <f>'10 Dignificación las y los trab'!S5</f>
        <v>32.911392405063289</v>
      </c>
      <c r="F80">
        <f>'10 Dignificación las y los trab'!T5</f>
        <v>34.177215189873415</v>
      </c>
      <c r="G80">
        <f>'10 Dignificación las y los trab'!U5</f>
        <v>35</v>
      </c>
      <c r="H80">
        <f>'10 Dignificación las y los trab'!V5</f>
        <v>35</v>
      </c>
      <c r="I80" t="str">
        <f>'10 Dignificación las y los trab'!W5</f>
        <v>Anual</v>
      </c>
      <c r="J80" t="str">
        <f>'10 Dignificación las y los trab'!X5</f>
        <v>Subdirección Administrativa</v>
      </c>
    </row>
    <row r="82" spans="1:10">
      <c r="A82" s="14">
        <v>3</v>
      </c>
      <c r="B82" t="str">
        <f>'10 Dignificación las y los trab'!I7</f>
        <v>Mejorar o mantener de forma conservadora en la Facultad de Ingeniería el indicador IND-PRDI-382, con la trayectoria 2027: 19.01%, 2028: 19.45%, 2029: 19.62%, 2030: 20.11%, sustentada en referencia PRDI; no existe serie histórica directamente comparable para la variable. Sustento en la Matriz de consistencia: «Realizar 1 revisión documentada de las condiciones y necesidades del personal en 2027 y actualizarla una vez al año de 2028 a 2030.»</v>
      </c>
      <c r="C82" t="e">
        <f>'10 Dignificación las y los trab'!#REF!</f>
        <v>#REF!</v>
      </c>
      <c r="D82" t="str">
        <f>'10 Dignificación las y los trab'!R7</f>
        <v/>
      </c>
      <c r="E82">
        <f>'10 Dignificación las y los trab'!S7</f>
        <v>19.008264462809919</v>
      </c>
      <c r="F82">
        <f>'10 Dignificación las y los trab'!T7</f>
        <v>19.452054794520549</v>
      </c>
      <c r="G82">
        <f>'10 Dignificación las y los trab'!U7</f>
        <v>19.618528610354225</v>
      </c>
      <c r="H82">
        <f>'10 Dignificación las y los trab'!V7</f>
        <v>20.108695652173914</v>
      </c>
      <c r="I82" t="str">
        <f>'10 Dignificación las y los trab'!W7</f>
        <v>Anual</v>
      </c>
      <c r="J82" t="str">
        <f>'10 Dignificación las y los trab'!X7</f>
        <v>Subdirección Administrativa</v>
      </c>
    </row>
    <row r="85" spans="1:10">
      <c r="A85" s="39" t="s">
        <v>738</v>
      </c>
    </row>
    <row r="86" spans="1:10">
      <c r="A86" s="202" t="s">
        <v>730</v>
      </c>
      <c r="B86" s="208" t="s">
        <v>731</v>
      </c>
      <c r="C86" s="204" t="s">
        <v>13</v>
      </c>
      <c r="D86" s="134"/>
      <c r="E86" s="134"/>
      <c r="F86" s="134"/>
      <c r="G86" s="134"/>
      <c r="H86" s="110"/>
      <c r="I86" s="171" t="s">
        <v>14</v>
      </c>
      <c r="J86" s="207" t="s">
        <v>15</v>
      </c>
    </row>
    <row r="87" spans="1:10" ht="24" customHeight="1">
      <c r="A87" s="203"/>
      <c r="B87" s="209"/>
      <c r="C87" s="7" t="s">
        <v>732</v>
      </c>
      <c r="D87" s="4">
        <v>2026</v>
      </c>
      <c r="E87" s="4">
        <v>2027</v>
      </c>
      <c r="F87" s="4">
        <v>2028</v>
      </c>
      <c r="G87" s="4">
        <v>2029</v>
      </c>
      <c r="H87" s="4">
        <v>2030</v>
      </c>
      <c r="I87" s="137"/>
      <c r="J87" s="137"/>
    </row>
    <row r="88" spans="1:10">
      <c r="A88" s="14">
        <v>1</v>
      </c>
      <c r="B88" t="str">
        <f t="array" ref="B88:B89">'18 Reconocimiento de la diversi'!I3:I4</f>
        <v>Mejorar o mantener de forma conservadora en la Facultad de Ingeniería el indicador IND-PRDI-431, con la trayectoria 2027: 38.01%, 2028: 38.68%, 2029: 39.32%, 2030: 40.01%, sustentada en referencia PRDI; no existe serie histórica directamente comparable para la variable. Sustento en la Matriz de consistencia: «Realizar 1 reunión y 1 encuesta a estudiantes y profesorado de cada licenciatura cada año de 2028 a 2030 y documentar los ajustes derivados.»</v>
      </c>
      <c r="C88" t="e">
        <f t="array" ref="C88">'18 Reconocimiento de la diversi'!#REF!</f>
        <v>#REF!</v>
      </c>
      <c r="D88" t="str">
        <f t="array" ref="D88:D89">'18 Reconocimiento de la diversi'!R3:R4</f>
        <v/>
      </c>
      <c r="E88">
        <f t="array" ref="E88:E89">'18 Reconocimiento de la diversi'!S3:S4</f>
        <v>38.006022080963533</v>
      </c>
      <c r="F88">
        <f t="array" ref="F88:F89">'18 Reconocimiento de la diversi'!T3:T4</f>
        <v>38.681757656458053</v>
      </c>
      <c r="G88">
        <f t="array" ref="G88:G89">'18 Reconocimiento de la diversi'!U3:U4</f>
        <v>39.317654852600199</v>
      </c>
      <c r="H88">
        <f t="array" ref="H88:H89">'18 Reconocimiento de la diversi'!V3:V4</f>
        <v>40.013183915622939</v>
      </c>
      <c r="I88" t="str">
        <f t="array" ref="I88:I89">'18 Reconocimiento de la diversi'!W3:W4</f>
        <v>Anual</v>
      </c>
      <c r="J88" t="str">
        <f t="array" ref="J88:J89">'18 Reconocimiento de la diversi'!X3:X4</f>
        <v>Unidad de Igualdad de Género</v>
      </c>
    </row>
    <row r="89" spans="1:10">
      <c r="B89">
        <v>0</v>
      </c>
      <c r="D89">
        <v>0</v>
      </c>
      <c r="E89">
        <v>0</v>
      </c>
      <c r="F89">
        <v>0</v>
      </c>
      <c r="G89">
        <v>0</v>
      </c>
      <c r="H89">
        <v>0</v>
      </c>
      <c r="I89">
        <v>0</v>
      </c>
      <c r="J89">
        <v>0</v>
      </c>
    </row>
    <row r="90" spans="1:10">
      <c r="A90" s="14">
        <v>3</v>
      </c>
      <c r="B90" t="str">
        <f t="array" ref="B90:B91">'18 Reconocimiento de la diversi'!I6:I7</f>
        <v>Mejorar o mantener de forma conservadora en la Facultad de Ingeniería el indicador IND-PRDI-407, con la trayectoria 2027: 5%, 2028: 5%, 2029: 5%, 2030: 5%, sustentada en referencia PRDI; no existe serie histórica directamente comparable para la variable.</v>
      </c>
      <c r="C90" t="e">
        <f t="array" ref="C90">'18 Reconocimiento de la diversi'!#REF!</f>
        <v>#REF!</v>
      </c>
      <c r="D90" t="str">
        <f t="array" ref="D90:D91">'18 Reconocimiento de la diversi'!R6:R7</f>
        <v/>
      </c>
      <c r="E90">
        <f t="array" ref="E90:E91">'18 Reconocimiento de la diversi'!S6:S7</f>
        <v>5</v>
      </c>
      <c r="F90">
        <f t="array" ref="F90:F91">'18 Reconocimiento de la diversi'!T6:T7</f>
        <v>5</v>
      </c>
      <c r="G90">
        <f t="array" ref="G90:G91">'18 Reconocimiento de la diversi'!U6:U7</f>
        <v>5</v>
      </c>
      <c r="H90">
        <f t="array" ref="H90:H91">'18 Reconocimiento de la diversi'!V6:V7</f>
        <v>5</v>
      </c>
      <c r="I90" t="str">
        <f t="array" ref="I90:I91">'18 Reconocimiento de la diversi'!W6:W7</f>
        <v>Anual</v>
      </c>
      <c r="J90" t="str">
        <f t="array" ref="J90:J91">'18 Reconocimiento de la diversi'!X6:X7</f>
        <v>Unidad de Igualdad de Género</v>
      </c>
    </row>
    <row r="91" spans="1:10">
      <c r="B91">
        <v>0</v>
      </c>
      <c r="D91">
        <v>0</v>
      </c>
      <c r="E91">
        <v>0</v>
      </c>
      <c r="F91">
        <v>0</v>
      </c>
      <c r="G91">
        <v>0</v>
      </c>
      <c r="H91">
        <v>0</v>
      </c>
      <c r="I91">
        <v>0</v>
      </c>
      <c r="J91">
        <v>0</v>
      </c>
    </row>
    <row r="93" spans="1:10">
      <c r="A93" s="39" t="s">
        <v>739</v>
      </c>
    </row>
    <row r="94" spans="1:10">
      <c r="A94" s="202" t="s">
        <v>730</v>
      </c>
      <c r="B94" s="208" t="s">
        <v>731</v>
      </c>
      <c r="C94" s="204" t="s">
        <v>13</v>
      </c>
      <c r="D94" s="134"/>
      <c r="E94" s="134"/>
      <c r="F94" s="134"/>
      <c r="G94" s="134"/>
      <c r="H94" s="110"/>
      <c r="I94" s="171" t="s">
        <v>14</v>
      </c>
      <c r="J94" s="207" t="s">
        <v>15</v>
      </c>
    </row>
    <row r="95" spans="1:10" ht="24" customHeight="1">
      <c r="A95" s="203"/>
      <c r="B95" s="209"/>
      <c r="C95" s="7" t="s">
        <v>732</v>
      </c>
      <c r="D95" s="4">
        <v>2026</v>
      </c>
      <c r="E95" s="4">
        <v>2027</v>
      </c>
      <c r="F95" s="4">
        <v>2028</v>
      </c>
      <c r="G95" s="4">
        <v>2029</v>
      </c>
      <c r="H95" s="4">
        <v>2030</v>
      </c>
      <c r="I95" s="137"/>
      <c r="J95" s="137"/>
    </row>
    <row r="96" spans="1:10">
      <c r="A96" s="14">
        <v>1</v>
      </c>
      <c r="B96" t="str">
        <f t="array" ref="B96">'19 Constr cultura de paz '!I3:I3</f>
        <v>Contribuir desde la Facultad de Ingeniería al cumplimiento de la meta PRDI “Certificar anualmente a 10.03% del personal académico, administrativo de confianza y directivo, en competencias básicas de mediación, gestión pacífica de conflictos y atención a las violencias”, con valores absolutos programados de 2027: 6, 2028: 7, 2029: 7, 2030: 9. Sustento en la Matriz de consistencia: «Mantener al menos 5 acciones de capacitación registradas en cada medición anual de 2027 a 2030.»</v>
      </c>
      <c r="C96" t="e">
        <f t="array" ref="C96">'19 Constr cultura de paz '!#REF!</f>
        <v>#REF!</v>
      </c>
      <c r="D96">
        <f t="array" ref="D96">'19 Constr cultura de paz '!R3:R3</f>
        <v>5</v>
      </c>
      <c r="E96">
        <f t="array" ref="E96">'19 Constr cultura de paz '!S3:S3</f>
        <v>6</v>
      </c>
      <c r="F96">
        <f t="array" ref="F96">'19 Constr cultura de paz '!T3:T3</f>
        <v>7</v>
      </c>
      <c r="G96">
        <f t="array" ref="G96">'19 Constr cultura de paz '!U3:U3</f>
        <v>7</v>
      </c>
      <c r="H96">
        <f t="array" ref="H96">'19 Constr cultura de paz '!V3:V3</f>
        <v>9</v>
      </c>
      <c r="I96" t="str">
        <f t="array" ref="I96">'19 Constr cultura de paz '!W3:W3</f>
        <v>Anual</v>
      </c>
      <c r="J96" t="str">
        <f t="array" ref="J96">'19 Constr cultura de paz '!X3:X3</f>
        <v>Unidad de Igualdad de Género y Dirección</v>
      </c>
    </row>
    <row r="98" spans="1:10">
      <c r="A98" s="14">
        <v>5</v>
      </c>
      <c r="B98" t="str">
        <f t="array" ref="B98:B99">'19 Constr cultura de paz '!I7:I8</f>
        <v>Mejorar o mantener de forma conservadora en la Facultad de Ingeniería el indicador IND-PRDI-420, con la trayectoria 2027: 38.01%, 2028: 38.68%, 2029: 39.34%, 2030: 39.99%, sustentada en referencia PRDI; no existe serie histórica directamente comparable para la variable.</v>
      </c>
      <c r="C98" t="e">
        <f t="array" ref="C98">'19 Constr cultura de paz '!#REF!</f>
        <v>#REF!</v>
      </c>
      <c r="D98" t="str">
        <f t="array" ref="D98:D99">'19 Constr cultura de paz '!R7:R8</f>
        <v/>
      </c>
      <c r="E98">
        <f t="array" ref="E98:E99">'19 Constr cultura de paz '!S7:S8</f>
        <v>38.007159904534603</v>
      </c>
      <c r="F98">
        <f t="array" ref="F98:F99">'19 Constr cultura de paz '!T7:T8</f>
        <v>38.676165034134755</v>
      </c>
      <c r="G98">
        <f t="array" ref="G98:G99">'19 Constr cultura de paz '!U7:U8</f>
        <v>39.338452451269937</v>
      </c>
      <c r="H98">
        <f t="array" ref="H98:H99">'19 Constr cultura de paz '!V7:V8</f>
        <v>39.994122832794595</v>
      </c>
      <c r="I98" t="str">
        <f t="array" ref="I98:I99">'19 Constr cultura de paz '!W7:W8</f>
        <v xml:space="preserve">Anual </v>
      </c>
      <c r="J98" t="str">
        <f t="array" ref="J98:J99">'19 Constr cultura de paz '!X7:X8</f>
        <v>Unidad de Igualdad de Género y Dirección</v>
      </c>
    </row>
    <row r="99" spans="1:10">
      <c r="B99">
        <v>0</v>
      </c>
      <c r="D99">
        <v>0</v>
      </c>
      <c r="E99">
        <v>0</v>
      </c>
      <c r="F99">
        <v>0</v>
      </c>
      <c r="G99">
        <v>0</v>
      </c>
      <c r="H99">
        <v>0</v>
      </c>
      <c r="I99">
        <v>0</v>
      </c>
      <c r="J99">
        <v>0</v>
      </c>
    </row>
    <row r="101" spans="1:10">
      <c r="A101" s="39" t="s">
        <v>740</v>
      </c>
    </row>
    <row r="102" spans="1:10">
      <c r="A102" s="202" t="s">
        <v>730</v>
      </c>
      <c r="B102" s="208" t="s">
        <v>731</v>
      </c>
      <c r="C102" s="204" t="s">
        <v>13</v>
      </c>
      <c r="D102" s="134"/>
      <c r="E102" s="134"/>
      <c r="F102" s="134"/>
      <c r="G102" s="134"/>
      <c r="H102" s="110"/>
      <c r="I102" s="171" t="s">
        <v>14</v>
      </c>
      <c r="J102" s="207" t="s">
        <v>15</v>
      </c>
    </row>
    <row r="103" spans="1:10" ht="24" customHeight="1">
      <c r="A103" s="203"/>
      <c r="B103" s="209"/>
      <c r="C103" s="7" t="s">
        <v>732</v>
      </c>
      <c r="D103" s="4">
        <v>2026</v>
      </c>
      <c r="E103" s="4">
        <v>2027</v>
      </c>
      <c r="F103" s="4">
        <v>2028</v>
      </c>
      <c r="G103" s="4">
        <v>2029</v>
      </c>
      <c r="H103" s="4"/>
      <c r="I103" s="137"/>
      <c r="J103" s="137"/>
    </row>
    <row r="104" spans="1:10">
      <c r="A104" s="14">
        <v>7</v>
      </c>
      <c r="B104" t="str">
        <f t="array" ref="B104:B105">'20 Retribución social '!I9:I10</f>
        <v>Mejorar o mantener de forma conservadora en la Facultad de Ingeniería el indicador IND-PRDI-410, con la trayectoria 2027: 3.88%, 2028: 4.31%, 2029: 4.68%, 2030: 5%, sustentada en referencia PRDI; no existe serie histórica directamente comparable para la variable.</v>
      </c>
      <c r="C104" t="e">
        <f t="array" ref="C104">'20 Retribución social '!#REF!</f>
        <v>#REF!</v>
      </c>
      <c r="D104" t="str">
        <f t="array" ref="D104:D105">'20 Retribución social '!R9:R10</f>
        <v/>
      </c>
      <c r="E104">
        <f t="array" ref="E104:E105">'20 Retribución social '!S9:S10</f>
        <v>3.8805970149253799</v>
      </c>
      <c r="F104">
        <f t="array" ref="F104:F105">'20 Retribución social '!T9:T10</f>
        <v>4.31034482758621</v>
      </c>
      <c r="G104">
        <f t="array" ref="G104:G105">'20 Retribución social '!U9:U10</f>
        <v>4.6831955922864932</v>
      </c>
      <c r="H104">
        <f t="array" ref="H104:H105">'20 Retribución social '!V9:V10</f>
        <v>5.0000000000000044</v>
      </c>
      <c r="I104" t="str">
        <f t="array" ref="I104:I105">'20 Retribución social '!W9:W10</f>
        <v>Anual</v>
      </c>
      <c r="J104" t="str">
        <f t="array" ref="J104:J105">'20 Retribución social '!X9:X10</f>
        <v>Coordinación de Extensión y Vinculación</v>
      </c>
    </row>
    <row r="105" spans="1:10">
      <c r="B105">
        <v>0</v>
      </c>
      <c r="D105">
        <v>0</v>
      </c>
      <c r="E105">
        <v>0</v>
      </c>
      <c r="F105">
        <v>0</v>
      </c>
      <c r="G105">
        <v>0</v>
      </c>
      <c r="H105">
        <v>0</v>
      </c>
      <c r="I105">
        <v>0</v>
      </c>
      <c r="J105">
        <v>0</v>
      </c>
    </row>
  </sheetData>
  <mergeCells count="48">
    <mergeCell ref="I6:I7"/>
    <mergeCell ref="C102:G102"/>
    <mergeCell ref="I86:I87"/>
    <mergeCell ref="B50:B51"/>
    <mergeCell ref="A30:A31"/>
    <mergeCell ref="B76:B77"/>
    <mergeCell ref="B30:B31"/>
    <mergeCell ref="I50:I51"/>
    <mergeCell ref="J76:J77"/>
    <mergeCell ref="A102:A103"/>
    <mergeCell ref="B94:B95"/>
    <mergeCell ref="J50:J51"/>
    <mergeCell ref="C76:G76"/>
    <mergeCell ref="I60:I61"/>
    <mergeCell ref="C36:G36"/>
    <mergeCell ref="I94:I95"/>
    <mergeCell ref="B102:B103"/>
    <mergeCell ref="A4:J4"/>
    <mergeCell ref="J6:J7"/>
    <mergeCell ref="A36:A37"/>
    <mergeCell ref="J102:J103"/>
    <mergeCell ref="A6:A7"/>
    <mergeCell ref="J86:J87"/>
    <mergeCell ref="A50:A51"/>
    <mergeCell ref="J30:J31"/>
    <mergeCell ref="C94:G94"/>
    <mergeCell ref="A86:A87"/>
    <mergeCell ref="B60:B61"/>
    <mergeCell ref="C50:G50"/>
    <mergeCell ref="J36:J37"/>
    <mergeCell ref="I102:I103"/>
    <mergeCell ref="B6:B7"/>
    <mergeCell ref="A94:A95"/>
    <mergeCell ref="I76:I77"/>
    <mergeCell ref="C30:G30"/>
    <mergeCell ref="I30:I31"/>
    <mergeCell ref="A5:J5"/>
    <mergeCell ref="J60:J61"/>
    <mergeCell ref="C86:G86"/>
    <mergeCell ref="C6:G6"/>
    <mergeCell ref="A60:A61"/>
    <mergeCell ref="B86:B87"/>
    <mergeCell ref="I36:I37"/>
    <mergeCell ref="A29:J29"/>
    <mergeCell ref="A76:A77"/>
    <mergeCell ref="J94:J95"/>
    <mergeCell ref="B36:B37"/>
    <mergeCell ref="C60:G6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39997558519241921"/>
  </sheetPr>
  <dimension ref="A1:P224"/>
  <sheetViews>
    <sheetView showGridLines="0" topLeftCell="A198" zoomScale="85" zoomScaleNormal="85" workbookViewId="0">
      <selection activeCell="I178" sqref="I178"/>
    </sheetView>
  </sheetViews>
  <sheetFormatPr baseColWidth="10" defaultColWidth="11.44140625" defaultRowHeight="15"/>
  <cols>
    <col min="1" max="1" width="11.44140625" style="33" customWidth="1"/>
    <col min="2" max="2" width="29.6640625" style="33" customWidth="1"/>
    <col min="3" max="8" width="10.44140625" style="35" customWidth="1"/>
    <col min="9" max="9" width="12.6640625" style="35" customWidth="1"/>
    <col min="10" max="10" width="20.33203125" style="35" customWidth="1"/>
    <col min="11" max="11" width="11.88671875" style="33" bestFit="1" customWidth="1"/>
    <col min="12" max="12" width="11.44140625" style="33" customWidth="1"/>
    <col min="13" max="13" width="12.5546875" style="33" bestFit="1" customWidth="1"/>
    <col min="14" max="14" width="11.44140625" style="33" customWidth="1"/>
    <col min="15" max="16384" width="11.44140625" style="33"/>
  </cols>
  <sheetData>
    <row r="1" spans="1:11" ht="21.75" customHeight="1">
      <c r="F1" s="220" t="s">
        <v>741</v>
      </c>
      <c r="G1" s="216"/>
      <c r="H1" s="216"/>
      <c r="I1" s="216"/>
      <c r="J1" s="34">
        <v>46265</v>
      </c>
    </row>
    <row r="2" spans="1:11">
      <c r="K2" s="36"/>
    </row>
    <row r="4" spans="1:11" ht="19.5" customHeight="1">
      <c r="A4" s="218" t="s">
        <v>728</v>
      </c>
      <c r="B4" s="215"/>
      <c r="C4" s="216"/>
      <c r="D4" s="216"/>
      <c r="E4" s="216"/>
      <c r="F4" s="216"/>
      <c r="G4" s="216"/>
      <c r="H4" s="216"/>
      <c r="I4" s="216"/>
      <c r="J4" s="216"/>
    </row>
    <row r="5" spans="1:11" ht="16.5" customHeight="1">
      <c r="A5" s="214" t="s">
        <v>742</v>
      </c>
      <c r="B5" s="215"/>
      <c r="C5" s="216"/>
      <c r="D5" s="216"/>
      <c r="E5" s="216"/>
      <c r="F5" s="216"/>
      <c r="G5" s="216"/>
      <c r="H5" s="216"/>
      <c r="I5" s="216"/>
      <c r="J5" s="216"/>
    </row>
    <row r="6" spans="1:11">
      <c r="A6" s="217" t="s">
        <v>743</v>
      </c>
      <c r="B6" s="212" t="s">
        <v>731</v>
      </c>
      <c r="C6" s="212" t="s">
        <v>16</v>
      </c>
      <c r="D6" s="212">
        <v>2027</v>
      </c>
      <c r="E6" s="212">
        <v>2028</v>
      </c>
      <c r="F6" s="212">
        <v>2029</v>
      </c>
      <c r="G6" s="54" t="str">
        <f>TEXT($J$1,"mmmm")</f>
        <v>agosto</v>
      </c>
      <c r="H6" s="212" t="s">
        <v>744</v>
      </c>
      <c r="I6" s="212" t="s">
        <v>15</v>
      </c>
      <c r="J6" s="33"/>
    </row>
    <row r="7" spans="1:11" ht="16.5" customHeight="1" thickBot="1">
      <c r="A7" s="213"/>
      <c r="B7" s="213"/>
      <c r="C7" s="213"/>
      <c r="D7" s="213"/>
      <c r="E7" s="213"/>
      <c r="F7" s="213"/>
      <c r="G7" s="55">
        <v>2030</v>
      </c>
      <c r="H7" s="213"/>
      <c r="I7" s="213"/>
      <c r="J7" s="33"/>
    </row>
    <row r="8" spans="1:11" ht="16.5" customHeight="1" thickBot="1">
      <c r="A8" s="56">
        <v>1</v>
      </c>
      <c r="B8" s="57" t="str">
        <f>IF('2 EstudiantadoEstProf'!I3&lt;&gt;0,'2 EstudiantadoEstProf'!I3," -")</f>
        <v>Contribuir desde la Facultad de Ingeniería al cumplimiento de la meta PRDI “Incorporar contenidos temáticos o actividades académicas sobre los criterios transversales del seaes, en 30 planes de estudio reestructurados, durante la administración”, con valores absolutos programados de 2027: 1, 2028: 0, 2029: 0, 2030: 0.</v>
      </c>
      <c r="C8" s="58" t="str">
        <f>IF('2 EstudiantadoEstProf'!R3&lt;&gt;0,'2 EstudiantadoEstProf'!R3,"-")</f>
        <v/>
      </c>
      <c r="D8" s="58">
        <f>IF('2 EstudiantadoEstProf'!S3&lt;&gt;0,'2 EstudiantadoEstProf'!S3,"-")</f>
        <v>1</v>
      </c>
      <c r="E8" s="58" t="str">
        <f>IF('2 EstudiantadoEstProf'!T3&lt;&gt;0,'2 EstudiantadoEstProf'!T3,"-")</f>
        <v>-</v>
      </c>
      <c r="F8" s="58" t="str">
        <f>IF('2 EstudiantadoEstProf'!U3&lt;&gt;0,'2 EstudiantadoEstProf'!U3,"-")</f>
        <v>-</v>
      </c>
      <c r="G8" s="58" t="str">
        <f>IF('2 EstudiantadoEstProf'!V3&lt;&gt;0,'2 EstudiantadoEstProf'!V3,"-")</f>
        <v>-</v>
      </c>
      <c r="H8" s="58" t="str">
        <f>'2 EstudiantadoEstProf'!W3</f>
        <v>Anual</v>
      </c>
      <c r="I8" s="58" t="str">
        <f>IF('2 EstudiantadoEstProf'!X3&lt;&gt;0,'2 EstudiantadoEstProf'!X3,"-")</f>
        <v>Subdirección Académica y coordinaciones de licenciatura</v>
      </c>
      <c r="J8" s="33"/>
    </row>
    <row r="9" spans="1:11" ht="16.5" customHeight="1" thickBot="1">
      <c r="A9" s="56">
        <v>2</v>
      </c>
      <c r="B9" s="57" t="str">
        <f>IF('2 EstudiantadoEstProf'!I4&lt;&gt;0,'2 EstudiantadoEstProf'!I4," -")</f>
        <v>Contribuir desde la Facultad de Ingeniería al cumplimiento de la meta PRDI “Contar con el acervo de 120 unidades de aprendizaje de estudios profesionales apegados a las referencias documentales básicas durante la administración”, con valores absolutos programados de 2027: 1, 2028: 1, 2029: 1, 2030: 0.</v>
      </c>
      <c r="C9" s="58" t="str">
        <f>IF('2 EstudiantadoEstProf'!R4&lt;&gt;0,'2 EstudiantadoEstProf'!R4,"-")</f>
        <v/>
      </c>
      <c r="D9" s="58">
        <f>IF('2 EstudiantadoEstProf'!S4&lt;&gt;0,'2 EstudiantadoEstProf'!S4,"-")</f>
        <v>1</v>
      </c>
      <c r="E9" s="58">
        <f>IF('2 EstudiantadoEstProf'!T4&lt;&gt;0,'2 EstudiantadoEstProf'!T4,"-")</f>
        <v>1</v>
      </c>
      <c r="F9" s="58">
        <f>IF('2 EstudiantadoEstProf'!U4&lt;&gt;0,'2 EstudiantadoEstProf'!U4,"-")</f>
        <v>1</v>
      </c>
      <c r="G9" s="58" t="str">
        <f>IF('2 EstudiantadoEstProf'!V4&lt;&gt;0,'2 EstudiantadoEstProf'!V4,"-")</f>
        <v>-</v>
      </c>
      <c r="H9" s="58" t="str">
        <f>'2 EstudiantadoEstProf'!W4</f>
        <v>Anual</v>
      </c>
      <c r="I9" s="58" t="str">
        <f>IF('2 EstudiantadoEstProf'!X4&lt;&gt;0,'2 EstudiantadoEstProf'!X4,"-")</f>
        <v>Subdirección Académica y coordinaciones de licenciatura</v>
      </c>
      <c r="J9" s="33"/>
    </row>
    <row r="10" spans="1:11" ht="16.5" customHeight="1" thickBot="1">
      <c r="A10" s="56">
        <v>3</v>
      </c>
      <c r="B10" s="59" t="str">
        <f>IF('Indicadores x proyec'!B8&lt;&gt;0,'Indicadores x proyec'!B8,"-")</f>
        <v>Mejorar o mantener de forma conservadora en la Facultad de Ingeniería el indicador IND-NS-210, con la trayectoria 2027: 80%, 2028: 80%, 2029: 80%, 2030: 80%, sustentada en referencia PRDI; no existe serie histórica directamente comparable para la variable.</v>
      </c>
      <c r="C10" s="60" t="e">
        <f>IF('Indicadores x proyec'!D8/100&lt;&gt;0,'Indicadores x proyec'!D8/100,"-")</f>
        <v>#VALUE!</v>
      </c>
      <c r="D10" s="60">
        <f>IF('Indicadores x proyec'!E8/100&lt;&gt;0,'Indicadores x proyec'!E8/100,"-")</f>
        <v>0.8</v>
      </c>
      <c r="E10" s="60">
        <f>IF('Indicadores x proyec'!F8/100&lt;&gt;0,'Indicadores x proyec'!F8/100,"-")</f>
        <v>0.8</v>
      </c>
      <c r="F10" s="60">
        <f>IF('Indicadores x proyec'!G8/100&lt;&gt;0,'Indicadores x proyec'!G8/100,"-")</f>
        <v>0.8</v>
      </c>
      <c r="G10" s="60">
        <f>IF('Indicadores x proyec'!H8/100&lt;&gt;0,'Indicadores x proyec'!H8/100,"-")</f>
        <v>0.8</v>
      </c>
      <c r="H10" s="60" t="str">
        <f>'Indicadores x proyec'!I10</f>
        <v>Anual</v>
      </c>
      <c r="I10" s="58" t="str">
        <f>IF('Indicadores x proyec'!J8&lt;&gt;0,'Indicadores x proyec'!J8,"-")</f>
        <v>Subdirección Académica y coordinaciones de licenciatura</v>
      </c>
      <c r="J10" s="33"/>
    </row>
    <row r="11" spans="1:11" ht="16.5" customHeight="1" thickBot="1">
      <c r="A11" s="56">
        <v>4</v>
      </c>
      <c r="B11" s="59" t="str">
        <f>IF('Indicadores x proyec'!B10&lt;&gt;0,'Indicadores x proyec'!B10,"-")</f>
        <v>Mejorar o mantener de forma conservadora en la Facultad de Ingeniería el indicador IND-PRDI-351, con la trayectoria 2027: 88.89%, 2028: 90.25%, 2029: 91.55%, 2030: 92.91%, sustentada en referencia PRDI; no existe serie histórica directamente comparable para la variable.</v>
      </c>
      <c r="C11" s="60" t="e">
        <f>IF('Indicadores x proyec'!D10/100&lt;&gt;0,'Indicadores x proyec'!D10/100,"-")</f>
        <v>#VALUE!</v>
      </c>
      <c r="D11" s="60">
        <f>IF('Indicadores x proyec'!E10/100&lt;&gt;0,'Indicadores x proyec'!E10/100,"-")</f>
        <v>0.88892606222816994</v>
      </c>
      <c r="E11" s="60">
        <f>IF('Indicadores x proyec'!F10/100&lt;&gt;0,'Indicadores x proyec'!F10/100,"-")</f>
        <v>0.90246338215712385</v>
      </c>
      <c r="F11" s="60">
        <f>IF('Indicadores x proyec'!G10/100&lt;&gt;0,'Indicadores x proyec'!G10/100,"-")</f>
        <v>0.91553494534614122</v>
      </c>
      <c r="G11" s="60">
        <f>IF('Indicadores x proyec'!H10/100&lt;&gt;0,'Indicadores x proyec'!H10/100,"-")</f>
        <v>0.92913645352669727</v>
      </c>
      <c r="H11" s="60" t="str">
        <f>'Indicadores x proyec'!I10</f>
        <v>Anual</v>
      </c>
      <c r="I11" s="58" t="str">
        <f>IF('Indicadores x proyec'!J10&lt;&gt;0,'Indicadores x proyec'!J10,"-")</f>
        <v>Subdirección Académica y coordinaciones de licenciatura</v>
      </c>
      <c r="J11" s="33"/>
    </row>
    <row r="12" spans="1:11" ht="16.5" customHeight="1" thickBot="1">
      <c r="A12" s="56">
        <v>5</v>
      </c>
      <c r="B12" s="59" t="str">
        <f>IF('Indicadores x proyec'!B12&lt;&gt;0,'Indicadores x proyec'!B12,"-")</f>
        <v>Mejorar o mantener de forma conservadora en la Facultad de Ingeniería el indicador IND-PRDI-200, con la trayectoria 2027: 68%, 2028: 70%, 2029: 71.29%, 2030: 71.57%, sustentada en referencia PRDI; no existe serie histórica directamente comparable para la variable.</v>
      </c>
      <c r="C12" s="60" t="e">
        <f>IF('Indicadores x proyec'!D12/100&lt;&gt;0,'Indicadores x proyec'!D12/100,"-")</f>
        <v>#VALUE!</v>
      </c>
      <c r="D12" s="60">
        <f>IF('Indicadores x proyec'!E12/100&lt;&gt;0,'Indicadores x proyec'!E12/100,"-")</f>
        <v>0.68</v>
      </c>
      <c r="E12" s="60">
        <f>IF('Indicadores x proyec'!F12/100&lt;&gt;0,'Indicadores x proyec'!F12/100,"-")</f>
        <v>0.7</v>
      </c>
      <c r="F12" s="60">
        <f>IF('Indicadores x proyec'!G12/100&lt;&gt;0,'Indicadores x proyec'!G12/100,"-")</f>
        <v>0.71287128712871284</v>
      </c>
      <c r="G12" s="60">
        <f>IF('Indicadores x proyec'!H12/100&lt;&gt;0,'Indicadores x proyec'!H12/100,"-")</f>
        <v>0.71568627450980382</v>
      </c>
      <c r="H12" s="60" t="str">
        <f>'Indicadores x proyec'!I12</f>
        <v>Anual</v>
      </c>
      <c r="I12" s="58" t="str">
        <f>IF('Indicadores x proyec'!J12&lt;&gt;0,'Indicadores x proyec'!J12,"-")</f>
        <v>Subdirección Académica y coordinaciones de licenciatura</v>
      </c>
      <c r="J12" s="33"/>
    </row>
    <row r="13" spans="1:11" ht="16.5" customHeight="1" thickBot="1">
      <c r="A13" s="56">
        <v>6</v>
      </c>
      <c r="B13" s="57" t="str">
        <f>IF('2 EstudiantadoEstProf'!I11&lt;&gt;0,'2 EstudiantadoEstProf'!I11,"-")</f>
        <v>Contribuir desde la Facultad de Ingeniería al cumplimiento de la meta PRDI “Implementar 1 programa de preparación para EGEL anualmente”, con valores absolutos programados de 2027: 1, 2028: 1, 2029: 1, 2030: 1.</v>
      </c>
      <c r="C13" s="58" t="str">
        <f>IF('2 EstudiantadoEstProf'!R11&lt;&gt;0,'2 EstudiantadoEstProf'!R11,"-")</f>
        <v>-</v>
      </c>
      <c r="D13" s="58">
        <f>IF('2 EstudiantadoEstProf'!S11&lt;&gt;0,'2 EstudiantadoEstProf'!S11,"-")</f>
        <v>1</v>
      </c>
      <c r="E13" s="58">
        <f>IF('2 EstudiantadoEstProf'!T11&lt;&gt;0,'2 EstudiantadoEstProf'!T11,"-")</f>
        <v>1</v>
      </c>
      <c r="F13" s="58">
        <f>IF('2 EstudiantadoEstProf'!U11&lt;&gt;0,'2 EstudiantadoEstProf'!U11,"-")</f>
        <v>1</v>
      </c>
      <c r="G13" s="58">
        <f>IF('2 EstudiantadoEstProf'!V11&lt;&gt;0,'2 EstudiantadoEstProf'!V11,"-")</f>
        <v>1</v>
      </c>
      <c r="H13" s="58" t="str">
        <f>'2 EstudiantadoEstProf'!W11</f>
        <v>Anual</v>
      </c>
      <c r="I13" s="58" t="str">
        <f>IF('2 EstudiantadoEstProf'!X11&lt;&gt;0,'2 EstudiantadoEstProf'!X11,"-")</f>
        <v>Subdirección Académica y coordinaciones de licenciatura</v>
      </c>
      <c r="J13" s="33"/>
    </row>
    <row r="14" spans="1:11" ht="16.5" customHeight="1" thickBot="1">
      <c r="A14" s="56">
        <v>7</v>
      </c>
      <c r="B14" s="57" t="str">
        <f>IF('2 EstudiantadoEstProf'!I12&lt;&gt;0,'2 EstudiantadoEstProf'!I12,"-")</f>
        <v>Contribuir desde la Facultad de Ingeniería al cumplimiento de la meta PRDI “Lograr que 550 estudiantes de estudios profesionales participen en movilidad intrainstitucional durante la administración”, con valores absolutos programados de 2027: 3, 2028: 3, 2029: 2, 2030: 2.</v>
      </c>
      <c r="C14" s="58" t="str">
        <f>IF('2 EstudiantadoEstProf'!R12&lt;&gt;0,'2 EstudiantadoEstProf'!R12,"-")</f>
        <v/>
      </c>
      <c r="D14" s="58">
        <f>IF('2 EstudiantadoEstProf'!S12&lt;&gt;0,'2 EstudiantadoEstProf'!S12,"-")</f>
        <v>3</v>
      </c>
      <c r="E14" s="58">
        <f>IF('2 EstudiantadoEstProf'!T12&lt;&gt;0,'2 EstudiantadoEstProf'!T12,"-")</f>
        <v>3</v>
      </c>
      <c r="F14" s="58">
        <f>IF('2 EstudiantadoEstProf'!U12&lt;&gt;0,'2 EstudiantadoEstProf'!U12,"-")</f>
        <v>2</v>
      </c>
      <c r="G14" s="58">
        <f>IF('2 EstudiantadoEstProf'!V12&lt;&gt;0,'2 EstudiantadoEstProf'!V12,"-")</f>
        <v>2</v>
      </c>
      <c r="H14" s="58" t="str">
        <f>'2 EstudiantadoEstProf'!W12</f>
        <v>Anual</v>
      </c>
      <c r="I14" s="58" t="str">
        <f>IF('2 EstudiantadoEstProf'!X12&lt;&gt;0,'2 EstudiantadoEstProf'!X12,"-")</f>
        <v>Subdirección Académica y coordinaciones de licenciatura</v>
      </c>
      <c r="J14" s="33"/>
    </row>
    <row r="15" spans="1:11" ht="16.5" customHeight="1" thickBot="1">
      <c r="A15" s="56">
        <v>8</v>
      </c>
      <c r="B15" s="59" t="str">
        <f>IF('Indicadores x proyec'!B14&lt;&gt;0,'Indicadores x proyec'!B14,"-")</f>
        <v>Mejorar o mantener de forma conservadora en la Facultad de Ingeniería el indicador IND-PRDI-353, con la trayectoria 2027: 98.13%, 2028: 98.74%, 2029: 99.37%, 2030: 100%, sustentada en serie histórica directamente comparable del sitio.</v>
      </c>
      <c r="C15" s="60" t="e">
        <f>IF('Indicadores x proyec'!D14/100&lt;&gt;0,'Indicadores x proyec'!D14/100,"-")</f>
        <v>#VALUE!</v>
      </c>
      <c r="D15" s="60">
        <f>IF('Indicadores x proyec'!E14/100&lt;&gt;0,'Indicadores x proyec'!E14/100,"-")</f>
        <v>0.98126463700234179</v>
      </c>
      <c r="E15" s="60">
        <f>IF('Indicadores x proyec'!F14/100&lt;&gt;0,'Indicadores x proyec'!F14/100,"-")</f>
        <v>0.98735019973368854</v>
      </c>
      <c r="F15" s="60">
        <f>IF('Indicadores x proyec'!G14/100&lt;&gt;0,'Indicadores x proyec'!G14/100,"-")</f>
        <v>0.99370652533951642</v>
      </c>
      <c r="G15" s="60">
        <f>IF('Indicadores x proyec'!H14/100&lt;&gt;0,'Indicadores x proyec'!H14/100,"-")</f>
        <v>1</v>
      </c>
      <c r="H15" s="58" t="str">
        <f>'Indicadores x proyec'!I14</f>
        <v>Anual</v>
      </c>
      <c r="I15" s="60" t="str">
        <f>IF('Indicadores x proyec'!J14&lt;&gt;0,'Indicadores x proyec'!J14,"-")</f>
        <v>Subdirección Académica y coordinaciones de licenciatura</v>
      </c>
      <c r="J15" s="33"/>
    </row>
    <row r="16" spans="1:11" ht="16.5" customHeight="1" thickBot="1">
      <c r="A16" s="56">
        <v>9</v>
      </c>
      <c r="B16" s="57" t="str">
        <f>IF('2 EstudiantadoEstProf'!I15&lt;&gt;0,'2 EstudiantadoEstProf'!I15,"-")</f>
        <v>Contribuir desde la Facultad de Ingeniería al cumplimiento de la meta PRDI “Lograr que 1 030 estudiantes de estudios profesionales participen en movilidad nacional e internacional durante la administración”, con valores absolutos programados de 2027: 5, 2028: 5, 2029: 5, 2030: 4.</v>
      </c>
      <c r="C16" s="58" t="str">
        <f>IF('2 EstudiantadoEstProf'!R15&lt;&gt;0,'2 EstudiantadoEstProf'!R15,"-")</f>
        <v/>
      </c>
      <c r="D16" s="58">
        <f>IF('2 EstudiantadoEstProf'!S15&lt;&gt;0,'2 EstudiantadoEstProf'!S15,"-")</f>
        <v>5</v>
      </c>
      <c r="E16" s="58">
        <f>IF('2 EstudiantadoEstProf'!T15&lt;&gt;0,'2 EstudiantadoEstProf'!T15,"-")</f>
        <v>5</v>
      </c>
      <c r="F16" s="58">
        <f>IF('2 EstudiantadoEstProf'!U15&lt;&gt;0,'2 EstudiantadoEstProf'!U15,"-")</f>
        <v>5</v>
      </c>
      <c r="G16" s="58">
        <f>IF('2 EstudiantadoEstProf'!V15&lt;&gt;0,'2 EstudiantadoEstProf'!V15,"-")</f>
        <v>4</v>
      </c>
      <c r="H16" s="58" t="str">
        <f>IF('2 EstudiantadoEstProf'!W15&lt;&gt;0,'2 EstudiantadoEstProf'!W15,"-")</f>
        <v>Anual</v>
      </c>
      <c r="I16" s="58" t="str">
        <f>IF('2 EstudiantadoEstProf'!X15&lt;&gt;0,'2 EstudiantadoEstProf'!X15,"-")</f>
        <v>Subdirección Académica y coordinaciones de licenciatura</v>
      </c>
      <c r="J16" s="33"/>
    </row>
    <row r="17" spans="1:16" ht="16.5" customHeight="1" thickBot="1">
      <c r="A17" s="56">
        <v>10</v>
      </c>
      <c r="B17" s="57" t="str">
        <f>IF('2 EstudiantadoEstProf'!I16&lt;&gt;0,'2 EstudiantadoEstProf'!I16,"-")</f>
        <v>Contribuir desde la Facultad de Ingeniería al cumplimiento de la meta PRDI “Realizar anualmente en los 55 espacios académicos un proyecto colaborativo de beneficio social”, con valores absolutos programados de 2027: 1, 2028: 1, 2029: 1, 2030: 1.</v>
      </c>
      <c r="C17" s="58" t="str">
        <f>IF('2 EstudiantadoEstProf'!R16&lt;&gt;0,'2 EstudiantadoEstProf'!R16,"-")</f>
        <v/>
      </c>
      <c r="D17" s="58">
        <f>IF('2 EstudiantadoEstProf'!S16&lt;&gt;0,'2 EstudiantadoEstProf'!S16,"-")</f>
        <v>1</v>
      </c>
      <c r="E17" s="58">
        <f>IF('2 EstudiantadoEstProf'!T16&lt;&gt;0,'2 EstudiantadoEstProf'!T16,"-")</f>
        <v>1</v>
      </c>
      <c r="F17" s="58">
        <f>IF('2 EstudiantadoEstProf'!U16&lt;&gt;0,'2 EstudiantadoEstProf'!U16,"-")</f>
        <v>1</v>
      </c>
      <c r="G17" s="58">
        <f>IF('2 EstudiantadoEstProf'!V16&lt;&gt;0,'2 EstudiantadoEstProf'!V16,"-")</f>
        <v>1</v>
      </c>
      <c r="H17" s="58" t="str">
        <f>IF('2 EstudiantadoEstProf'!W16&lt;&gt;0,'2 EstudiantadoEstProf'!W16,"-")</f>
        <v>Anual</v>
      </c>
      <c r="I17" s="58" t="str">
        <f>IF('2 EstudiantadoEstProf'!X16&lt;&gt;0,'2 EstudiantadoEstProf'!X16,"-")</f>
        <v>Subdirección Académica y coordinaciones de licenciatura</v>
      </c>
      <c r="J17" s="33"/>
    </row>
    <row r="18" spans="1:16" ht="16.5" customHeight="1" thickBot="1">
      <c r="A18" s="56">
        <v>11</v>
      </c>
      <c r="B18" s="57" t="str">
        <f>IF('2 EstudiantadoEstProf'!I17&lt;&gt;0,'2 EstudiantadoEstProf'!I17,"-")</f>
        <v>Contribuir desde la Facultad de Ingeniería al cumplimiento de la meta PRDI “Contar con 70 manuales de prácticas apegados a los indicadores del Sistema para Evaluar la Calidad de Medios Educativos anualmente”, con valores absolutos programados de 2027: 2, 2028: 2, 2029: 2, 2030: 2.</v>
      </c>
      <c r="C18" s="58" t="str">
        <f>IF('2 EstudiantadoEstProf'!R17&lt;&gt;0,'2 EstudiantadoEstProf'!R17,"-")</f>
        <v/>
      </c>
      <c r="D18" s="58">
        <f>IF('2 EstudiantadoEstProf'!S17&lt;&gt;0,'2 EstudiantadoEstProf'!S17,"-")</f>
        <v>2</v>
      </c>
      <c r="E18" s="58">
        <f>IF('2 EstudiantadoEstProf'!T17&lt;&gt;0,'2 EstudiantadoEstProf'!T17,"-")</f>
        <v>2</v>
      </c>
      <c r="F18" s="58">
        <f>IF('2 EstudiantadoEstProf'!U17&lt;&gt;0,'2 EstudiantadoEstProf'!U17,"-")</f>
        <v>2</v>
      </c>
      <c r="G18" s="58">
        <f>IF('2 EstudiantadoEstProf'!V17&lt;&gt;0,'2 EstudiantadoEstProf'!V17,"-")</f>
        <v>2</v>
      </c>
      <c r="H18" s="58" t="str">
        <f>IF('2 EstudiantadoEstProf'!W17&lt;&gt;0,'2 EstudiantadoEstProf'!W17,"-")</f>
        <v>Anual</v>
      </c>
      <c r="I18" s="58" t="str">
        <f>IF('2 EstudiantadoEstProf'!X17&lt;&gt;0,'2 EstudiantadoEstProf'!X17,"-")</f>
        <v>Subdirección Académica y coordinaciones de licenciatura</v>
      </c>
      <c r="J18" s="33"/>
    </row>
    <row r="19" spans="1:16" ht="16.5" customHeight="1" thickBot="1">
      <c r="A19" s="56">
        <v>12</v>
      </c>
      <c r="B19" s="59" t="str">
        <f>IF('Indicadores x proyec'!B16&lt;&gt;0,'Indicadores x proyec'!B16,"-")</f>
        <v>Mejorar o mantener de forma conservadora en la Facultad de Ingeniería el indicador IND-PRDI-357, con la trayectoria 2027: 80%, 2028: 80%, 2029: 80%, 2030: 80%, sustentada en referencia PRDI; no existe serie histórica directamente comparable para la variable.</v>
      </c>
      <c r="C19" s="60" t="e">
        <f>IF('Indicadores x proyec'!D16/100&lt;&gt;0,'Indicadores x proyec'!D16/100,"-")</f>
        <v>#VALUE!</v>
      </c>
      <c r="D19" s="60">
        <f>IF('Indicadores x proyec'!E16/100&lt;&gt;0,'Indicadores x proyec'!E16/100,"-")</f>
        <v>0.8</v>
      </c>
      <c r="E19" s="60">
        <f>IF('Indicadores x proyec'!F16/100&lt;&gt;0,'Indicadores x proyec'!F16/100,"-")</f>
        <v>0.8</v>
      </c>
      <c r="F19" s="60">
        <f>IF('Indicadores x proyec'!G16/100&lt;&gt;0,'Indicadores x proyec'!G16/100,"-")</f>
        <v>0.8</v>
      </c>
      <c r="G19" s="60">
        <f>IF('Indicadores x proyec'!H16/100&lt;&gt;0,'Indicadores x proyec'!H16/100,"-")</f>
        <v>0.8</v>
      </c>
      <c r="H19" s="58" t="str">
        <f>'Indicadores x proyec'!I16</f>
        <v>Anual</v>
      </c>
      <c r="I19" s="60" t="str">
        <f>IF('Indicadores x proyec'!J16&lt;&gt;0,'Indicadores x proyec'!J16,"-")</f>
        <v>Subdirección Académica y coordinaciones de licenciatura</v>
      </c>
      <c r="J19" s="33"/>
    </row>
    <row r="20" spans="1:16" ht="16.5" customHeight="1" thickBot="1">
      <c r="A20" s="56">
        <v>13</v>
      </c>
      <c r="B20" s="57" t="str">
        <f>IF('2 EstudiantadoEstProf'!I20&lt;&gt;0,'2 EstudiantadoEstProf'!I20,"-")</f>
        <v>Contribuir desde la Facultad de Ingeniería al cumplimiento de la meta PRDI “Incrementar a 52 000 el número de estudiantes de estudios profesionales en la renovada plataforma seduca, para 2029”, con valores absolutos programados de 2027: 473, 2028: 710, 2029: 946, 2030: 946.</v>
      </c>
      <c r="C20" s="58" t="str">
        <f>IF('2 EstudiantadoEstProf'!R20&lt;&gt;0,'2 EstudiantadoEstProf'!R20,"-")</f>
        <v/>
      </c>
      <c r="D20" s="58">
        <f>IF('2 EstudiantadoEstProf'!S20&lt;&gt;0,'2 EstudiantadoEstProf'!S20,"-")</f>
        <v>473</v>
      </c>
      <c r="E20" s="58">
        <f>IF('2 EstudiantadoEstProf'!T20&lt;&gt;0,'2 EstudiantadoEstProf'!T20,"-")</f>
        <v>710</v>
      </c>
      <c r="F20" s="58">
        <f>IF('2 EstudiantadoEstProf'!U20&lt;&gt;0,'2 EstudiantadoEstProf'!U20,"-")</f>
        <v>946</v>
      </c>
      <c r="G20" s="58">
        <f>IF('2 EstudiantadoEstProf'!V20&lt;&gt;0,'2 EstudiantadoEstProf'!V20,"-")</f>
        <v>946</v>
      </c>
      <c r="H20" s="58" t="str">
        <f>IF('2 EstudiantadoEstProf'!W20&lt;&gt;0,'2 EstudiantadoEstProf'!W20,"-")</f>
        <v>Anual</v>
      </c>
      <c r="I20" s="58" t="str">
        <f>IF('2 EstudiantadoEstProf'!X20&lt;&gt;0,'2 EstudiantadoEstProf'!X20,"-")</f>
        <v>Subdirección Académica y coordinaciones de licenciatura</v>
      </c>
      <c r="J20" s="33"/>
    </row>
    <row r="21" spans="1:16" ht="16.5" customHeight="1" thickBot="1">
      <c r="A21" s="56">
        <v>14</v>
      </c>
      <c r="B21" s="57" t="str">
        <f>IF('2 EstudiantadoEstProf'!I21&lt;&gt;0,'2 EstudiantadoEstProf'!I21,"-")</f>
        <v>Contribuir desde la Facultad de Ingeniería al cumplimiento de la meta PRDI “Desarrollar 470 actividades académicas de educación continua al año”, con valores absolutos programados de 2027: 9, 2028: 9, 2029: 9, 2030: 9.</v>
      </c>
      <c r="C21" s="58" t="str">
        <f>IF('2 EstudiantadoEstProf'!R21&lt;&gt;0,'2 EstudiantadoEstProf'!R21,"-")</f>
        <v/>
      </c>
      <c r="D21" s="58">
        <f>IF('2 EstudiantadoEstProf'!S21&lt;&gt;0,'2 EstudiantadoEstProf'!S21,"-")</f>
        <v>9</v>
      </c>
      <c r="E21" s="58">
        <f>IF('2 EstudiantadoEstProf'!T21&lt;&gt;0,'2 EstudiantadoEstProf'!T21,"-")</f>
        <v>9</v>
      </c>
      <c r="F21" s="58">
        <f>IF('2 EstudiantadoEstProf'!U21&lt;&gt;0,'2 EstudiantadoEstProf'!U21,"-")</f>
        <v>9</v>
      </c>
      <c r="G21" s="58">
        <f>IF('2 EstudiantadoEstProf'!V21&lt;&gt;0,'2 EstudiantadoEstProf'!V21,"-")</f>
        <v>9</v>
      </c>
      <c r="H21" s="58" t="str">
        <f>IF('2 EstudiantadoEstProf'!W21&lt;&gt;0,'2 EstudiantadoEstProf'!W21,"-")</f>
        <v>Anual</v>
      </c>
      <c r="I21" s="58" t="str">
        <f>IF('2 EstudiantadoEstProf'!X21&lt;&gt;0,'2 EstudiantadoEstProf'!X21,"-")</f>
        <v>Subdirección Académica y coordinaciones de licenciatura</v>
      </c>
      <c r="J21" s="33"/>
    </row>
    <row r="22" spans="1:16" ht="16.5" customHeight="1" thickBot="1">
      <c r="A22" s="56">
        <v>15</v>
      </c>
      <c r="B22" s="57" t="str">
        <f>IF('2 EstudiantadoEstProf'!I22&lt;&gt;0,'2 EstudiantadoEstProf'!I22,"-")</f>
        <v>Contribuir desde la Facultad de Ingeniería al cumplimiento de la meta PRDI “Certificar en una segunda lengua a 720 estudiantes de estudios profesionales anualmente”, con valores absolutos programados de 2027: 14, 2028: 14, 2029: 14, 2030: 14.</v>
      </c>
      <c r="C22" s="58" t="str">
        <f>IF('2 EstudiantadoEstProf'!R22&lt;&gt;0,'2 EstudiantadoEstProf'!R22,"-")</f>
        <v/>
      </c>
      <c r="D22" s="58">
        <f>IF('2 EstudiantadoEstProf'!S22&lt;&gt;0,'2 EstudiantadoEstProf'!S22,"-")</f>
        <v>14</v>
      </c>
      <c r="E22" s="58">
        <f>IF('2 EstudiantadoEstProf'!T22&lt;&gt;0,'2 EstudiantadoEstProf'!T22,"-")</f>
        <v>14</v>
      </c>
      <c r="F22" s="58">
        <f>IF('2 EstudiantadoEstProf'!U22&lt;&gt;0,'2 EstudiantadoEstProf'!U22,"-")</f>
        <v>14</v>
      </c>
      <c r="G22" s="58">
        <f>IF('2 EstudiantadoEstProf'!V22&lt;&gt;0,'2 EstudiantadoEstProf'!V22,"-")</f>
        <v>14</v>
      </c>
      <c r="H22" s="58" t="str">
        <f>IF('2 EstudiantadoEstProf'!W22&lt;&gt;0,'2 EstudiantadoEstProf'!W22,"-")</f>
        <v>Anual</v>
      </c>
      <c r="I22" s="58" t="str">
        <f>IF('2 EstudiantadoEstProf'!X22&lt;&gt;0,'2 EstudiantadoEstProf'!X22,"-")</f>
        <v>Subdirección Académica y coordinaciones de licenciatura</v>
      </c>
      <c r="J22" s="33"/>
    </row>
    <row r="23" spans="1:16" ht="16.5" customHeight="1" thickBot="1">
      <c r="A23" s="56">
        <v>16</v>
      </c>
      <c r="B23" s="57" t="str">
        <f>IF('2 EstudiantadoEstProf'!I23&lt;&gt;0,'2 EstudiantadoEstProf'!I23,"-")</f>
        <v>Contribuir desde la Facultad de Ingeniería al cumplimiento de la meta PRDI “Incrementar la matrícula a 78 002 estudiantes de estudios profesionales en sus diversas modalidades para 2029”, con valores absolutos programados de 2027: 3004, 2028: 3019, 2029: 3034, 2030: 3049. Sustento en la Matriz de consistencia: «Realizar 1 reunión y 1 encuesta a estudiantes de cada licenciatura cada año de 2028 a 2030 y documentar los ajustes derivados.»</v>
      </c>
      <c r="C23" s="58" t="str">
        <f>IF('2 EstudiantadoEstProf'!R23&lt;&gt;0,'2 EstudiantadoEstProf'!R23,"-")</f>
        <v>-</v>
      </c>
      <c r="D23" s="58">
        <f>IF('2 EstudiantadoEstProf'!S23&lt;&gt;0,'2 EstudiantadoEstProf'!S23,"-")</f>
        <v>3004</v>
      </c>
      <c r="E23" s="58">
        <f>IF('2 EstudiantadoEstProf'!T23&lt;&gt;0,'2 EstudiantadoEstProf'!T23,"-")</f>
        <v>3019</v>
      </c>
      <c r="F23" s="58">
        <f>IF('2 EstudiantadoEstProf'!U23&lt;&gt;0,'2 EstudiantadoEstProf'!U23,"-")</f>
        <v>3034</v>
      </c>
      <c r="G23" s="58">
        <f>IF('2 EstudiantadoEstProf'!V23&lt;&gt;0,'2 EstudiantadoEstProf'!V23,"-")</f>
        <v>3049</v>
      </c>
      <c r="H23" s="58" t="str">
        <f>IF('2 EstudiantadoEstProf'!W23&lt;&gt;0,'2 EstudiantadoEstProf'!W23,"-")</f>
        <v>Anual</v>
      </c>
      <c r="I23" s="58" t="str">
        <f>IF('2 EstudiantadoEstProf'!X23&lt;&gt;0,'2 EstudiantadoEstProf'!X23,"-")</f>
        <v>Subdirección Académica y coordinaciones de licenciatura</v>
      </c>
      <c r="J23" s="33"/>
    </row>
    <row r="24" spans="1:16" ht="16.5" customHeight="1" thickBot="1">
      <c r="A24" s="56">
        <v>17</v>
      </c>
      <c r="B24" s="59" t="str">
        <f>IF('Indicadores x proyec'!B18&lt;&gt;0,'Indicadores x proyec'!B18,"-")</f>
        <v>Mejorar o mantener de forma conservadora en la Facultad de Ingeniería el indicador IND-PRDI-40, con la trayectoria 2027: 3%, 2028: 4%, 2029: 4.95%, 2030: 5.88%, sustentada en serie histórica directamente comparable del sitio.</v>
      </c>
      <c r="C24" s="60" t="e">
        <f>IF('Indicadores x proyec'!D18/100&lt;&gt;0,'Indicadores x proyec'!D18/100,"-")</f>
        <v>#VALUE!</v>
      </c>
      <c r="D24" s="60">
        <f>IF('Indicadores x proyec'!E18/100&lt;&gt;0,'Indicadores x proyec'!E18/100,"-")</f>
        <v>0.03</v>
      </c>
      <c r="E24" s="60">
        <f>IF('Indicadores x proyec'!F18/100&lt;&gt;0,'Indicadores x proyec'!F18/100,"-")</f>
        <v>0.04</v>
      </c>
      <c r="F24" s="60">
        <f>IF('Indicadores x proyec'!G18/100&lt;&gt;0,'Indicadores x proyec'!G18/100,"-")</f>
        <v>4.9504950495049507E-2</v>
      </c>
      <c r="G24" s="60">
        <f>IF('Indicadores x proyec'!H18/100&lt;&gt;0,'Indicadores x proyec'!H18/100,"-")</f>
        <v>5.8823529411764698E-2</v>
      </c>
      <c r="H24" s="58" t="str">
        <f>'Indicadores x proyec'!I18</f>
        <v>Anual</v>
      </c>
      <c r="I24" s="60" t="str">
        <f>IF('Indicadores x proyec'!J18&lt;&gt;0,'Indicadores x proyec'!J18,"-")</f>
        <v>Subdirección Académica y coordinaciones de licenciatura</v>
      </c>
      <c r="J24" s="33"/>
    </row>
    <row r="25" spans="1:16" ht="16.5" customHeight="1" thickBot="1">
      <c r="A25" s="56">
        <v>18</v>
      </c>
      <c r="B25" s="57" t="str">
        <f>IF('2 EstudiantadoEstProf'!I26&lt;&gt;0,'2 EstudiantadoEstProf'!I26,"-")</f>
        <v>Contribuir desde la Facultad de Ingeniería al cumplimiento de la meta PRDI “Implementar semestralmente 1 programa de fomento a la titulación”, con valores absolutos programados de 2027: 0, 2028: 0, 2029: 2, 2030: 0.</v>
      </c>
      <c r="C25" s="58" t="str">
        <f>IF('2 EstudiantadoEstProf'!R26&lt;&gt;0,'2 EstudiantadoEstProf'!R26,"-")</f>
        <v/>
      </c>
      <c r="D25" s="58" t="str">
        <f>IF('2 EstudiantadoEstProf'!S26&lt;&gt;0,'2 EstudiantadoEstProf'!S26,"-")</f>
        <v>-</v>
      </c>
      <c r="E25" s="58" t="str">
        <f>IF('2 EstudiantadoEstProf'!T26&lt;&gt;0,'2 EstudiantadoEstProf'!T26,"-")</f>
        <v>-</v>
      </c>
      <c r="F25" s="58">
        <f>IF('2 EstudiantadoEstProf'!U26&lt;&gt;0,'2 EstudiantadoEstProf'!U26,"-")</f>
        <v>2</v>
      </c>
      <c r="G25" s="58" t="str">
        <f>IF('2 EstudiantadoEstProf'!V26&lt;&gt;0,'2 EstudiantadoEstProf'!V26,"-")</f>
        <v>-</v>
      </c>
      <c r="H25" s="58" t="str">
        <f>IF('2 EstudiantadoEstProf'!W26&lt;&gt;0,'2 EstudiantadoEstProf'!W26,"-")</f>
        <v>Anual</v>
      </c>
      <c r="I25" s="58" t="str">
        <f>IF('2 EstudiantadoEstProf'!X26&lt;&gt;0,'2 EstudiantadoEstProf'!X26,"-")</f>
        <v>Subdirección Académica y coordinaciones de licenciatura</v>
      </c>
      <c r="J25" s="33"/>
    </row>
    <row r="26" spans="1:16" ht="16.5" customHeight="1" thickBot="1">
      <c r="A26" s="56">
        <v>19</v>
      </c>
      <c r="B26" s="59" t="str">
        <f>IF('Indicadores x proyec'!B20&lt;&gt;0,'Indicadores x proyec'!B20,"-")</f>
        <v>Mejorar o mantener de forma conservadora en la Facultad de Ingeniería el indicador IND-NS-127, con la trayectoria 2027: 5.19%, 2028: 6.19%, 2029: 7.19%, 2030: 8.21%, sustentada en serie histórica directamente comparable del sitio.</v>
      </c>
      <c r="C26" s="60" t="e">
        <f>IF('Indicadores x proyec'!D20/100&lt;&gt;0,'Indicadores x proyec'!D20/100,"-")</f>
        <v>#VALUE!</v>
      </c>
      <c r="D26" s="60">
        <f>IF('Indicadores x proyec'!E20/100&lt;&gt;0,'Indicadores x proyec'!E20/100,"-")</f>
        <v>5.185680829708933E-2</v>
      </c>
      <c r="E26" s="60">
        <f>IF('Indicadores x proyec'!F20/100&lt;&gt;0,'Indicadores x proyec'!F20/100,"-")</f>
        <v>6.1917443408788284E-2</v>
      </c>
      <c r="F26" s="60">
        <f>IF('Indicadores x proyec'!G20/100&lt;&gt;0,'Indicadores x proyec'!G20/100,"-")</f>
        <v>7.1878105332891684E-2</v>
      </c>
      <c r="G26" s="60">
        <f>IF('Indicadores x proyec'!H20/100&lt;&gt;0,'Indicadores x proyec'!H20/100,"-")</f>
        <v>8.2069874752801586E-2</v>
      </c>
      <c r="H26" s="58" t="str">
        <f>'Indicadores x proyec'!I20</f>
        <v>Anual</v>
      </c>
      <c r="I26" s="60" t="str">
        <f>IF('Indicadores x proyec'!J20&lt;&gt;0,'Indicadores x proyec'!J20,"-")</f>
        <v>Subdirección Académica y coordinaciones de licenciatura</v>
      </c>
      <c r="J26" s="33"/>
      <c r="K26" s="37"/>
      <c r="L26" s="37"/>
      <c r="M26" s="37"/>
      <c r="N26" s="37"/>
      <c r="O26" s="37"/>
      <c r="P26" s="37"/>
    </row>
    <row r="27" spans="1:16" ht="16.5" customHeight="1" thickBot="1">
      <c r="A27" s="56">
        <v>20</v>
      </c>
      <c r="B27" s="59" t="str">
        <f>IF('Indicadores x proyec'!B22&lt;&gt;0,'Indicadores x proyec'!B22,"-")</f>
        <v>Mejorar o mantener de forma conservadora en la Facultad de Ingeniería el indicador IND-PRDI-34, con la trayectoria 2027: 8.03%, 2028: 7.96%, 2029: 7.88%, 2030: 7.81%, sustentada en serie histórica directamente comparable del sitio.</v>
      </c>
      <c r="C27" s="60" t="e">
        <f>IF('2 EstudiantadoEstProf'!R29/100&lt;&gt;0,'2 EstudiantadoEstProf'!R29/100,"-")</f>
        <v>#VALUE!</v>
      </c>
      <c r="D27" s="60">
        <f>IF('2 EstudiantadoEstProf'!S29/100&lt;&gt;0,'2 EstudiantadoEstProf'!S29/100,"-")</f>
        <v>8.0294412847106034E-2</v>
      </c>
      <c r="E27" s="60">
        <f>IF('2 EstudiantadoEstProf'!T29/100&lt;&gt;0,'2 EstudiantadoEstProf'!T29/100,"-")</f>
        <v>7.9560585885485979E-2</v>
      </c>
      <c r="F27" s="60">
        <f>IF('2 EstudiantadoEstProf'!U29/100&lt;&gt;0,'2 EstudiantadoEstProf'!U29/100,"-")</f>
        <v>7.8834051010268302E-2</v>
      </c>
      <c r="G27" s="60">
        <f>IF('2 EstudiantadoEstProf'!V29/100&lt;&gt;0,'2 EstudiantadoEstProf'!V29/100,"-")</f>
        <v>7.8114700065919584E-2</v>
      </c>
      <c r="H27" s="58" t="str">
        <f>'Indicadores x proyec'!I22</f>
        <v>Anual</v>
      </c>
      <c r="I27" s="60" t="str">
        <f>IF('Indicadores x proyec'!J22&lt;&gt;0,'Indicadores x proyec'!J22,"-")</f>
        <v>Subdirección Académica y coordinaciones de licenciatura</v>
      </c>
      <c r="J27" s="33"/>
    </row>
    <row r="28" spans="1:16" ht="16.5" customHeight="1" thickBot="1">
      <c r="A28" s="56">
        <v>21</v>
      </c>
      <c r="B28" s="57" t="str">
        <f>IF('2 EstudiantadoEstProf'!I33&lt;&gt;0,'2 EstudiantadoEstProf'!I33,"-")</f>
        <v>Contribuir desde la Facultad de Ingeniería al cumplimiento de la meta PRDI “Otorgar anualmente 38 000 becas, apoyos o estímulos institucionales a estudiantes de Estudios Profesionales”, con valores absolutos programados de 2027: 691, 2028: 691, 2029: 691, 2030: 691.</v>
      </c>
      <c r="C28" s="58" t="str">
        <f>IF('2 EstudiantadoEstProf'!R33&lt;&gt;0,'2 EstudiantadoEstProf'!R33,"-")</f>
        <v/>
      </c>
      <c r="D28" s="58">
        <f>IF('2 EstudiantadoEstProf'!S33&lt;&gt;0,'2 EstudiantadoEstProf'!S33,"-")</f>
        <v>691</v>
      </c>
      <c r="E28" s="58">
        <f>IF('2 EstudiantadoEstProf'!T33&lt;&gt;0,'2 EstudiantadoEstProf'!T33,"-")</f>
        <v>691</v>
      </c>
      <c r="F28" s="58">
        <f>IF('2 EstudiantadoEstProf'!U33&lt;&gt;0,'2 EstudiantadoEstProf'!U33,"-")</f>
        <v>691</v>
      </c>
      <c r="G28" s="58">
        <f>IF('2 EstudiantadoEstProf'!V33&lt;&gt;0,'2 EstudiantadoEstProf'!V33,"-")</f>
        <v>691</v>
      </c>
      <c r="H28" s="58" t="str">
        <f>IF('2 EstudiantadoEstProf'!W33&lt;&gt;0,'2 EstudiantadoEstProf'!W33,"-")</f>
        <v>Anual</v>
      </c>
      <c r="I28" s="58" t="str">
        <f>IF('2 EstudiantadoEstProf'!X33&lt;&gt;0,'2 EstudiantadoEstProf'!X33,"-")</f>
        <v>Subdirección Académica y coordinaciones de licenciatura</v>
      </c>
      <c r="J28" s="33"/>
    </row>
    <row r="29" spans="1:16" ht="16.5" customHeight="1" thickBot="1">
      <c r="A29" s="56">
        <v>22</v>
      </c>
      <c r="B29" s="59" t="str">
        <f>IF('Indicadores x proyec'!B26&lt;&gt;0,'Indicadores x proyec'!B26,"-")</f>
        <v>Mejorar o mantener de forma conservadora en la Facultad de Ingeniería el indicador IND-PRDI-366, con la trayectoria 2027: 94.01%, 2028: 95.34%, 2029: 96.65%, 2030: 97.99%, sustentada en referencia PRDI; no existe serie histórica directamente comparable para la variable.</v>
      </c>
      <c r="C29" s="60" t="e">
        <f>IF('Indicadores x proyec'!D26/100&lt;&gt;0,'Indicadores x proyec'!D26/100,"-")</f>
        <v>#VALUE!</v>
      </c>
      <c r="D29" s="60">
        <f>IF('Indicadores x proyec'!E26/100&lt;&gt;0,'Indicadores x proyec'!E26/100,"-")</f>
        <v>0.94011375041820022</v>
      </c>
      <c r="E29" s="60">
        <f>IF('Indicadores x proyec'!F26/100&lt;&gt;0,'Indicadores x proyec'!F26/100,"-")</f>
        <v>0.95339547270306257</v>
      </c>
      <c r="F29" s="60">
        <f>IF('Indicadores x proyec'!G26/100&lt;&gt;0,'Indicadores x proyec'!G26/100,"-")</f>
        <v>0.96654521364690293</v>
      </c>
      <c r="G29" s="60">
        <f>IF('Indicadores x proyec'!H26/100&lt;&gt;0,'Indicadores x proyec'!H26/100,"-")</f>
        <v>0.97989452867501659</v>
      </c>
      <c r="H29" s="58" t="str">
        <f>'Indicadores x proyec'!I26</f>
        <v>Anual</v>
      </c>
      <c r="I29" s="60" t="str">
        <f>IF('Indicadores x proyec'!J26&lt;&gt;0,'Indicadores x proyec'!J26,"-")</f>
        <v>Subdirección Académica y coordinaciones de licenciatura</v>
      </c>
      <c r="J29" s="33"/>
    </row>
    <row r="30" spans="1:16" ht="16.5" customHeight="1" thickBot="1">
      <c r="A30" s="56">
        <v>23</v>
      </c>
      <c r="B30" s="57" t="str">
        <f>IF('2 EstudiantadoEstProf'!I36&lt;&gt;0,'2 EstudiantadoEstProf'!I36,"-")</f>
        <v>Contribuir desde la Facultad de Ingeniería al cumplimiento de la meta PRDI “Lograr la participación de 32 300 estudiantes y personas egresadas en los sectores gubernamental, productivo y social, mediante las prácticas o estancias profesionales, al cierre de la administración”, con valores absolutos programados de 2027: 0, 2028: 0, 2029: 588, 2030: 0.</v>
      </c>
      <c r="C30" s="58" t="str">
        <f>IF('2 EstudiantadoEstProf'!R36&lt;&gt;0,'2 EstudiantadoEstProf'!R36,"-")</f>
        <v/>
      </c>
      <c r="D30" s="58" t="str">
        <f>IF('2 EstudiantadoEstProf'!S36&lt;&gt;0,'2 EstudiantadoEstProf'!S36,"-")</f>
        <v>-</v>
      </c>
      <c r="E30" s="58" t="str">
        <f>IF('2 EstudiantadoEstProf'!T36&lt;&gt;0,'2 EstudiantadoEstProf'!T36,"-")</f>
        <v>-</v>
      </c>
      <c r="F30" s="58">
        <f>IF('2 EstudiantadoEstProf'!U36&lt;&gt;0,'2 EstudiantadoEstProf'!U36,"-")</f>
        <v>588</v>
      </c>
      <c r="G30" s="58" t="str">
        <f>IF('2 EstudiantadoEstProf'!V36&lt;&gt;0,'2 EstudiantadoEstProf'!V36,"-")</f>
        <v>-</v>
      </c>
      <c r="H30" s="58" t="str">
        <f>IF('2 EstudiantadoEstProf'!W36&lt;&gt;0,'2 EstudiantadoEstProf'!W36,"-")</f>
        <v>Anual</v>
      </c>
      <c r="I30" s="58" t="str">
        <f>IF('2 EstudiantadoEstProf'!X36&lt;&gt;0,'2 EstudiantadoEstProf'!X36,"-")</f>
        <v>Subdirección Académica y coordinaciones de licenciatura</v>
      </c>
      <c r="J30" s="33"/>
    </row>
    <row r="31" spans="1:16" ht="16.5" customHeight="1" thickBot="1">
      <c r="A31" s="56">
        <v>24</v>
      </c>
      <c r="B31" s="57" t="str">
        <f>IF('2 EstudiantadoEstProf'!I37&lt;&gt;0,'2 EstudiantadoEstProf'!I37,"-")</f>
        <v>Contribuir desde la Facultad de Ingeniería al cumplimiento de la meta PRDI “Lograr la participación de 500 estudiantes de estudios profesionales en cursos, talleres o actividades de capacitación de empleabilidad, realizadas en conjunto con instituciones externas, anualmente”, con valores absolutos programados de 2027: 10, 2028: 10, 2029: 10, 2030: 10.</v>
      </c>
      <c r="C31" s="58" t="str">
        <f>IF('2 EstudiantadoEstProf'!R37&lt;&gt;0,'2 EstudiantadoEstProf'!R37,"-")</f>
        <v/>
      </c>
      <c r="D31" s="58">
        <f>IF('2 EstudiantadoEstProf'!S37&lt;&gt;0,'2 EstudiantadoEstProf'!S37,"-")</f>
        <v>10</v>
      </c>
      <c r="E31" s="58">
        <f>IF('2 EstudiantadoEstProf'!T37&lt;&gt;0,'2 EstudiantadoEstProf'!T37,"-")</f>
        <v>10</v>
      </c>
      <c r="F31" s="58">
        <f>IF('2 EstudiantadoEstProf'!U37&lt;&gt;0,'2 EstudiantadoEstProf'!U37,"-")</f>
        <v>10</v>
      </c>
      <c r="G31" s="58">
        <f>IF('2 EstudiantadoEstProf'!V37&lt;&gt;0,'2 EstudiantadoEstProf'!V37,"-")</f>
        <v>10</v>
      </c>
      <c r="H31" s="58" t="str">
        <f>IF('2 EstudiantadoEstProf'!W37&lt;&gt;0,'2 EstudiantadoEstProf'!W37,"-")</f>
        <v>Anual</v>
      </c>
      <c r="I31" s="58" t="str">
        <f>IF('2 EstudiantadoEstProf'!X37&lt;&gt;0,'2 EstudiantadoEstProf'!X37,"-")</f>
        <v>Subdirección Académica y coordinaciones de licenciatura</v>
      </c>
      <c r="J31" s="33"/>
    </row>
    <row r="32" spans="1:16" ht="16.5" customHeight="1" thickBot="1">
      <c r="A32" s="56">
        <v>25</v>
      </c>
      <c r="B32" s="57" t="str">
        <f>IF('2 EstudiantadoEstProf'!I38&lt;&gt;0,'2 EstudiantadoEstProf'!I38,"-")</f>
        <v>Contribuir desde la Facultad de Ingeniería al cumplimiento de la meta PRDI “Realizar 10 eventos de promoción y difusión en apoyo al desarrollo profesional para el empleo y la inserción laboral, durante la administración”, con valores absolutos programados de 2027: 1, 2028: 0, 2029: 0, 2030: 0. Sustento en la Matriz de consistencia: «Realizar 1 revisión documentada de las trayectorias y asignaturas con mayor rezago en 2027 y actualizarla una vez al año de 2028 a 2030.»</v>
      </c>
      <c r="C32" s="58" t="str">
        <f>IF('2 EstudiantadoEstProf'!R38&lt;&gt;0,'2 EstudiantadoEstProf'!R38,"-")</f>
        <v/>
      </c>
      <c r="D32" s="58">
        <f>IF('2 EstudiantadoEstProf'!S38&lt;&gt;0,'2 EstudiantadoEstProf'!S38,"-")</f>
        <v>1</v>
      </c>
      <c r="E32" s="58" t="str">
        <f>IF('2 EstudiantadoEstProf'!T38&lt;&gt;0,'2 EstudiantadoEstProf'!T38,"-")</f>
        <v>-</v>
      </c>
      <c r="F32" s="58" t="str">
        <f>IF('2 EstudiantadoEstProf'!U38&lt;&gt;0,'2 EstudiantadoEstProf'!U38,"-")</f>
        <v>-</v>
      </c>
      <c r="G32" s="58" t="str">
        <f>IF('2 EstudiantadoEstProf'!V38&lt;&gt;0,'2 EstudiantadoEstProf'!V38,"-")</f>
        <v>-</v>
      </c>
      <c r="H32" s="58" t="str">
        <f>IF('2 EstudiantadoEstProf'!W38&lt;&gt;0,'2 EstudiantadoEstProf'!W38,"-")</f>
        <v>Anual</v>
      </c>
      <c r="I32" s="58" t="str">
        <f>IF('2 EstudiantadoEstProf'!X38&lt;&gt;0,'2 EstudiantadoEstProf'!X38,"-")</f>
        <v>Subdirección Académica y coordinaciones de licenciatura</v>
      </c>
      <c r="J32" s="33"/>
      <c r="K32" s="38"/>
    </row>
    <row r="33" spans="1:12" ht="16.5" customHeight="1" thickBot="1">
      <c r="A33" s="56">
        <v>26</v>
      </c>
      <c r="B33" s="57" t="str">
        <f>IF('2 EstudiantadoEstProf'!I39&lt;&gt;0,'2 EstudiantadoEstProf'!I39,"-")</f>
        <v>Contribuir desde la Facultad de Ingeniería al cumplimiento de la meta PRDI “Realizar 40 intervenciones de impacto anuales en espacios académicos para fortalecer la vinculación colaborativa entre egresados y estudiantes”, con valores absolutos programados de 2027: 1, 2028: 1, 2029: 1, 2030: 1. Sustento en la Matriz de consistencia: «Validar y documentar el valor de Ref. 2026 durante 2027 y, una vez confirmado, mantenerlo o mejorarlo hasta 2030.»</v>
      </c>
      <c r="C33" s="58" t="str">
        <f>IF('2 EstudiantadoEstProf'!R39&lt;&gt;0,'2 EstudiantadoEstProf'!R39,"-")</f>
        <v/>
      </c>
      <c r="D33" s="58">
        <f>IF('2 EstudiantadoEstProf'!S39&lt;&gt;0,'2 EstudiantadoEstProf'!S39,"-")</f>
        <v>1</v>
      </c>
      <c r="E33" s="58">
        <f>IF('2 EstudiantadoEstProf'!T39&lt;&gt;0,'2 EstudiantadoEstProf'!T39,"-")</f>
        <v>1</v>
      </c>
      <c r="F33" s="58">
        <f>IF('2 EstudiantadoEstProf'!U39&lt;&gt;0,'2 EstudiantadoEstProf'!U39,"-")</f>
        <v>1</v>
      </c>
      <c r="G33" s="58">
        <f>IF('2 EstudiantadoEstProf'!V39&lt;&gt;0,'2 EstudiantadoEstProf'!V39,"-")</f>
        <v>1</v>
      </c>
      <c r="H33" s="58" t="str">
        <f>IF('2 EstudiantadoEstProf'!W39&lt;&gt;0,'2 EstudiantadoEstProf'!W39,"-")</f>
        <v>Anual</v>
      </c>
      <c r="I33" s="58" t="str">
        <f>IF('2 EstudiantadoEstProf'!X39&lt;&gt;0,'2 EstudiantadoEstProf'!X39,"-")</f>
        <v>Subdirección Académica y coordinaciones de licenciatura</v>
      </c>
      <c r="J33" s="33"/>
      <c r="K33" s="38"/>
    </row>
    <row r="34" spans="1:12">
      <c r="A34" s="61"/>
      <c r="B34" s="62"/>
      <c r="C34" s="63"/>
      <c r="D34" s="63"/>
      <c r="E34" s="63"/>
      <c r="F34" s="63"/>
      <c r="G34" s="63"/>
      <c r="H34" s="63"/>
      <c r="I34" s="63"/>
      <c r="J34" s="63"/>
      <c r="L34" s="38"/>
    </row>
    <row r="35" spans="1:12">
      <c r="A35" s="64"/>
      <c r="B35" s="65"/>
      <c r="C35" s="66"/>
      <c r="D35" s="66"/>
      <c r="E35" s="66"/>
      <c r="F35" s="66"/>
      <c r="G35" s="66"/>
      <c r="H35" s="66"/>
      <c r="I35" s="66"/>
      <c r="J35" s="66"/>
    </row>
    <row r="36" spans="1:12" ht="16.5" customHeight="1">
      <c r="A36" s="214" t="s">
        <v>745</v>
      </c>
      <c r="B36" s="215"/>
      <c r="C36" s="216"/>
      <c r="D36" s="216"/>
      <c r="E36" s="216"/>
      <c r="F36" s="216"/>
      <c r="G36" s="216"/>
      <c r="H36" s="216"/>
      <c r="I36" s="216"/>
      <c r="J36" s="216"/>
    </row>
    <row r="37" spans="1:12">
      <c r="A37" s="217" t="s">
        <v>743</v>
      </c>
      <c r="B37" s="212" t="s">
        <v>731</v>
      </c>
      <c r="C37" s="212" t="s">
        <v>16</v>
      </c>
      <c r="D37" s="212">
        <v>2027</v>
      </c>
      <c r="E37" s="212">
        <v>2028</v>
      </c>
      <c r="F37" s="212">
        <v>2029</v>
      </c>
      <c r="G37" s="54" t="str">
        <f>TEXT($J$1,"mmmm")</f>
        <v>agosto</v>
      </c>
      <c r="H37" s="212" t="s">
        <v>744</v>
      </c>
      <c r="I37" s="212" t="s">
        <v>15</v>
      </c>
      <c r="J37" s="33"/>
    </row>
    <row r="38" spans="1:12" ht="16.5" customHeight="1" thickBot="1">
      <c r="A38" s="213"/>
      <c r="B38" s="213"/>
      <c r="C38" s="213"/>
      <c r="D38" s="213"/>
      <c r="E38" s="213"/>
      <c r="F38" s="213"/>
      <c r="G38" s="55">
        <v>2030</v>
      </c>
      <c r="H38" s="213"/>
      <c r="I38" s="213"/>
      <c r="J38" s="33"/>
    </row>
    <row r="39" spans="1:12" ht="16.5" customHeight="1" thickBot="1">
      <c r="A39" s="56">
        <v>1</v>
      </c>
      <c r="B39" s="57" t="str">
        <f>IF('3 Est avanzados excelencia'!I3&lt;&gt;0,'3 Est avanzados excelencia'!I3,"-")</f>
        <v>Contribuir desde la Facultad de Ingeniería al cumplimiento de la meta PRDI “Contar con 233 estudiantes de estudios avanzados participantes en estancias cortas o movilidad académica, a 2029”, con valores absolutos programados de 2027: 3, 2028: 4, 2029: 5, 2030: 5. Sustento en la Matriz de consistencia: «Realizar 1 reunión y 1 encuesta a estudiantes y profesorado de posgrado cada año de 2028 a 2030 y documentar los ajustes derivados.»</v>
      </c>
      <c r="C39" s="58" t="str">
        <f>IF('3 Est avanzados excelencia'!R3&lt;&gt;0,'3 Est avanzados excelencia'!R3,"-")</f>
        <v/>
      </c>
      <c r="D39" s="58">
        <f>IF('3 Est avanzados excelencia'!S3&lt;&gt;0,'3 Est avanzados excelencia'!S3,"-")</f>
        <v>3</v>
      </c>
      <c r="E39" s="58">
        <f>IF('3 Est avanzados excelencia'!T3&lt;&gt;0,'3 Est avanzados excelencia'!T3,"-")</f>
        <v>4</v>
      </c>
      <c r="F39" s="58">
        <f>IF('3 Est avanzados excelencia'!U3&lt;&gt;0,'3 Est avanzados excelencia'!U3,"-")</f>
        <v>5</v>
      </c>
      <c r="G39" s="58">
        <f>IF('3 Est avanzados excelencia'!V3&lt;&gt;0,'3 Est avanzados excelencia'!V3,"-")</f>
        <v>5</v>
      </c>
      <c r="H39" s="58" t="str">
        <f>IF('3 Est avanzados excelencia'!W3&lt;&gt;0,'3 Est avanzados excelencia'!W3,"-")</f>
        <v>Anual</v>
      </c>
      <c r="I39" s="58" t="str">
        <f>IF('3 Est avanzados excelencia'!X3&lt;&gt;0,'3 Est avanzados excelencia'!X3,"-")</f>
        <v>Coordinación de Estudios Avanzados</v>
      </c>
      <c r="J39" s="33"/>
    </row>
    <row r="40" spans="1:12" ht="16.5" customHeight="1" thickBot="1">
      <c r="A40" s="56">
        <v>2</v>
      </c>
      <c r="B40" s="57" t="str">
        <f>IF('3 Est avanzados excelencia'!I4&lt;&gt;0,'3 Est avanzados excelencia'!I4,"-")</f>
        <v>Contribuir desde la Facultad de Ingeniería al cumplimiento de la meta PRDI “Contar  4 350 alumnos en estudios avanzados, a 2029”, con valores absolutos programados de 2027: 40, 2028: 60, 2029: 80, 2030: 80.</v>
      </c>
      <c r="C40" s="58" t="str">
        <f>IF('3 Est avanzados excelencia'!R4&lt;&gt;0,'3 Est avanzados excelencia'!R4,"-")</f>
        <v/>
      </c>
      <c r="D40" s="58">
        <f>IF('3 Est avanzados excelencia'!S4&lt;&gt;0,'3 Est avanzados excelencia'!S4,"-")</f>
        <v>40</v>
      </c>
      <c r="E40" s="58">
        <f>IF('3 Est avanzados excelencia'!T4&lt;&gt;0,'3 Est avanzados excelencia'!T4,"-")</f>
        <v>60</v>
      </c>
      <c r="F40" s="58">
        <f>IF('3 Est avanzados excelencia'!U4&lt;&gt;0,'3 Est avanzados excelencia'!U4,"-")</f>
        <v>80</v>
      </c>
      <c r="G40" s="58">
        <f>IF('3 Est avanzados excelencia'!V4&lt;&gt;0,'3 Est avanzados excelencia'!V4,"-")</f>
        <v>80</v>
      </c>
      <c r="H40" s="58" t="str">
        <f>IF('3 Est avanzados excelencia'!W4&lt;&gt;0,'3 Est avanzados excelencia'!W4,"-")</f>
        <v>Anual</v>
      </c>
      <c r="I40" s="58" t="str">
        <f>IF('3 Est avanzados excelencia'!X4&lt;&gt;0,'3 Est avanzados excelencia'!X4,"-")</f>
        <v>Coordinación de Estudios Avanzados</v>
      </c>
      <c r="J40" s="33"/>
    </row>
    <row r="41" spans="1:12" ht="16.5" customHeight="1" thickBot="1">
      <c r="A41" s="56">
        <v>3</v>
      </c>
      <c r="B41" s="57" t="str">
        <f>IF('3 Est avanzados excelencia'!I5&lt;&gt;0,'3 Est avanzados excelencia'!I5,"-")</f>
        <v>Contribuir desde la Facultad de Ingeniería al cumplimiento de la meta PRDI “Ofertar 1 nuevo programa de estudios avanzados o diplomado superior en los CU y UAP vinculado con entidades de gobierno o industria, anualmente”, con valores absolutos programados de 2027: 1, 2028: 1, 2029: 1, 2030: 1.</v>
      </c>
      <c r="C41" s="58" t="str">
        <f>IF('3 Est avanzados excelencia'!R5&lt;&gt;0,'3 Est avanzados excelencia'!R5,"-")</f>
        <v/>
      </c>
      <c r="D41" s="58">
        <f>IF('3 Est avanzados excelencia'!S5&lt;&gt;0,'3 Est avanzados excelencia'!S5,"-")</f>
        <v>1</v>
      </c>
      <c r="E41" s="58">
        <f>IF('3 Est avanzados excelencia'!T5&lt;&gt;0,'3 Est avanzados excelencia'!T5,"-")</f>
        <v>1</v>
      </c>
      <c r="F41" s="58">
        <f>IF('3 Est avanzados excelencia'!U5&lt;&gt;0,'3 Est avanzados excelencia'!U5,"-")</f>
        <v>1</v>
      </c>
      <c r="G41" s="58">
        <f>IF('3 Est avanzados excelencia'!V5&lt;&gt;0,'3 Est avanzados excelencia'!V5,"-")</f>
        <v>1</v>
      </c>
      <c r="H41" s="58" t="str">
        <f>IF('3 Est avanzados excelencia'!W5&lt;&gt;0,'3 Est avanzados excelencia'!W5,"-")</f>
        <v>Anual</v>
      </c>
      <c r="I41" s="58" t="str">
        <f>IF('3 Est avanzados excelencia'!X5&lt;&gt;0,'3 Est avanzados excelencia'!X5,"-")</f>
        <v>Coordinación de Estudios Avanzados</v>
      </c>
      <c r="J41" s="33"/>
    </row>
    <row r="42" spans="1:12" ht="16.5" customHeight="1" thickBot="1">
      <c r="A42" s="56">
        <v>4</v>
      </c>
      <c r="B42" s="57" t="str">
        <f>IF('3 Est avanzados excelencia'!I6&lt;&gt;0,'3 Est avanzados excelencia'!I6,"-")</f>
        <v>Contribuir desde la Facultad de Ingeniería al cumplimiento de la meta PRDI “Registrar 50 protocolos de investigación de alumnos de estudios avanzados con temáticas vinculadas a la Agenda Estratégica de Investigación, anualmente”, con valores absolutos programados de 2027: 1, 2028: 1, 2029: 1, 2030: 1.</v>
      </c>
      <c r="C42" s="58" t="str">
        <f>IF('3 Est avanzados excelencia'!R6&lt;&gt;0,'3 Est avanzados excelencia'!R6,"-")</f>
        <v/>
      </c>
      <c r="D42" s="58">
        <f>IF('3 Est avanzados excelencia'!S6&lt;&gt;0,'3 Est avanzados excelencia'!S6,"-")</f>
        <v>1</v>
      </c>
      <c r="E42" s="58">
        <f>IF('3 Est avanzados excelencia'!T6&lt;&gt;0,'3 Est avanzados excelencia'!T6,"-")</f>
        <v>1</v>
      </c>
      <c r="F42" s="58">
        <f>IF('3 Est avanzados excelencia'!U6&lt;&gt;0,'3 Est avanzados excelencia'!U6,"-")</f>
        <v>1</v>
      </c>
      <c r="G42" s="58">
        <f>IF('3 Est avanzados excelencia'!V6&lt;&gt;0,'3 Est avanzados excelencia'!V6,"-")</f>
        <v>1</v>
      </c>
      <c r="H42" s="58" t="str">
        <f>IF('3 Est avanzados excelencia'!W6&lt;&gt;0,'3 Est avanzados excelencia'!W6,"-")</f>
        <v>Anual</v>
      </c>
      <c r="I42" s="58" t="str">
        <f>IF('3 Est avanzados excelencia'!X6&lt;&gt;0,'3 Est avanzados excelencia'!X6,"-")</f>
        <v>Coordinación de Estudios Avanzados</v>
      </c>
      <c r="J42" s="33"/>
    </row>
    <row r="43" spans="1:12" ht="16.5" customHeight="1" thickBot="1">
      <c r="A43" s="56">
        <v>5</v>
      </c>
      <c r="B43" s="57" t="str">
        <f>IF('3 Est avanzados excelencia'!I7&lt;&gt;0,'3 Est avanzados excelencia'!I7,"-")</f>
        <v>Contribuir desde la Facultad de Ingeniería al cumplimiento de la meta PRDI “Generar protocolos de acción para incrementar la tasa de graduación y la eficiencia terminal en 10 espacios académicos, en 2026”, con valores absolutos programados de 2027: 0, 2028: 0, 2029: 1, 2030: 0.</v>
      </c>
      <c r="C43" s="58" t="str">
        <f>IF('3 Est avanzados excelencia'!R7&lt;&gt;0,'3 Est avanzados excelencia'!R7,"-")</f>
        <v/>
      </c>
      <c r="D43" s="58" t="str">
        <f>IF('3 Est avanzados excelencia'!S7&lt;&gt;0,'3 Est avanzados excelencia'!S7,"-")</f>
        <v>-</v>
      </c>
      <c r="E43" s="58" t="str">
        <f>IF('3 Est avanzados excelencia'!T7&lt;&gt;0,'3 Est avanzados excelencia'!T7,"-")</f>
        <v>-</v>
      </c>
      <c r="F43" s="58">
        <f>IF('3 Est avanzados excelencia'!U7&lt;&gt;0,'3 Est avanzados excelencia'!U7,"-")</f>
        <v>1</v>
      </c>
      <c r="G43" s="58" t="str">
        <f>IF('3 Est avanzados excelencia'!V7&lt;&gt;0,'3 Est avanzados excelencia'!V7,"-")</f>
        <v>-</v>
      </c>
      <c r="H43" s="58" t="str">
        <f>IF('3 Est avanzados excelencia'!W7&lt;&gt;0,'3 Est avanzados excelencia'!W7,"-")</f>
        <v>Anual</v>
      </c>
      <c r="I43" s="58" t="str">
        <f>IF('3 Est avanzados excelencia'!X7&lt;&gt;0,'3 Est avanzados excelencia'!X7,"-")</f>
        <v>Coordinación de Estudios Avanzados</v>
      </c>
      <c r="J43" s="33"/>
    </row>
    <row r="44" spans="1:12" ht="16.5" customHeight="1" thickBot="1">
      <c r="A44" s="56">
        <v>6</v>
      </c>
      <c r="B44" s="57" t="str">
        <f>IF('3 Est avanzados excelencia'!I8&lt;&gt;0,'3 Est avanzados excelencia'!I8,"-")</f>
        <v>Contribuir desde la Facultad de Ingeniería al cumplimiento de la meta PRDI “Incrementar a 1190 graduados de estudios avanzados, a 2029”, con valores absolutos programados de 2027: 11, 2028: 17, 2029: 22, 2030: 22. Sustento en la Matriz de consistencia: «Realizar 1 revisión documentada de el ingreso, la permanencia y el egreso por posgrado en 2027 y actualizarla una vez al año de 2028 a 2030.»</v>
      </c>
      <c r="C44" s="58" t="str">
        <f>IF('3 Est avanzados excelencia'!R8&lt;&gt;0,'3 Est avanzados excelencia'!R8,"-")</f>
        <v/>
      </c>
      <c r="D44" s="58">
        <f>IF('3 Est avanzados excelencia'!S8&lt;&gt;0,'3 Est avanzados excelencia'!S8,"-")</f>
        <v>11</v>
      </c>
      <c r="E44" s="58">
        <f>IF('3 Est avanzados excelencia'!T8&lt;&gt;0,'3 Est avanzados excelencia'!T8,"-")</f>
        <v>17</v>
      </c>
      <c r="F44" s="58">
        <f>IF('3 Est avanzados excelencia'!U8&lt;&gt;0,'3 Est avanzados excelencia'!U8,"-")</f>
        <v>22</v>
      </c>
      <c r="G44" s="58">
        <f>IF('3 Est avanzados excelencia'!V8&lt;&gt;0,'3 Est avanzados excelencia'!V8,"-")</f>
        <v>22</v>
      </c>
      <c r="H44" s="58" t="str">
        <f>IF('3 Est avanzados excelencia'!W8&lt;&gt;0,'3 Est avanzados excelencia'!W8,"-")</f>
        <v>Anual</v>
      </c>
      <c r="I44" s="58" t="str">
        <f>IF('3 Est avanzados excelencia'!X8&lt;&gt;0,'3 Est avanzados excelencia'!X8,"-")</f>
        <v>Coordinación de Estudios Avanzados</v>
      </c>
      <c r="J44" s="33"/>
    </row>
    <row r="45" spans="1:12" ht="16.5" customHeight="1" thickBot="1">
      <c r="A45" s="56">
        <v>7</v>
      </c>
      <c r="B45" s="57" t="str">
        <f>IF('Indicadores x proyec'!B32&lt;&gt;0,'Indicadores x proyec'!B32,"-")</f>
        <v>Mejorar o mantener de forma conservadora en la Facultad de Ingeniería el indicador IND-PRDI-365, con la trayectoria 2027: 15.15%, 2028: 18.18%, 2029: 18.18%, 2030: 18.18%, sustentada en referencia PRDI; no existe serie histórica directamente comparable para la variable. Sustento en la Matriz de consistencia: «Validar y documentar el valor de Ref. 2026 durante 2027 y, una vez confirmado, mantenerlo o mejorarlo hasta 2030.»</v>
      </c>
      <c r="C45" s="60" t="e">
        <f>IF('Indicadores x proyec'!D32/100&lt;&gt;0,'Indicadores x proyec'!D32/100,"-")</f>
        <v>#VALUE!</v>
      </c>
      <c r="D45" s="60">
        <f>IF('Indicadores x proyec'!E32/100&lt;&gt;0,'Indicadores x proyec'!E32/100,"-")</f>
        <v>0.15151515151515152</v>
      </c>
      <c r="E45" s="60">
        <f>IF('Indicadores x proyec'!F32/100&lt;&gt;0,'Indicadores x proyec'!F32/100,"-")</f>
        <v>0.18181818181818182</v>
      </c>
      <c r="F45" s="60">
        <f>IF('Indicadores x proyec'!G32/100&lt;&gt;0,'Indicadores x proyec'!G32/100,"-")</f>
        <v>0.18181818181818182</v>
      </c>
      <c r="G45" s="60">
        <f>IF('Indicadores x proyec'!H32/100&lt;&gt;0,'Indicadores x proyec'!H32/100,"-")</f>
        <v>0.18181818181818182</v>
      </c>
      <c r="H45" s="58" t="str">
        <f>IF('Indicadores x proyec'!I32&lt;&gt;0,'Indicadores x proyec'!I32,"-")</f>
        <v>Anual</v>
      </c>
      <c r="I45" s="58" t="str">
        <f>IF('Indicadores x proyec'!J32&lt;&gt;0,'Indicadores x proyec'!J32,"-")</f>
        <v>Coordinación de Estudios Avanzados</v>
      </c>
      <c r="J45" s="33"/>
    </row>
    <row r="46" spans="1:12">
      <c r="A46" s="61"/>
      <c r="B46" s="62"/>
      <c r="C46" s="67"/>
      <c r="D46" s="67"/>
      <c r="E46" s="67"/>
      <c r="F46" s="67"/>
      <c r="G46" s="67"/>
      <c r="H46" s="67"/>
      <c r="I46" s="63"/>
      <c r="J46" s="63"/>
    </row>
    <row r="47" spans="1:12">
      <c r="A47" s="64"/>
      <c r="B47" s="65"/>
      <c r="C47" s="66"/>
      <c r="D47" s="66"/>
      <c r="E47" s="66"/>
      <c r="F47" s="66"/>
      <c r="G47" s="66"/>
      <c r="H47" s="66"/>
      <c r="I47" s="66"/>
      <c r="J47" s="66"/>
    </row>
    <row r="48" spans="1:12" ht="19.5" customHeight="1">
      <c r="A48" s="53" t="s">
        <v>746</v>
      </c>
      <c r="B48" s="68"/>
      <c r="C48" s="69"/>
      <c r="D48" s="69"/>
      <c r="E48" s="69"/>
      <c r="F48" s="69"/>
      <c r="G48" s="69"/>
      <c r="H48" s="69"/>
      <c r="I48" s="69"/>
      <c r="J48" s="69"/>
    </row>
    <row r="49" spans="1:10" ht="16.5" customHeight="1">
      <c r="A49" s="214" t="s">
        <v>747</v>
      </c>
      <c r="B49" s="215"/>
      <c r="C49" s="216"/>
      <c r="D49" s="216"/>
      <c r="E49" s="216"/>
      <c r="F49" s="216"/>
      <c r="G49" s="216"/>
      <c r="H49" s="216"/>
      <c r="I49" s="216"/>
      <c r="J49" s="216"/>
    </row>
    <row r="50" spans="1:10">
      <c r="A50" s="217" t="s">
        <v>743</v>
      </c>
      <c r="B50" s="212" t="s">
        <v>731</v>
      </c>
      <c r="C50" s="212" t="s">
        <v>16</v>
      </c>
      <c r="D50" s="212">
        <v>2027</v>
      </c>
      <c r="E50" s="212">
        <v>2028</v>
      </c>
      <c r="F50" s="212">
        <v>2029</v>
      </c>
      <c r="G50" s="54" t="str">
        <f>TEXT($J$1,"mmmm")</f>
        <v>agosto</v>
      </c>
      <c r="H50" s="212" t="s">
        <v>744</v>
      </c>
      <c r="I50" s="212" t="s">
        <v>15</v>
      </c>
      <c r="J50" s="33"/>
    </row>
    <row r="51" spans="1:10" ht="16.5" customHeight="1" thickBot="1">
      <c r="A51" s="213"/>
      <c r="B51" s="213"/>
      <c r="C51" s="213"/>
      <c r="D51" s="213"/>
      <c r="E51" s="213"/>
      <c r="F51" s="213"/>
      <c r="G51" s="55">
        <v>2030</v>
      </c>
      <c r="H51" s="213"/>
      <c r="I51" s="213"/>
      <c r="J51" s="33"/>
    </row>
    <row r="52" spans="1:10" ht="16.5" customHeight="1" thickBot="1">
      <c r="A52" s="56">
        <v>1</v>
      </c>
      <c r="B52" s="42" t="str">
        <f>IF('4 Investigación abierta'!I3&lt;&gt;0,'4 Investigación abierta'!I3,"-")</f>
        <v>Contribuir desde la Facultad de Ingeniería al cumplimiento de la meta PRDI “Contar con 200 CA de calidad, a 2028”, con valores absolutos programados de 2027: 3, 2028: 3, 2029: 3, 2030: 3. Sustento en la Matriz de consistencia: «Mantener al menos 3 cuerpos académicos de calidad en cada medición anual de 2027 a 2030.»</v>
      </c>
      <c r="C52" s="58">
        <f>IF('4 Investigación abierta'!R3&lt;&gt;0,'4 Investigación abierta'!R3,"-")</f>
        <v>3</v>
      </c>
      <c r="D52" s="58">
        <f>IF('4 Investigación abierta'!S3&lt;&gt;0,'4 Investigación abierta'!S3,"-")</f>
        <v>3</v>
      </c>
      <c r="E52" s="58">
        <f>IF('4 Investigación abierta'!T3&lt;&gt;0,'4 Investigación abierta'!T3,"-")</f>
        <v>3</v>
      </c>
      <c r="F52" s="58">
        <f>IF('4 Investigación abierta'!U3&lt;&gt;0,'4 Investigación abierta'!U3,"-")</f>
        <v>3</v>
      </c>
      <c r="G52" s="58">
        <f>IF('4 Investigación abierta'!V3&lt;&gt;0,'4 Investigación abierta'!V3,"-")</f>
        <v>3</v>
      </c>
      <c r="H52" s="58" t="str">
        <f>IF('4 Investigación abierta'!W3&lt;&gt;0,'4 Investigación abierta'!W3,"-")</f>
        <v>Anual</v>
      </c>
      <c r="I52" s="58" t="str">
        <f>IF('4 Investigación abierta'!X3&lt;&gt;0,'4 Investigación abierta'!X3,"-")</f>
        <v>Coordinación de Investigación</v>
      </c>
      <c r="J52" s="33"/>
    </row>
    <row r="53" spans="1:10" ht="16.5" customHeight="1" thickBot="1">
      <c r="A53" s="56">
        <v>2</v>
      </c>
      <c r="B53" s="57" t="str">
        <f>IF('Indicadores x proyec'!B38&lt;&gt;0,'Indicadores x proyec'!B38,"-")</f>
        <v>Mejorar o mantener de forma conservadora en la Facultad de Ingeniería el indicador IND-PRDI-221, con la trayectoria 2027: 100%, 2028: 100%, 2029: 100%, 2030: 100%, sustentada en serie histórica directamente comparable del sitio.</v>
      </c>
      <c r="C53" s="60" t="e">
        <f>IF('Indicadores x proyec'!D38/100&lt;&gt;0,'Indicadores x proyec'!D38/100,"-")</f>
        <v>#VALUE!</v>
      </c>
      <c r="D53" s="60">
        <f>IF('Indicadores x proyec'!E38/100&lt;&gt;0,'Indicadores x proyec'!E38/100,"-")</f>
        <v>1</v>
      </c>
      <c r="E53" s="60">
        <f>IF('Indicadores x proyec'!F38/100&lt;&gt;0,'Indicadores x proyec'!F38/100,"-")</f>
        <v>1</v>
      </c>
      <c r="F53" s="60">
        <f>IF('Indicadores x proyec'!G38/100&lt;&gt;0,'Indicadores x proyec'!G38/100,"-")</f>
        <v>1</v>
      </c>
      <c r="G53" s="60">
        <f>IF('Indicadores x proyec'!H38/100&lt;&gt;0,'Indicadores x proyec'!H38/100,"-")</f>
        <v>1</v>
      </c>
      <c r="H53" s="58" t="str">
        <f>IF('Indicadores x proyec'!I38&lt;&gt;0,'Indicadores x proyec'!I38,"-")</f>
        <v>Anual</v>
      </c>
      <c r="I53" s="58" t="str">
        <f>IF('Indicadores x proyec'!J38&lt;&gt;0,'Indicadores x proyec'!J38,"-")</f>
        <v>Coordinación de Investigación</v>
      </c>
      <c r="J53" s="33"/>
    </row>
    <row r="54" spans="1:10" ht="16.5" customHeight="1" thickBot="1">
      <c r="A54" s="56">
        <v>3</v>
      </c>
      <c r="B54" s="57" t="str">
        <f>IF('Indicadores x proyec'!B40&lt;&gt;0,'Indicadores x proyec'!B40,"-")</f>
        <v>Mejorar o mantener de forma conservadora en la Facultad de Ingeniería el indicador IND-PRDI-368, con la trayectoria 2027: 47.14%, 2028: 48.57%, 2029: 49.3%, 2030: 49.3%, sustentada en referencia PRDI; no existe serie histórica directamente comparable para la variable.</v>
      </c>
      <c r="C54" s="60" t="e">
        <f>IF('Indicadores x proyec'!D40/100&lt;&gt;0,'Indicadores x proyec'!D40/100,"-")</f>
        <v>#VALUE!</v>
      </c>
      <c r="D54" s="60">
        <f>IF('Indicadores x proyec'!E40/100&lt;&gt;0,'Indicadores x proyec'!E40/100,"-")</f>
        <v>0.47142857142857136</v>
      </c>
      <c r="E54" s="60">
        <f>IF('Indicadores x proyec'!F40/100&lt;&gt;0,'Indicadores x proyec'!F40/100,"-")</f>
        <v>0.48571428571428571</v>
      </c>
      <c r="F54" s="60">
        <f>IF('Indicadores x proyec'!G40/100&lt;&gt;0,'Indicadores x proyec'!G40/100,"-")</f>
        <v>0.49295774647887325</v>
      </c>
      <c r="G54" s="60">
        <f>IF('Indicadores x proyec'!H40/100&lt;&gt;0,'Indicadores x proyec'!H40/100,"-")</f>
        <v>0.49295774647887325</v>
      </c>
      <c r="H54" s="58" t="str">
        <f>IF('Indicadores x proyec'!I40&lt;&gt;0,'Indicadores x proyec'!I40,"-")</f>
        <v>Anual</v>
      </c>
      <c r="I54" s="58" t="str">
        <f>IF('Indicadores x proyec'!J40&lt;&gt;0,'Indicadores x proyec'!J40,"-")</f>
        <v>Coordinación de Investigación</v>
      </c>
      <c r="J54" s="33"/>
    </row>
    <row r="55" spans="1:10" ht="16.5" customHeight="1" thickBot="1">
      <c r="A55" s="56">
        <v>4</v>
      </c>
      <c r="B55" s="57" t="str">
        <f>IF('Indicadores x proyec'!B42&lt;&gt;0,'Indicadores x proyec'!B42,"-")</f>
        <v>Mejorar o mantener de forma conservadora en la Facultad de Ingeniería el indicador IND-PRDI-370, con la trayectoria 2027: 47.14%, 2028: 48.57%, 2029: 49.3%, 2030: 49.3%, sustentada en referencia PRDI; no existe serie histórica directamente comparable para la variable.</v>
      </c>
      <c r="C55" s="60" t="e">
        <f>IF('Indicadores x proyec'!D42/100&lt;&gt;0,'Indicadores x proyec'!D42/100,"-")</f>
        <v>#VALUE!</v>
      </c>
      <c r="D55" s="60">
        <f>IF('Indicadores x proyec'!E42/100&lt;&gt;0,'Indicadores x proyec'!E42/100,"-")</f>
        <v>0.47142857142857136</v>
      </c>
      <c r="E55" s="60">
        <f>IF('Indicadores x proyec'!F42/100&lt;&gt;0,'Indicadores x proyec'!F42/100,"-")</f>
        <v>0.48571428571428571</v>
      </c>
      <c r="F55" s="60">
        <f>IF('Indicadores x proyec'!G42/100&lt;&gt;0,'Indicadores x proyec'!G42/100,"-")</f>
        <v>0.49295774647887325</v>
      </c>
      <c r="G55" s="60">
        <f>IF('Indicadores x proyec'!H42/100&lt;&gt;0,'Indicadores x proyec'!H42/100,"-")</f>
        <v>0.49295774647887325</v>
      </c>
      <c r="H55" s="58" t="str">
        <f>IF('Indicadores x proyec'!I42&lt;&gt;0,'Indicadores x proyec'!I42,"-")</f>
        <v>Anual</v>
      </c>
      <c r="I55" s="58" t="str">
        <f>IF('Indicadores x proyec'!J42&lt;&gt;0,'Indicadores x proyec'!J42,"-")</f>
        <v>Coordinación de Investigación</v>
      </c>
      <c r="J55" s="33"/>
    </row>
    <row r="56" spans="1:10" ht="16.5" customHeight="1" thickBot="1">
      <c r="A56" s="56">
        <v>5</v>
      </c>
      <c r="B56" s="42" t="str">
        <f>IF('4 Investigación abierta'!I10&lt;&gt;0,'4 Investigación abierta'!I10,"-")</f>
        <v>Contribuir desde la Facultad de Ingeniería al cumplimiento de la meta PRDI “Atender las necesidades prioritarias de mantenimiento, equipamiento y medidas de seguridad de 115 laboratorios de investigación, a 2029”, con valores absolutos programados de 2027: 2, 2028: 3, 2029: 3, 2030: 3.</v>
      </c>
      <c r="C56" s="58" t="str">
        <f>IF('4 Investigación abierta'!R10&lt;&gt;0,'4 Investigación abierta'!R10,"-")</f>
        <v/>
      </c>
      <c r="D56" s="58">
        <f>IF('4 Investigación abierta'!S10&lt;&gt;0,'4 Investigación abierta'!S10,"-")</f>
        <v>2</v>
      </c>
      <c r="E56" s="58">
        <f>IF('4 Investigación abierta'!T10&lt;&gt;0,'4 Investigación abierta'!T10,"-")</f>
        <v>3</v>
      </c>
      <c r="F56" s="58">
        <f>IF('4 Investigación abierta'!U10&lt;&gt;0,'4 Investigación abierta'!U10,"-")</f>
        <v>3</v>
      </c>
      <c r="G56" s="58">
        <f>IF('4 Investigación abierta'!V10&lt;&gt;0,'4 Investigación abierta'!V10,"-")</f>
        <v>3</v>
      </c>
      <c r="H56" s="58" t="str">
        <f>IF('4 Investigación abierta'!W10&lt;&gt;0,'4 Investigación abierta'!W10,"-")</f>
        <v>Anual</v>
      </c>
      <c r="I56" s="58" t="str">
        <f>IF('4 Investigación abierta'!X10&lt;&gt;0,'4 Investigación abierta'!X10,"-")</f>
        <v>Coordinación de Investigación</v>
      </c>
      <c r="J56" s="33"/>
    </row>
    <row r="57" spans="1:10" ht="16.5" customHeight="1" thickBot="1">
      <c r="A57" s="56">
        <v>6</v>
      </c>
      <c r="B57" s="126" t="str">
        <f>IF('4 Investigación abierta'!I11&lt;&gt;0,'4 Investigación abierta'!I11,"-")</f>
        <v>Contribuir desde la Facultad de Ingeniería al cumplimiento de la meta PRDI “Promover la participación en 2 convocatorias externas de proyectos de investigación, anualmente”, con valores absolutos programados de 2027: 1, 2028: 1, 2029: 1, 2030: 1. Sustento en la Matriz de consistencia: «Realizar 1 revisión documentada de los productos y colaboraciones de investigación en 2027 y actualizarla una vez al año de 2028 a 2030.»</v>
      </c>
      <c r="C57" s="58" t="str">
        <f>IF('4 Investigación abierta'!R11&lt;&gt;0,'4 Investigación abierta'!R11,"-")</f>
        <v/>
      </c>
      <c r="D57" s="58">
        <f>IF('4 Investigación abierta'!S11&lt;&gt;0,'4 Investigación abierta'!S11,"-")</f>
        <v>1</v>
      </c>
      <c r="E57" s="58">
        <f>IF('4 Investigación abierta'!T11&lt;&gt;0,'4 Investigación abierta'!T11,"-")</f>
        <v>1</v>
      </c>
      <c r="F57" s="58">
        <f>IF('4 Investigación abierta'!U11&lt;&gt;0,'4 Investigación abierta'!U11,"-")</f>
        <v>1</v>
      </c>
      <c r="G57" s="58">
        <f>IF('4 Investigación abierta'!V11&lt;&gt;0,'4 Investigación abierta'!V11,"-")</f>
        <v>1</v>
      </c>
      <c r="H57" s="58" t="str">
        <f>IF('4 Investigación abierta'!W11&lt;&gt;0,'4 Investigación abierta'!W11,"-")</f>
        <v>Anual</v>
      </c>
      <c r="I57" s="58" t="str">
        <f>IF('4 Investigación abierta'!X11&lt;&gt;0,'4 Investigación abierta'!X11,"-")</f>
        <v>Coordinación de Investigación</v>
      </c>
      <c r="J57" s="33"/>
    </row>
    <row r="58" spans="1:10" ht="16.5" customHeight="1" thickBot="1">
      <c r="A58" s="56">
        <v>7</v>
      </c>
      <c r="B58" s="57" t="str">
        <f>IF('Indicadores x proyec'!B44&lt;&gt;0,'Indicadores x proyec'!B44,"-")</f>
        <v>Mejorar o mantener de forma conservadora en la Facultad de Ingeniería el indicador IND-PRDI-367, con la trayectoria 2027: 20%, 2028: 20%, 2029: 20%, 2030: 20%, sustentada en referencia PRDI; no existe serie histórica directamente comparable para la variable.</v>
      </c>
      <c r="C58" s="60" t="e">
        <f>IF('Indicadores x proyec'!D44/100&lt;&gt;0,'Indicadores x proyec'!D44/100,"-")</f>
        <v>#VALUE!</v>
      </c>
      <c r="D58" s="60">
        <f>IF('Indicadores x proyec'!E44/100&lt;&gt;0,'Indicadores x proyec'!E44/100,"-")</f>
        <v>0.2</v>
      </c>
      <c r="E58" s="60">
        <f>IF('Indicadores x proyec'!F44/100&lt;&gt;0,'Indicadores x proyec'!F44/100,"-")</f>
        <v>0.2</v>
      </c>
      <c r="F58" s="60">
        <f>IF('Indicadores x proyec'!G44/100&lt;&gt;0,'Indicadores x proyec'!G44/100,"-")</f>
        <v>0.2</v>
      </c>
      <c r="G58" s="60">
        <f>IF('Indicadores x proyec'!H44/100&lt;&gt;0,'Indicadores x proyec'!H44/100,"-")</f>
        <v>0.2</v>
      </c>
      <c r="H58" s="58" t="str">
        <f>IF('Indicadores x proyec'!I44&lt;&gt;0,'Indicadores x proyec'!I44,"-")</f>
        <v>Anual</v>
      </c>
      <c r="I58" s="58" t="str">
        <f>IF('Indicadores x proyec'!J44&lt;&gt;0,'Indicadores x proyec'!J44,"-")</f>
        <v>Coordinación de Investigación</v>
      </c>
      <c r="J58" s="33"/>
    </row>
    <row r="59" spans="1:10" ht="16.5" customHeight="1" thickBot="1">
      <c r="A59" s="56">
        <v>8</v>
      </c>
      <c r="B59" s="57" t="str">
        <f>IF('Indicadores x proyec'!B46&lt;&gt;0,'Indicadores x proyec'!B46,"-")</f>
        <v>Mejorar o mantener de forma conservadora en la Facultad de Ingeniería el indicador IND-PRDI-225, con la trayectoria 2027: 50%, 2028: 52.5%, 2029: 52.5%, 2030: 53.66%, sustentada en referencia PRDI; no existe serie histórica directamente comparable para la variable. Sustento en la Matriz de consistencia: «Registrar 1 acuerdo de mejora sobre los productos y colaboraciones de investigación en 2028 y revisar su cumplimiento anualmente hasta 2030.»</v>
      </c>
      <c r="C59" s="60" t="e">
        <f>IF('Indicadores x proyec'!D46/100&lt;&gt;0,'Indicadores x proyec'!D46/100,"-")</f>
        <v>#VALUE!</v>
      </c>
      <c r="D59" s="60">
        <f>IF('Indicadores x proyec'!E46/100&lt;&gt;0,'Indicadores x proyec'!E46/100,"-")</f>
        <v>0.5</v>
      </c>
      <c r="E59" s="60">
        <f>IF('Indicadores x proyec'!F46/100&lt;&gt;0,'Indicadores x proyec'!F46/100,"-")</f>
        <v>0.52500000000000002</v>
      </c>
      <c r="F59" s="60">
        <f>IF('Indicadores x proyec'!G46/100&lt;&gt;0,'Indicadores x proyec'!G46/100,"-")</f>
        <v>0.52500000000000002</v>
      </c>
      <c r="G59" s="60">
        <f>IF('Indicadores x proyec'!H46/100&lt;&gt;0,'Indicadores x proyec'!H46/100,"-")</f>
        <v>0.53658536585365857</v>
      </c>
      <c r="H59" s="58" t="str">
        <f>IF('Indicadores x proyec'!I46&lt;&gt;0,'Indicadores x proyec'!I46,"-")</f>
        <v>Anual</v>
      </c>
      <c r="I59" s="58" t="str">
        <f>IF('Indicadores x proyec'!J46&lt;&gt;0,'Indicadores x proyec'!J46,"-")</f>
        <v>Coordinación de Investigación</v>
      </c>
      <c r="J59" s="33"/>
    </row>
    <row r="60" spans="1:10">
      <c r="A60" s="68"/>
      <c r="B60" s="68"/>
      <c r="C60" s="69"/>
      <c r="D60" s="69"/>
      <c r="E60" s="69"/>
      <c r="F60" s="69"/>
      <c r="G60" s="69"/>
      <c r="H60" s="69"/>
      <c r="I60" s="69"/>
      <c r="J60" s="69"/>
    </row>
    <row r="61" spans="1:10">
      <c r="A61" s="68"/>
      <c r="B61" s="68"/>
      <c r="C61" s="69"/>
      <c r="D61" s="69"/>
      <c r="E61" s="69"/>
      <c r="F61" s="69"/>
      <c r="G61" s="69"/>
      <c r="H61" s="69"/>
      <c r="I61" s="69"/>
      <c r="J61" s="69"/>
    </row>
    <row r="62" spans="1:10" ht="16.5" customHeight="1">
      <c r="A62" s="219" t="s">
        <v>748</v>
      </c>
      <c r="B62" s="215"/>
      <c r="C62" s="216"/>
      <c r="D62" s="216"/>
      <c r="E62" s="216"/>
      <c r="F62" s="216"/>
      <c r="G62" s="216"/>
      <c r="H62" s="216"/>
      <c r="I62" s="216"/>
      <c r="J62" s="216"/>
    </row>
    <row r="63" spans="1:10">
      <c r="A63" s="217" t="s">
        <v>743</v>
      </c>
      <c r="B63" s="212" t="s">
        <v>731</v>
      </c>
      <c r="C63" s="212" t="s">
        <v>16</v>
      </c>
      <c r="D63" s="212">
        <v>2027</v>
      </c>
      <c r="E63" s="212">
        <v>2028</v>
      </c>
      <c r="F63" s="212">
        <v>2029</v>
      </c>
      <c r="G63" s="54" t="str">
        <f>TEXT($J$1,"mmmm")</f>
        <v>agosto</v>
      </c>
      <c r="H63" s="212" t="s">
        <v>744</v>
      </c>
      <c r="I63" s="212" t="s">
        <v>15</v>
      </c>
      <c r="J63" s="33"/>
    </row>
    <row r="64" spans="1:10" ht="16.5" customHeight="1" thickBot="1">
      <c r="A64" s="213"/>
      <c r="B64" s="213"/>
      <c r="C64" s="213"/>
      <c r="D64" s="213"/>
      <c r="E64" s="213"/>
      <c r="F64" s="213"/>
      <c r="G64" s="55">
        <v>2030</v>
      </c>
      <c r="H64" s="213"/>
      <c r="I64" s="213"/>
      <c r="J64" s="33"/>
    </row>
    <row r="65" spans="1:12" ht="16.5" customHeight="1" thickBot="1">
      <c r="A65" s="56">
        <v>1</v>
      </c>
      <c r="B65" s="126" t="str">
        <f>IF('5 Innovación, desarrollo tec'!I3&lt;&gt;0,'5 Innovación, desarrollo tec'!I3,"-")</f>
        <v>Contribuir desde la Facultad de Ingeniería al cumplimiento de la meta PRDI “Contar con 222 expedientes, registros y patentes ante el IMPI, a 2029”, con valores absolutos programados de 2027: 3, 2028: 4, 2029: 5, 2030: 5. Sustento en la Matriz de consistencia: «Realizar 1 revisión documentada de las capacidades de laboratorios y la demanda externa en 2027 y actualizarla una vez al año de 2028 a 2030.»</v>
      </c>
      <c r="C65" s="58" t="str">
        <f>IF('5 Innovación, desarrollo tec'!R3&lt;&gt;0,'5 Innovación, desarrollo tec'!R3,"-")</f>
        <v/>
      </c>
      <c r="D65" s="58">
        <f>IF('5 Innovación, desarrollo tec'!S3&lt;&gt;0,'5 Innovación, desarrollo tec'!S3,"-")</f>
        <v>3</v>
      </c>
      <c r="E65" s="58">
        <f>IF('5 Innovación, desarrollo tec'!T3&lt;&gt;0,'5 Innovación, desarrollo tec'!T3,"-")</f>
        <v>4</v>
      </c>
      <c r="F65" s="58">
        <f>IF('5 Innovación, desarrollo tec'!U3&lt;&gt;0,'5 Innovación, desarrollo tec'!U3,"-")</f>
        <v>5</v>
      </c>
      <c r="G65" s="58">
        <f>IF('5 Innovación, desarrollo tec'!V3&lt;&gt;0,'5 Innovación, desarrollo tec'!V3,"-")</f>
        <v>5</v>
      </c>
      <c r="H65" s="58" t="str">
        <f>IF('5 Innovación, desarrollo tec'!W3&lt;&gt;0,'5 Innovación, desarrollo tec'!W3,"-")</f>
        <v>Anual</v>
      </c>
      <c r="I65" s="58" t="str">
        <f>IF('5 Innovación, desarrollo tec'!X3&lt;&gt;0,'5 Innovación, desarrollo tec'!X3,"-")</f>
        <v>Coordinación de Investigación y Vinculación</v>
      </c>
      <c r="J65" s="33"/>
    </row>
    <row r="66" spans="1:12" ht="16.5" customHeight="1" thickBot="1">
      <c r="A66" s="56">
        <v>2</v>
      </c>
      <c r="B66" s="126" t="str">
        <f>IF('5 Innovación, desarrollo tec'!I4&lt;&gt;0,'5 Innovación, desarrollo tec'!I4,"-")</f>
        <v>Contribuir desde la Facultad de Ingeniería al cumplimiento de la meta PRDI “Capacitar a 100 miembros de la comunidad universitaria en materia de propiedad intelectual y gestión de activos de conocimiento, anualmente”, con valores absolutos programados de 2027: 2, 2028: 2, 2029: 2, 2030: 2. Sustento en la Matriz de consistencia: «Integrar 1 cartera de capacidades, prototipos y necesidades externas en 2027 y actualizarla cada año hasta 2030.» «Registrar 1 acuerdo de mejora sobre las capacidades de laboratorios y la demanda externa en 2028 y revisar su cumplimiento anualmente hasta 2030.»</v>
      </c>
      <c r="C66" s="58" t="str">
        <f>IF('5 Innovación, desarrollo tec'!R4&lt;&gt;0,'5 Innovación, desarrollo tec'!R4,"-")</f>
        <v/>
      </c>
      <c r="D66" s="58">
        <f>IF('5 Innovación, desarrollo tec'!S4&lt;&gt;0,'5 Innovación, desarrollo tec'!S4,"-")</f>
        <v>2</v>
      </c>
      <c r="E66" s="58">
        <f>IF('5 Innovación, desarrollo tec'!T4&lt;&gt;0,'5 Innovación, desarrollo tec'!T4,"-")</f>
        <v>2</v>
      </c>
      <c r="F66" s="58">
        <f>IF('5 Innovación, desarrollo tec'!U4&lt;&gt;0,'5 Innovación, desarrollo tec'!U4,"-")</f>
        <v>2</v>
      </c>
      <c r="G66" s="58">
        <f>IF('5 Innovación, desarrollo tec'!V4&lt;&gt;0,'5 Innovación, desarrollo tec'!V4,"-")</f>
        <v>2</v>
      </c>
      <c r="H66" s="58" t="str">
        <f>IF('5 Innovación, desarrollo tec'!W4&lt;&gt;0,'5 Innovación, desarrollo tec'!W4,"-")</f>
        <v>Anual</v>
      </c>
      <c r="I66" s="58" t="str">
        <f>IF('5 Innovación, desarrollo tec'!X4&lt;&gt;0,'5 Innovación, desarrollo tec'!X4,"-")</f>
        <v>Coordinación de Investigación y Vinculación</v>
      </c>
      <c r="J66" s="33"/>
    </row>
    <row r="67" spans="1:12">
      <c r="A67" s="68"/>
      <c r="B67" s="68"/>
      <c r="C67" s="69"/>
      <c r="D67" s="69"/>
      <c r="E67" s="69"/>
      <c r="F67" s="69"/>
      <c r="G67" s="69"/>
      <c r="H67" s="69"/>
      <c r="I67" s="69"/>
      <c r="J67" s="69"/>
    </row>
    <row r="68" spans="1:12">
      <c r="A68" s="68"/>
      <c r="B68" s="68"/>
      <c r="C68" s="69"/>
      <c r="D68" s="69"/>
      <c r="E68" s="69"/>
      <c r="F68" s="69"/>
      <c r="G68" s="69"/>
      <c r="H68" s="69"/>
      <c r="I68" s="69"/>
      <c r="J68" s="69"/>
    </row>
    <row r="69" spans="1:12" ht="16.5" customHeight="1">
      <c r="A69" s="214" t="s">
        <v>749</v>
      </c>
      <c r="B69" s="215"/>
      <c r="C69" s="216"/>
      <c r="D69" s="216"/>
      <c r="E69" s="216"/>
      <c r="F69" s="216"/>
      <c r="G69" s="216"/>
      <c r="H69" s="216"/>
      <c r="I69" s="216"/>
      <c r="J69" s="216"/>
    </row>
    <row r="70" spans="1:12">
      <c r="A70" s="217" t="s">
        <v>743</v>
      </c>
      <c r="B70" s="217" t="s">
        <v>731</v>
      </c>
      <c r="C70" s="212" t="s">
        <v>16</v>
      </c>
      <c r="D70" s="212">
        <v>2027</v>
      </c>
      <c r="E70" s="212">
        <v>2028</v>
      </c>
      <c r="F70" s="212">
        <v>2029</v>
      </c>
      <c r="G70" s="54" t="str">
        <f>TEXT($J$1,"mmmm")</f>
        <v>agosto</v>
      </c>
      <c r="H70" s="212" t="s">
        <v>744</v>
      </c>
      <c r="I70" s="212" t="s">
        <v>15</v>
      </c>
      <c r="J70" s="33"/>
    </row>
    <row r="71" spans="1:12" ht="16.5" customHeight="1" thickBot="1">
      <c r="A71" s="213"/>
      <c r="B71" s="213"/>
      <c r="C71" s="213"/>
      <c r="D71" s="213"/>
      <c r="E71" s="213"/>
      <c r="F71" s="213"/>
      <c r="G71" s="55">
        <v>2030</v>
      </c>
      <c r="H71" s="213"/>
      <c r="I71" s="213"/>
      <c r="J71" s="33"/>
    </row>
    <row r="72" spans="1:12" ht="16.5" customHeight="1" thickBot="1">
      <c r="A72" s="58">
        <v>1</v>
      </c>
      <c r="B72" s="70" t="str">
        <f>IF('6 Dif y divulga de la ciencia'!I3&lt;&gt;0,'6 Dif y divulga de la ciencia'!I3,"-")</f>
        <v>Contribuir desde la Facultad de Ingeniería al cumplimiento de la meta PRDI “Realizar 1 programa de sostenibilidad y  fortalecimiento del Acceso Abierto no comercial para las revistas científicas editadas en la Universidad, anualmente”, con valores absolutos programados de 2027: 1, 2028: 1, 2029: 1, 2030: 1. Sustento en la Matriz de consistencia: «Registrar 1 acuerdo de mejora sobre los públicos y el alcance de la divulgación en 2028 y revisar su cumplimiento anualmente hasta 2030.»</v>
      </c>
      <c r="C72" s="58" t="str">
        <f>IF('6 Dif y divulga de la ciencia'!R3&lt;&gt;0,'6 Dif y divulga de la ciencia'!R3,"-")</f>
        <v/>
      </c>
      <c r="D72" s="58">
        <f>IF('6 Dif y divulga de la ciencia'!S3&lt;&gt;0,'6 Dif y divulga de la ciencia'!S3,"-")</f>
        <v>1</v>
      </c>
      <c r="E72" s="58">
        <f>IF('6 Dif y divulga de la ciencia'!T3&lt;&gt;0,'6 Dif y divulga de la ciencia'!T3,"-")</f>
        <v>1</v>
      </c>
      <c r="F72" s="58">
        <f>IF('6 Dif y divulga de la ciencia'!U3&lt;&gt;0,'6 Dif y divulga de la ciencia'!U3,"-")</f>
        <v>1</v>
      </c>
      <c r="G72" s="58">
        <f>IF('6 Dif y divulga de la ciencia'!V3&lt;&gt;0,'6 Dif y divulga de la ciencia'!V3,"-")</f>
        <v>1</v>
      </c>
      <c r="H72" s="58" t="str">
        <f>IF('6 Dif y divulga de la ciencia'!W3&lt;&gt;0,'6 Dif y divulga de la ciencia'!W3,"-")</f>
        <v>Anual</v>
      </c>
      <c r="I72" s="58" t="str">
        <f>IF('6 Dif y divulga de la ciencia'!X3&lt;&gt;0,'6 Dif y divulga de la ciencia'!X3,"-")</f>
        <v>Coordinación de Investigación y Difusión Científica</v>
      </c>
      <c r="J72" s="33"/>
    </row>
    <row r="73" spans="1:12" ht="16.5" customHeight="1" thickBot="1">
      <c r="A73" s="58">
        <v>2</v>
      </c>
      <c r="B73" s="70" t="str">
        <f>IF('6 Dif y divulga de la ciencia'!I4&lt;&gt;0,'6 Dif y divulga de la ciencia'!I4,"-")</f>
        <v>Contribuir desde la Facultad de Ingeniería al cumplimiento de la meta PRDI “Capacitar a 1000 miembros de la comunidad universitaria en Ciencia Abierta, anualmente”, con valores absolutos programados de 2027: 19, 2028: 19, 2029: 19, 2030: 19. Sustento en la Matriz de consistencia: «Realizar 1 revisión documentada de los públicos y el alcance de la divulgación en 2027 y actualizarla una vez al año de 2028 a 2030.»</v>
      </c>
      <c r="C73" s="58" t="str">
        <f>IF('6 Dif y divulga de la ciencia'!R4&lt;&gt;0,'6 Dif y divulga de la ciencia'!R4,"-")</f>
        <v/>
      </c>
      <c r="D73" s="58">
        <f>IF('6 Dif y divulga de la ciencia'!S4&lt;&gt;0,'6 Dif y divulga de la ciencia'!S4,"-")</f>
        <v>19</v>
      </c>
      <c r="E73" s="58">
        <f>IF('6 Dif y divulga de la ciencia'!T4&lt;&gt;0,'6 Dif y divulga de la ciencia'!T4,"-")</f>
        <v>19</v>
      </c>
      <c r="F73" s="58">
        <f>IF('6 Dif y divulga de la ciencia'!U4&lt;&gt;0,'6 Dif y divulga de la ciencia'!U4,"-")</f>
        <v>19</v>
      </c>
      <c r="G73" s="58">
        <f>IF('6 Dif y divulga de la ciencia'!V4&lt;&gt;0,'6 Dif y divulga de la ciencia'!V4,"-")</f>
        <v>19</v>
      </c>
      <c r="H73" s="58" t="str">
        <f>IF('6 Dif y divulga de la ciencia'!W4&lt;&gt;0,'6 Dif y divulga de la ciencia'!W4,"-")</f>
        <v>Anual</v>
      </c>
      <c r="I73" s="58" t="str">
        <f>IF('6 Dif y divulga de la ciencia'!X4&lt;&gt;0,'6 Dif y divulga de la ciencia'!X4,"-")</f>
        <v>Coordinación de Investigación y Difusión Científica</v>
      </c>
      <c r="J73" s="33"/>
      <c r="L73" s="42"/>
    </row>
    <row r="74" spans="1:12" ht="16.5" customHeight="1" thickBot="1">
      <c r="A74" s="58">
        <v>3</v>
      </c>
      <c r="B74" s="70" t="str">
        <f>IF('6 Dif y divulga de la ciencia'!I5&lt;&gt;0,'6 Dif y divulga de la ciencia'!I5,"-")</f>
        <v>Contribuir desde la Facultad de Ingeniería al cumplimiento de la meta PRDI “Realizar 1 evaluación de la calidad, criterios y políticas de Acceso Abierto Diamante de las publicaciones periódicas científicas institucionales, anualmente”, con valores absolutos programados de 2027: 1, 2028: 1, 2029: 1, 2030: 1. Sustento en la Matriz de consistencia: «Establecer 1 registro de divulgación en 2027 y publicar 1 informe anual de productos y alcance entre 2028 y 2030.»</v>
      </c>
      <c r="C74" s="58" t="str">
        <f>IF('6 Dif y divulga de la ciencia'!R5&lt;&gt;0,'6 Dif y divulga de la ciencia'!R5,"-")</f>
        <v/>
      </c>
      <c r="D74" s="58">
        <f>IF('6 Dif y divulga de la ciencia'!S5&lt;&gt;0,'6 Dif y divulga de la ciencia'!S5,"-")</f>
        <v>1</v>
      </c>
      <c r="E74" s="58">
        <f>IF('6 Dif y divulga de la ciencia'!T5&lt;&gt;0,'6 Dif y divulga de la ciencia'!T5,"-")</f>
        <v>1</v>
      </c>
      <c r="F74" s="58">
        <f>IF('6 Dif y divulga de la ciencia'!U5&lt;&gt;0,'6 Dif y divulga de la ciencia'!U5,"-")</f>
        <v>1</v>
      </c>
      <c r="G74" s="58">
        <f>IF('6 Dif y divulga de la ciencia'!V5&lt;&gt;0,'6 Dif y divulga de la ciencia'!V5,"-")</f>
        <v>1</v>
      </c>
      <c r="H74" s="58" t="str">
        <f>IF('6 Dif y divulga de la ciencia'!W5&lt;&gt;0,'6 Dif y divulga de la ciencia'!W5,"-")</f>
        <v>Anual</v>
      </c>
      <c r="I74" s="58" t="str">
        <f>IF('6 Dif y divulga de la ciencia'!X5&lt;&gt;0,'6 Dif y divulga de la ciencia'!X5,"-")</f>
        <v>Coordinación de Investigación y Difusión Científica</v>
      </c>
      <c r="J74" s="33"/>
    </row>
    <row r="75" spans="1:12">
      <c r="A75" s="63"/>
      <c r="B75" s="71"/>
      <c r="C75" s="61"/>
      <c r="D75" s="61"/>
      <c r="E75" s="61"/>
      <c r="F75" s="61"/>
      <c r="G75" s="61"/>
      <c r="H75" s="61"/>
      <c r="I75" s="61"/>
      <c r="J75" s="61"/>
    </row>
    <row r="76" spans="1:12" ht="19.5" customHeight="1">
      <c r="A76" s="53" t="s">
        <v>750</v>
      </c>
      <c r="B76" s="72"/>
      <c r="C76" s="73"/>
      <c r="D76" s="73"/>
      <c r="E76" s="73"/>
      <c r="F76" s="73"/>
      <c r="G76" s="73"/>
      <c r="H76" s="73"/>
      <c r="I76" s="73"/>
      <c r="J76" s="73"/>
    </row>
    <row r="77" spans="1:12" ht="16.5" customHeight="1">
      <c r="A77" s="214" t="s">
        <v>751</v>
      </c>
      <c r="B77" s="215"/>
      <c r="C77" s="216"/>
      <c r="D77" s="216"/>
      <c r="E77" s="216"/>
      <c r="F77" s="216"/>
      <c r="G77" s="216"/>
      <c r="H77" s="216"/>
      <c r="I77" s="216"/>
      <c r="J77" s="216"/>
    </row>
    <row r="78" spans="1:12">
      <c r="A78" s="217" t="s">
        <v>743</v>
      </c>
      <c r="B78" s="212" t="s">
        <v>731</v>
      </c>
      <c r="C78" s="212" t="s">
        <v>16</v>
      </c>
      <c r="D78" s="212">
        <v>2027</v>
      </c>
      <c r="E78" s="212">
        <v>2028</v>
      </c>
      <c r="F78" s="212">
        <v>2029</v>
      </c>
      <c r="G78" s="54" t="str">
        <f>TEXT($J$1,"mmmm")</f>
        <v>agosto</v>
      </c>
      <c r="H78" s="212" t="s">
        <v>744</v>
      </c>
      <c r="I78" s="212" t="s">
        <v>15</v>
      </c>
      <c r="J78" s="33"/>
    </row>
    <row r="79" spans="1:12" ht="16.5" customHeight="1" thickBot="1">
      <c r="A79" s="213"/>
      <c r="B79" s="213"/>
      <c r="C79" s="213"/>
      <c r="D79" s="213"/>
      <c r="E79" s="213"/>
      <c r="F79" s="213"/>
      <c r="G79" s="55">
        <v>2030</v>
      </c>
      <c r="H79" s="213"/>
      <c r="I79" s="213"/>
      <c r="J79" s="33"/>
    </row>
    <row r="80" spans="1:12" ht="16.5" customHeight="1" thickBot="1">
      <c r="A80" s="58">
        <v>1</v>
      </c>
      <c r="B80" s="74" t="str">
        <f>IF('7 Cultura desarrollo integral'!I3&lt;&gt;0,'7 Cultura desarrollo integral'!I3,"-")</f>
        <v>Contribuir desde la Facultad de Ingeniería al cumplimiento de la meta PRDI “Abrir 850 talleres culturales anualmente en beneficio de la colectividad universitaria de nivel superior”, con valores absolutos programados de 2027: 16, 2028: 16, 2029: 16, 2030: 16. Sustento en la Matriz de consistencia: «Realizar 1 reunión y 1 encuesta a estudiantes y responsables culturales cada año de 2028 a 2030 y documentar los ajustes derivados.»</v>
      </c>
      <c r="C80" s="58" t="str">
        <f>IF('7 Cultura desarrollo integral'!R3&lt;&gt;0,'7 Cultura desarrollo integral'!R3,"-")</f>
        <v/>
      </c>
      <c r="D80" s="58">
        <f>IF('7 Cultura desarrollo integral'!S3&lt;&gt;0,'7 Cultura desarrollo integral'!S3,"-")</f>
        <v>16</v>
      </c>
      <c r="E80" s="58">
        <f>IF('7 Cultura desarrollo integral'!T3&lt;&gt;0,'7 Cultura desarrollo integral'!T3,"-")</f>
        <v>16</v>
      </c>
      <c r="F80" s="58">
        <f>IF('7 Cultura desarrollo integral'!U3&lt;&gt;0,'7 Cultura desarrollo integral'!U3,"-")</f>
        <v>16</v>
      </c>
      <c r="G80" s="58">
        <f>IF('7 Cultura desarrollo integral'!V3&lt;&gt;0,'7 Cultura desarrollo integral'!V3,"-")</f>
        <v>16</v>
      </c>
      <c r="H80" s="58" t="str">
        <f>IF('7 Cultura desarrollo integral'!W3&lt;&gt;0,'7 Cultura desarrollo integral'!W3,"-")</f>
        <v xml:space="preserve">Anual </v>
      </c>
      <c r="I80" s="58" t="str">
        <f>IF('7 Cultura desarrollo integral'!X3&lt;&gt;0,'7 Cultura desarrollo integral'!X3,"-")</f>
        <v>Coordinación de Difusión Cultural</v>
      </c>
      <c r="J80" s="33"/>
    </row>
    <row r="81" spans="1:10" ht="16.5" customHeight="1" thickBot="1">
      <c r="A81" s="58">
        <v>2</v>
      </c>
      <c r="B81" s="74" t="str">
        <f>IF('7 Cultura desarrollo integral'!I4&lt;&gt;0,'7 Cultura desarrollo integral'!I4,"-")</f>
        <v>Contribuir desde la Facultad de Ingeniería al cumplimiento de la meta PRDI “Realizar 850 presentaciones artísticas anualmente.”, con valores absolutos programados de 2027: 16, 2028: 16, 2029: 16, 2030: 16.</v>
      </c>
      <c r="C81" s="58" t="str">
        <f>IF('7 Cultura desarrollo integral'!R4&lt;&gt;0,'7 Cultura desarrollo integral'!R4,"-")</f>
        <v/>
      </c>
      <c r="D81" s="58">
        <f>IF('7 Cultura desarrollo integral'!S4&lt;&gt;0,'7 Cultura desarrollo integral'!S4,"-")</f>
        <v>16</v>
      </c>
      <c r="E81" s="58">
        <f>IF('7 Cultura desarrollo integral'!T4&lt;&gt;0,'7 Cultura desarrollo integral'!T4,"-")</f>
        <v>16</v>
      </c>
      <c r="F81" s="58">
        <f>IF('7 Cultura desarrollo integral'!U4&lt;&gt;0,'7 Cultura desarrollo integral'!U4,"-")</f>
        <v>16</v>
      </c>
      <c r="G81" s="58">
        <f>IF('7 Cultura desarrollo integral'!V4&lt;&gt;0,'7 Cultura desarrollo integral'!V4,"-")</f>
        <v>16</v>
      </c>
      <c r="H81" s="58" t="str">
        <f>IF('7 Cultura desarrollo integral'!W4&lt;&gt;0,'7 Cultura desarrollo integral'!W4,"-")</f>
        <v xml:space="preserve">Anual </v>
      </c>
      <c r="I81" s="58" t="str">
        <f>IF('7 Cultura desarrollo integral'!X4&lt;&gt;0,'7 Cultura desarrollo integral'!X4,"-")</f>
        <v>Coordinación de Difusión Cultural</v>
      </c>
      <c r="J81" s="33"/>
    </row>
    <row r="82" spans="1:10" ht="16.5" customHeight="1" thickBot="1">
      <c r="A82" s="58">
        <v>3</v>
      </c>
      <c r="B82" s="74" t="str">
        <f>IF('7 Cultura desarrollo integral'!I5&lt;&gt;0,'7 Cultura desarrollo integral'!I5,"-")</f>
        <v>Contribuir desde la Facultad de Ingeniería al cumplimiento de la meta PRDI “Organizar 3 programas de fortalecimiento al talento audiovisual para desarrollar la creatividad cultural de los universitarios, durante la administración”, con valores absolutos programados de 2027: 1, 2028: 0, 2029: 0, 2030: 0.</v>
      </c>
      <c r="C82" s="58" t="str">
        <f>IF('7 Cultura desarrollo integral'!R5&lt;&gt;0,'7 Cultura desarrollo integral'!R5,"-")</f>
        <v/>
      </c>
      <c r="D82" s="58">
        <f>IF('7 Cultura desarrollo integral'!S5&lt;&gt;0,'7 Cultura desarrollo integral'!S5,"-")</f>
        <v>1</v>
      </c>
      <c r="E82" s="58" t="str">
        <f>IF('7 Cultura desarrollo integral'!T5&lt;&gt;0,'7 Cultura desarrollo integral'!T5,"-")</f>
        <v>-</v>
      </c>
      <c r="F82" s="58" t="str">
        <f>IF('7 Cultura desarrollo integral'!U5&lt;&gt;0,'7 Cultura desarrollo integral'!U5,"-")</f>
        <v>-</v>
      </c>
      <c r="G82" s="58" t="str">
        <f>IF('7 Cultura desarrollo integral'!V5&lt;&gt;0,'7 Cultura desarrollo integral'!V5,"-")</f>
        <v>-</v>
      </c>
      <c r="H82" s="58" t="str">
        <f>IF('7 Cultura desarrollo integral'!W5&lt;&gt;0,'7 Cultura desarrollo integral'!W5,"-")</f>
        <v xml:space="preserve">Anual </v>
      </c>
      <c r="I82" s="58" t="str">
        <f>IF('7 Cultura desarrollo integral'!X5&lt;&gt;0,'7 Cultura desarrollo integral'!X5,"-")</f>
        <v>Coordinación de Difusión Cultural</v>
      </c>
      <c r="J82" s="33"/>
    </row>
    <row r="83" spans="1:10" ht="16.5" customHeight="1" thickBot="1">
      <c r="A83" s="58">
        <v>4</v>
      </c>
      <c r="B83" s="74" t="str">
        <f>IF('7 Cultura desarrollo integral'!I6&lt;&gt;0,'7 Cultura desarrollo integral'!I6,"-")</f>
        <v>Contribuir desde la Facultad de Ingeniería al cumplimiento de la meta PRDI “Organizar 6 programas audiovisuales vanguardistas que fomenten la innovación cultural durante la administración”, con valores absolutos programados de 2027: 1, 2028: 0, 2029: 0, 2030: 0.</v>
      </c>
      <c r="C83" s="58" t="str">
        <f>IF('7 Cultura desarrollo integral'!R6&lt;&gt;0,'7 Cultura desarrollo integral'!R6,"-")</f>
        <v/>
      </c>
      <c r="D83" s="58">
        <f>IF('7 Cultura desarrollo integral'!S6&lt;&gt;0,'7 Cultura desarrollo integral'!S6,"-")</f>
        <v>1</v>
      </c>
      <c r="E83" s="58" t="str">
        <f>IF('7 Cultura desarrollo integral'!T6&lt;&gt;0,'7 Cultura desarrollo integral'!T6,"-")</f>
        <v>-</v>
      </c>
      <c r="F83" s="58" t="str">
        <f>IF('7 Cultura desarrollo integral'!U6&lt;&gt;0,'7 Cultura desarrollo integral'!U6,"-")</f>
        <v>-</v>
      </c>
      <c r="G83" s="58" t="str">
        <f>IF('7 Cultura desarrollo integral'!V6&lt;&gt;0,'7 Cultura desarrollo integral'!V6,"-")</f>
        <v>-</v>
      </c>
      <c r="H83" s="58" t="str">
        <f>IF('7 Cultura desarrollo integral'!W6&lt;&gt;0,'7 Cultura desarrollo integral'!W6,"-")</f>
        <v xml:space="preserve">Anual </v>
      </c>
      <c r="I83" s="58" t="str">
        <f>IF('7 Cultura desarrollo integral'!X6&lt;&gt;0,'7 Cultura desarrollo integral'!X6,"-")</f>
        <v>Coordinación de Difusión Cultural</v>
      </c>
      <c r="J83" s="33"/>
    </row>
    <row r="84" spans="1:10" ht="16.5" customHeight="1" thickBot="1">
      <c r="A84" s="58">
        <v>5</v>
      </c>
      <c r="B84" s="74" t="str">
        <f>IF('7 Cultura desarrollo integral'!I7&lt;&gt;0,'7 Cultura desarrollo integral'!I7,"-")</f>
        <v>Contribuir desde la Facultad de Ingeniería al cumplimiento de la meta PRDI “Realizar al año, 4 programas artísticos que contribuyan al fortalecimiento cultural de la comunidad universitaria”, con valores absolutos programados de 2027: 1, 2028: 1, 2029: 1, 2030: 1. Sustento en la Matriz de consistencia: «Realizar 1 revisión documentada de las barreras de participación cultural en 2027 y actualizarla una vez al año de 2028 a 2030.»</v>
      </c>
      <c r="C84" s="58" t="str">
        <f>IF('7 Cultura desarrollo integral'!R7&lt;&gt;0,'7 Cultura desarrollo integral'!R7,"-")</f>
        <v/>
      </c>
      <c r="D84" s="58">
        <f>IF('7 Cultura desarrollo integral'!S7&lt;&gt;0,'7 Cultura desarrollo integral'!S7,"-")</f>
        <v>1</v>
      </c>
      <c r="E84" s="58">
        <f>IF('7 Cultura desarrollo integral'!T7&lt;&gt;0,'7 Cultura desarrollo integral'!T7,"-")</f>
        <v>1</v>
      </c>
      <c r="F84" s="58">
        <f>IF('7 Cultura desarrollo integral'!U7&lt;&gt;0,'7 Cultura desarrollo integral'!U7,"-")</f>
        <v>1</v>
      </c>
      <c r="G84" s="58">
        <f>IF('7 Cultura desarrollo integral'!V7&lt;&gt;0,'7 Cultura desarrollo integral'!V7,"-")</f>
        <v>1</v>
      </c>
      <c r="H84" s="58" t="str">
        <f>IF('7 Cultura desarrollo integral'!W7&lt;&gt;0,'7 Cultura desarrollo integral'!W7,"-")</f>
        <v xml:space="preserve">Anual </v>
      </c>
      <c r="I84" s="58" t="str">
        <f>IF('7 Cultura desarrollo integral'!X7&lt;&gt;0,'7 Cultura desarrollo integral'!X7,"-")</f>
        <v>Coordinación de Difusión Cultural</v>
      </c>
      <c r="J84" s="33"/>
    </row>
    <row r="85" spans="1:10" ht="16.5" customHeight="1" thickBot="1">
      <c r="A85" s="58">
        <v>6</v>
      </c>
      <c r="B85" s="74" t="str">
        <f>IF('7 Cultura desarrollo integral'!I8&lt;&gt;0,'7 Cultura desarrollo integral'!I8,"-")</f>
        <v>Contribuir desde la Facultad de Ingeniería al cumplimiento de la meta PRDI “Realizar al año 1 festival cultural que reúna a los talentos de distintos talleres y espacios académicos”, con valores absolutos programados de 2027: 1, 2028: 1, 2029: 1, 2030: 1. Sustento en la Matriz de consistencia: «Realizar 1 diagnóstico de participación cultural en 2027 y revisar 1 programa anual de talleres entre 2028 y 2030.»</v>
      </c>
      <c r="C85" s="58" t="str">
        <f>IF('7 Cultura desarrollo integral'!R8&lt;&gt;0,'7 Cultura desarrollo integral'!R8,"-")</f>
        <v/>
      </c>
      <c r="D85" s="58">
        <f>IF('7 Cultura desarrollo integral'!S8&lt;&gt;0,'7 Cultura desarrollo integral'!S8,"-")</f>
        <v>1</v>
      </c>
      <c r="E85" s="58">
        <f>IF('7 Cultura desarrollo integral'!T8&lt;&gt;0,'7 Cultura desarrollo integral'!T8,"-")</f>
        <v>1</v>
      </c>
      <c r="F85" s="58">
        <f>IF('7 Cultura desarrollo integral'!U8&lt;&gt;0,'7 Cultura desarrollo integral'!U8,"-")</f>
        <v>1</v>
      </c>
      <c r="G85" s="58">
        <f>IF('7 Cultura desarrollo integral'!V8&lt;&gt;0,'7 Cultura desarrollo integral'!V8,"-")</f>
        <v>1</v>
      </c>
      <c r="H85" s="58" t="str">
        <f>IF('7 Cultura desarrollo integral'!W8&lt;&gt;0,'7 Cultura desarrollo integral'!W8,"-")</f>
        <v xml:space="preserve">Anual </v>
      </c>
      <c r="I85" s="58" t="str">
        <f>IF('7 Cultura desarrollo integral'!X8&lt;&gt;0,'7 Cultura desarrollo integral'!X8,"-")</f>
        <v>Coordinación de Difusión Cultural</v>
      </c>
      <c r="J85" s="33"/>
    </row>
    <row r="86" spans="1:10">
      <c r="A86" s="63"/>
      <c r="B86" s="72"/>
      <c r="C86" s="73"/>
      <c r="D86" s="73"/>
      <c r="E86" s="73"/>
      <c r="F86" s="73"/>
      <c r="G86" s="73"/>
      <c r="H86" s="73"/>
      <c r="I86" s="73"/>
      <c r="J86" s="73"/>
    </row>
    <row r="87" spans="1:10">
      <c r="A87" s="63"/>
      <c r="B87" s="72"/>
      <c r="C87" s="73"/>
      <c r="D87" s="73"/>
      <c r="E87" s="73"/>
      <c r="F87" s="73"/>
      <c r="G87" s="73"/>
      <c r="H87" s="73"/>
      <c r="I87" s="73"/>
      <c r="J87" s="73"/>
    </row>
    <row r="88" spans="1:10" ht="16.5" customHeight="1">
      <c r="A88" s="214" t="s">
        <v>752</v>
      </c>
      <c r="B88" s="215"/>
      <c r="C88" s="216"/>
      <c r="D88" s="216"/>
      <c r="E88" s="216"/>
      <c r="F88" s="216"/>
      <c r="G88" s="216"/>
      <c r="H88" s="216"/>
      <c r="I88" s="216"/>
      <c r="J88" s="216"/>
    </row>
    <row r="89" spans="1:10">
      <c r="A89" s="217" t="s">
        <v>743</v>
      </c>
      <c r="B89" s="212" t="s">
        <v>731</v>
      </c>
      <c r="C89" s="212" t="s">
        <v>16</v>
      </c>
      <c r="D89" s="212">
        <v>2027</v>
      </c>
      <c r="E89" s="212">
        <v>2028</v>
      </c>
      <c r="F89" s="212">
        <v>2029</v>
      </c>
      <c r="G89" s="54" t="str">
        <f>TEXT($J$1,"mmmm")</f>
        <v>agosto</v>
      </c>
      <c r="H89" s="212" t="s">
        <v>744</v>
      </c>
      <c r="I89" s="212" t="s">
        <v>15</v>
      </c>
      <c r="J89" s="33"/>
    </row>
    <row r="90" spans="1:10" ht="16.5" customHeight="1" thickBot="1">
      <c r="A90" s="213"/>
      <c r="B90" s="213"/>
      <c r="C90" s="213"/>
      <c r="D90" s="213"/>
      <c r="E90" s="213"/>
      <c r="F90" s="213"/>
      <c r="G90" s="55">
        <v>2030</v>
      </c>
      <c r="H90" s="213"/>
      <c r="I90" s="213"/>
      <c r="J90" s="33"/>
    </row>
    <row r="91" spans="1:10" ht="16.5" customHeight="1" thickBot="1">
      <c r="A91" s="58">
        <v>1</v>
      </c>
      <c r="B91" s="70" t="str">
        <f>IF('8 Deporte universitario'!I3&lt;&gt;0,'8 Deporte universitario'!I3,"-")</f>
        <v>Contribuir desde la Facultad de Ingeniería al cumplimiento de la meta PRDI “Organizar anualmente 12 eventos regionales que promuevan el bienestar, el autocuidado y la actividad física responsable”, con valores absolutos programados de 2027: 1, 2028: 1, 2029: 1, 2030: 1.</v>
      </c>
      <c r="C91" s="58" t="str">
        <f>IF('8 Deporte universitario'!R3&lt;&gt;0,'8 Deporte universitario'!R3,"-")</f>
        <v/>
      </c>
      <c r="D91" s="58">
        <f>IF('8 Deporte universitario'!S3&lt;&gt;0,'8 Deporte universitario'!S3,"-")</f>
        <v>1</v>
      </c>
      <c r="E91" s="58">
        <f>IF('8 Deporte universitario'!T3&lt;&gt;0,'8 Deporte universitario'!T3,"-")</f>
        <v>1</v>
      </c>
      <c r="F91" s="58">
        <f>IF('8 Deporte universitario'!U3&lt;&gt;0,'8 Deporte universitario'!U3,"-")</f>
        <v>1</v>
      </c>
      <c r="G91" s="58">
        <f>IF('8 Deporte universitario'!V3&lt;&gt;0,'8 Deporte universitario'!V3,"-")</f>
        <v>1</v>
      </c>
      <c r="H91" s="58" t="str">
        <f>IF('8 Deporte universitario'!W3&lt;&gt;0,'8 Deporte universitario'!W3,"-")</f>
        <v>Anual</v>
      </c>
      <c r="I91" s="58" t="str">
        <f>IF('8 Deporte universitario'!X3&lt;&gt;0,'8 Deporte universitario'!X3,"-")</f>
        <v>Coordinación de Actividades Deportivas</v>
      </c>
      <c r="J91" s="33"/>
    </row>
    <row r="92" spans="1:10" ht="16.5" customHeight="1" thickBot="1">
      <c r="A92" s="58">
        <v>2</v>
      </c>
      <c r="B92" s="70" t="str">
        <f>IF('Indicadores x proyec'!B52&lt;&gt;0,'Indicadores x proyec'!B52,"-")</f>
        <v>Mejorar o mantener de forma conservadora en la Facultad de Ingeniería el indicador IND-PRDI-372, con la trayectoria 2027: 39.08%, 2028: 39.65%, 2029: 40.42%, 2030: 40.97%, sustentada en referencia PRDI; no existe serie histórica directamente comparable para la variable.</v>
      </c>
      <c r="C92" s="60" t="e">
        <f>IF('Indicadores x proyec'!D52/100&lt;&gt;0,'Indicadores x proyec'!D52/100,"-")</f>
        <v>#VALUE!</v>
      </c>
      <c r="D92" s="60">
        <f>IF('Indicadores x proyec'!E52/100&lt;&gt;0,'Indicadores x proyec'!E52/100,"-")</f>
        <v>0.39084507042253519</v>
      </c>
      <c r="E92" s="60">
        <f>IF('Indicadores x proyec'!F52/100&lt;&gt;0,'Indicadores x proyec'!F52/100,"-")</f>
        <v>0.39649122807017551</v>
      </c>
      <c r="F92" s="60">
        <f>IF('Indicadores x proyec'!G52/100&lt;&gt;0,'Indicadores x proyec'!G52/100,"-")</f>
        <v>0.40418118466898956</v>
      </c>
      <c r="G92" s="60">
        <f>IF('Indicadores x proyec'!H52/100&lt;&gt;0,'Indicadores x proyec'!H52/100,"-")</f>
        <v>0.40972222222222221</v>
      </c>
      <c r="H92" s="58" t="str">
        <f>IF('Indicadores x proyec'!I52&lt;&gt;0,'Indicadores x proyec'!I52,"-")</f>
        <v>Anual</v>
      </c>
      <c r="I92" s="58" t="str">
        <f>IF('Indicadores x proyec'!J52&lt;&gt;0,'Indicadores x proyec'!J52,"-")</f>
        <v>Coordinación de Actividades Deportivas</v>
      </c>
      <c r="J92" s="33"/>
    </row>
    <row r="93" spans="1:10" ht="16.5" customHeight="1" thickBot="1">
      <c r="A93" s="58">
        <v>3</v>
      </c>
      <c r="B93" s="70" t="str">
        <f>IF('Indicadores x proyec'!B54&lt;&gt;0,'Indicadores x proyec'!B54,"-")</f>
        <v>Mejorar o mantener de forma conservadora en la Facultad de Ingeniería el indicador IND-PRDI-374, con la trayectoria 2027: 29.11%, 2028: 29.11%, 2029: 30%, 2030: 30%, sustentada en referencia PRDI; no existe serie histórica directamente comparable para la variable. Sustento en la Matriz de consistencia: «Realizar 1 revisión documentada de el acceso a espacios y actividades deportivas en 2027 y actualizarla una vez al año de 2028 a 2030.»</v>
      </c>
      <c r="C93" s="113" t="e">
        <f>IF('Indicadores x proyec'!D54/100&lt;&gt;0,'Indicadores x proyec'!D54/100,"-")</f>
        <v>#VALUE!</v>
      </c>
      <c r="D93" s="113">
        <f>IF('Indicadores x proyec'!E54/100&lt;&gt;0,'Indicadores x proyec'!E54/100,"-")</f>
        <v>0.29113924050632911</v>
      </c>
      <c r="E93" s="113">
        <f>IF('Indicadores x proyec'!F54/100&lt;&gt;0,'Indicadores x proyec'!F54/100,"-")</f>
        <v>0.29113924050632911</v>
      </c>
      <c r="F93" s="113">
        <f>IF('Indicadores x proyec'!G54/100&lt;&gt;0,'Indicadores x proyec'!G54/100,"-")</f>
        <v>0.3</v>
      </c>
      <c r="G93" s="113">
        <f>IF('Indicadores x proyec'!H54/100&lt;&gt;0,'Indicadores x proyec'!H54/100,"-")</f>
        <v>0.3</v>
      </c>
      <c r="H93" s="58" t="str">
        <f>IF('Indicadores x proyec'!I54&lt;&gt;0,'Indicadores x proyec'!I54,"-")</f>
        <v>Anual</v>
      </c>
      <c r="I93" s="58" t="str">
        <f>IF('Indicadores x proyec'!J54&lt;&gt;0,'Indicadores x proyec'!J54,"-")</f>
        <v>Coordinación de Actividades Deportivas</v>
      </c>
      <c r="J93" s="33"/>
    </row>
    <row r="94" spans="1:10" ht="16.5" customHeight="1" thickBot="1">
      <c r="A94" s="58">
        <v>4</v>
      </c>
      <c r="B94" s="70" t="str">
        <f>IF('Indicadores x proyec'!B56&lt;&gt;0,'Indicadores x proyec'!B56,"-")</f>
        <v>Mejorar o mantener de forma conservadora en la Facultad de Ingeniería el indicador IND-PRDI-377, con la trayectoria 2027: 47.51%, 2028: 48.34%, 2029: 49.16%, 2030: 50%, sustentada en referencia PRDI; no existe serie histórica directamente comparable para la variable. Sustento en la Matriz de consistencia: «Realizar 1 reunión y 1 encuesta a estudiantes y responsables deportivos cada año de 2028 a 2030 y documentar los ajustes derivados.»</v>
      </c>
      <c r="C94" s="60" t="e">
        <f>IF('Indicadores x proyec'!D56/100&lt;&gt;0,'Indicadores x proyec'!D56/100,"-")</f>
        <v>#VALUE!</v>
      </c>
      <c r="D94" s="60">
        <f>IF('Indicadores x proyec'!E56/100&lt;&gt;0,'Indicadores x proyec'!E56/100,"-")</f>
        <v>0.47507527601204413</v>
      </c>
      <c r="E94" s="60">
        <f>IF('Indicadores x proyec'!F56/100&lt;&gt;0,'Indicadores x proyec'!F56/100,"-")</f>
        <v>0.48335552596537951</v>
      </c>
      <c r="F94" s="60">
        <f>IF('Indicadores x proyec'!G56/100&lt;&gt;0,'Indicadores x proyec'!G56/100,"-")</f>
        <v>0.49155349453461411</v>
      </c>
      <c r="G94" s="60">
        <f>IF('Indicadores x proyec'!H56/100&lt;&gt;0,'Indicadores x proyec'!H56/100,"-")</f>
        <v>0.5</v>
      </c>
      <c r="H94" s="58" t="str">
        <f>IF('Indicadores x proyec'!I56&lt;&gt;0,'Indicadores x proyec'!I56,"-")</f>
        <v>Anual</v>
      </c>
      <c r="I94" s="58" t="str">
        <f>IF('Indicadores x proyec'!J56&lt;&gt;0,'Indicadores x proyec'!J56,"-")</f>
        <v>Coordinación de Actividades Deportivas</v>
      </c>
      <c r="J94" s="33"/>
    </row>
    <row r="95" spans="1:10" ht="16.5" customHeight="1" thickBot="1">
      <c r="A95" s="58">
        <v>5</v>
      </c>
      <c r="B95" s="70" t="str">
        <f>IF('8 Deporte universitario'!I10&lt;&gt;0,'8 Deporte universitario'!I10,"-")</f>
        <v>Contribuir desde la Facultad de Ingeniería al cumplimiento de la meta PRDI “Contar con la participación anual de 300 deportistas universitarios para impulsar su talento competitivo a nivel estatal, nacional e internacional”, con valores absolutos programados de 2027: 6, 2028: 6, 2029: 6, 2030: 6. Sustento en la Matriz de consistencia: «Realizar 1 diagnóstico deportivo en 2027 y publicar 1 programa anual de actividades entre 2028 y 2030.»</v>
      </c>
      <c r="C95" s="58" t="str">
        <f>IF('8 Deporte universitario'!R10&lt;&gt;0,'8 Deporte universitario'!R10,"-")</f>
        <v/>
      </c>
      <c r="D95" s="58">
        <f>IF('8 Deporte universitario'!S10&lt;&gt;0,'8 Deporte universitario'!S10,"-")</f>
        <v>6</v>
      </c>
      <c r="E95" s="58">
        <f>IF('8 Deporte universitario'!T10&lt;&gt;0,'8 Deporte universitario'!T10,"-")</f>
        <v>6</v>
      </c>
      <c r="F95" s="58">
        <f>IF('8 Deporte universitario'!U10&lt;&gt;0,'8 Deporte universitario'!U10,"-")</f>
        <v>6</v>
      </c>
      <c r="G95" s="58">
        <f>IF('8 Deporte universitario'!V10&lt;&gt;0,'8 Deporte universitario'!V10,"-")</f>
        <v>6</v>
      </c>
      <c r="H95" s="58" t="str">
        <f>IF('8 Deporte universitario'!W10&lt;&gt;0,'8 Deporte universitario'!W10,"-")</f>
        <v>Anual</v>
      </c>
      <c r="I95" s="58" t="str">
        <f>IF('8 Deporte universitario'!X10&lt;&gt;0,'8 Deporte universitario'!X10,"-")</f>
        <v>Coordinación de Actividades Deportivas</v>
      </c>
      <c r="J95" s="33"/>
    </row>
    <row r="96" spans="1:10">
      <c r="A96" s="75"/>
      <c r="B96" s="76"/>
      <c r="C96" s="77"/>
      <c r="D96" s="77"/>
      <c r="E96" s="77"/>
      <c r="F96" s="77"/>
      <c r="G96" s="77"/>
      <c r="H96" s="77"/>
      <c r="I96" s="77"/>
      <c r="J96" s="73"/>
    </row>
    <row r="97" spans="1:12">
      <c r="A97" s="78"/>
      <c r="B97" s="72"/>
      <c r="C97" s="73"/>
      <c r="D97" s="73"/>
      <c r="E97" s="73"/>
      <c r="F97" s="73"/>
      <c r="G97" s="73"/>
      <c r="H97" s="73"/>
      <c r="I97" s="73"/>
      <c r="J97" s="73"/>
    </row>
    <row r="98" spans="1:12" ht="19.5" customHeight="1">
      <c r="A98" s="53" t="s">
        <v>753</v>
      </c>
      <c r="B98" s="68"/>
      <c r="C98" s="69"/>
      <c r="D98" s="69"/>
      <c r="E98" s="69"/>
      <c r="F98" s="69"/>
      <c r="G98" s="69"/>
      <c r="H98" s="69"/>
      <c r="I98" s="69"/>
      <c r="J98" s="69"/>
    </row>
    <row r="99" spans="1:12" ht="16.5" customHeight="1">
      <c r="A99" s="214" t="s">
        <v>754</v>
      </c>
      <c r="B99" s="215"/>
      <c r="C99" s="216"/>
      <c r="D99" s="216"/>
      <c r="E99" s="216"/>
      <c r="F99" s="216"/>
      <c r="G99" s="216"/>
      <c r="H99" s="216"/>
      <c r="I99" s="216"/>
      <c r="J99" s="216"/>
    </row>
    <row r="100" spans="1:12">
      <c r="A100" s="217" t="s">
        <v>743</v>
      </c>
      <c r="B100" s="212" t="s">
        <v>731</v>
      </c>
      <c r="C100" s="212" t="s">
        <v>16</v>
      </c>
      <c r="D100" s="212">
        <v>2027</v>
      </c>
      <c r="E100" s="212">
        <v>2028</v>
      </c>
      <c r="F100" s="212">
        <v>2029</v>
      </c>
      <c r="G100" s="54" t="str">
        <f>TEXT($J$1,"mmmm")</f>
        <v>agosto</v>
      </c>
      <c r="H100" s="212" t="s">
        <v>744</v>
      </c>
      <c r="I100" s="212" t="s">
        <v>15</v>
      </c>
      <c r="J100" s="33"/>
    </row>
    <row r="101" spans="1:12" ht="16.5" customHeight="1" thickBot="1">
      <c r="A101" s="213"/>
      <c r="B101" s="213"/>
      <c r="C101" s="213"/>
      <c r="D101" s="213"/>
      <c r="E101" s="213"/>
      <c r="F101" s="213"/>
      <c r="G101" s="55">
        <v>2030</v>
      </c>
      <c r="H101" s="213"/>
      <c r="I101" s="213"/>
      <c r="J101" s="33"/>
    </row>
    <row r="102" spans="1:12" ht="16.5" customHeight="1" thickBot="1">
      <c r="A102" s="58">
        <v>1</v>
      </c>
      <c r="B102" s="70" t="str">
        <f>IF('Indicadores x proyec'!B62&lt;&gt;0,'Indicadores x proyec'!B62,"-")</f>
        <v>Mejorar o mantener de forma conservadora en la Facultad de Ingeniería el indicador IND-NS-212, con la trayectoria 2027: 61.62%, 2028: 62.81%, 2029: 63.76%, 2030: 64.93%, sustentada en referencia PRDI; no existe serie histórica directamente comparable para la variable.</v>
      </c>
      <c r="C102" s="60" t="e">
        <f>IF('Indicadores x proyec'!D62/100&lt;&gt;0,'Indicadores x proyec'!D62/100,"-")</f>
        <v>#VALUE!</v>
      </c>
      <c r="D102" s="60">
        <f>IF('Indicadores x proyec'!E62/100&lt;&gt;0,'Indicadores x proyec'!E62/100,"-")</f>
        <v>0.61619718309859151</v>
      </c>
      <c r="E102" s="60">
        <f>IF('Indicadores x proyec'!F62/100&lt;&gt;0,'Indicadores x proyec'!F62/100,"-")</f>
        <v>0.62807017543859645</v>
      </c>
      <c r="F102" s="60">
        <f>IF('Indicadores x proyec'!G62/100&lt;&gt;0,'Indicadores x proyec'!G62/100,"-")</f>
        <v>0.6376306620209059</v>
      </c>
      <c r="G102" s="60">
        <f>IF('Indicadores x proyec'!H62/100&lt;&gt;0,'Indicadores x proyec'!H62/100,"-")</f>
        <v>0.64930555555555558</v>
      </c>
      <c r="H102" s="58" t="str">
        <f>IF('Indicadores x proyec'!I62&lt;&gt;0,'Indicadores x proyec'!I62,"-")</f>
        <v>Anual</v>
      </c>
      <c r="I102" s="58" t="str">
        <f>IF('Indicadores x proyec'!J62&lt;&gt;0,'Indicadores x proyec'!J62,"-")</f>
        <v>Subdirección Académica</v>
      </c>
      <c r="J102" s="33"/>
    </row>
    <row r="103" spans="1:12" ht="16.5" customHeight="1" thickBot="1">
      <c r="A103" s="58">
        <v>2</v>
      </c>
      <c r="B103" s="70" t="str">
        <f>IF('Indicadores x proyec'!B64&lt;&gt;0,'Indicadores x proyec'!B64,"-")</f>
        <v>Mejorar o mantener de forma conservadora en la Facultad de Ingeniería el indicador IND-PRDI-371, con la trayectoria 2027: 23.59%, 2028: 24.21%, 2029: 24.74%, 2030: 25%, sustentada en referencia PRDI; no existe serie histórica directamente comparable para la variable.</v>
      </c>
      <c r="C103" s="60" t="e">
        <f>IF('Indicadores x proyec'!D64/100&lt;&gt;0,'Indicadores x proyec'!D64/100,"-")</f>
        <v>#VALUE!</v>
      </c>
      <c r="D103" s="60">
        <f>IF('Indicadores x proyec'!E64/100&lt;&gt;0,'Indicadores x proyec'!E64/100,"-")</f>
        <v>0.23591549295774647</v>
      </c>
      <c r="E103" s="60">
        <f>IF('Indicadores x proyec'!F64/100&lt;&gt;0,'Indicadores x proyec'!F64/100,"-")</f>
        <v>0.24210526315789471</v>
      </c>
      <c r="F103" s="60">
        <f>IF('Indicadores x proyec'!G64/100&lt;&gt;0,'Indicadores x proyec'!G64/100,"-")</f>
        <v>0.24738675958188153</v>
      </c>
      <c r="G103" s="60">
        <f>IF('Indicadores x proyec'!H64/100&lt;&gt;0,'Indicadores x proyec'!H64/100,"-")</f>
        <v>0.25</v>
      </c>
      <c r="H103" s="58" t="str">
        <f>IF('Indicadores x proyec'!I64&lt;&gt;0,'Indicadores x proyec'!I64,"-")</f>
        <v>Anual</v>
      </c>
      <c r="I103" s="58" t="str">
        <f>IF('Indicadores x proyec'!J64&lt;&gt;0,'Indicadores x proyec'!J64,"-")</f>
        <v>Subdirección Académica</v>
      </c>
      <c r="J103" s="33"/>
    </row>
    <row r="104" spans="1:12" ht="16.5" customHeight="1" thickBot="1">
      <c r="A104" s="58">
        <v>3</v>
      </c>
      <c r="B104" s="70" t="str">
        <f>IF('Indicadores x proyec'!B66&lt;&gt;0,'Indicadores x proyec'!B66,"-")</f>
        <v>Mejorar o mantener de forma conservadora en la Facultad de Ingeniería el indicador IND-PRDI-373, con la trayectoria 2027: 47.54%, 2028: 48.42%, 2029: 49.13%, 2030: 50%, sustentada en referencia PRDI; no existe serie histórica directamente comparable para la variable. Sustento en la Matriz de consistencia: «Realizar 1 revisión documentada de las necesidades didácticas y de tutoría en 2027 y actualizarla una vez al año de 2028 a 2030.»</v>
      </c>
      <c r="C104" s="60" t="e">
        <f>IF('Indicadores x proyec'!D66/100&lt;&gt;0,'Indicadores x proyec'!D66/100,"-")</f>
        <v>#VALUE!</v>
      </c>
      <c r="D104" s="60">
        <f>IF('Indicadores x proyec'!E66/100&lt;&gt;0,'Indicadores x proyec'!E66/100,"-")</f>
        <v>0.47535211267605632</v>
      </c>
      <c r="E104" s="60">
        <f>IF('Indicadores x proyec'!F66/100&lt;&gt;0,'Indicadores x proyec'!F66/100,"-")</f>
        <v>0.48421052631578942</v>
      </c>
      <c r="F104" s="60">
        <f>IF('Indicadores x proyec'!G66/100&lt;&gt;0,'Indicadores x proyec'!G66/100,"-")</f>
        <v>0.49128919860627179</v>
      </c>
      <c r="G104" s="60">
        <f>IF('Indicadores x proyec'!H66/100&lt;&gt;0,'Indicadores x proyec'!H66/100,"-")</f>
        <v>0.5</v>
      </c>
      <c r="H104" s="58" t="str">
        <f>IF('Indicadores x proyec'!I66&lt;&gt;0,'Indicadores x proyec'!I66,"-")</f>
        <v>Anual</v>
      </c>
      <c r="I104" s="58" t="str">
        <f>IF('Indicadores x proyec'!J66&lt;&gt;0,'Indicadores x proyec'!J66,"-")</f>
        <v>Subdirección Académica</v>
      </c>
      <c r="J104" s="33"/>
      <c r="L104" s="40"/>
    </row>
    <row r="105" spans="1:12" ht="16.5" customHeight="1" thickBot="1">
      <c r="A105" s="58">
        <v>4</v>
      </c>
      <c r="B105" s="70" t="str">
        <f>IF('Indicadores x proyec'!B68&lt;&gt;0,'Indicadores x proyec'!B68,"-")</f>
        <v>Mejorar o mantener de forma conservadora en la Facultad de Ingeniería el indicador IND-PRDI-375, con la trayectoria 2027: 96.13%, 2028: 97.19%, 2029: 98.61%, 2030: 100%, sustentada en referencia PRDI; no existe serie histórica directamente comparable para la variable.</v>
      </c>
      <c r="C105" s="60" t="e">
        <f>IF('Indicadores x proyec'!D68/100&lt;&gt;0,'Indicadores x proyec'!D68/100,"-")</f>
        <v>#VALUE!</v>
      </c>
      <c r="D105" s="60">
        <f>IF('Indicadores x proyec'!E68/100&lt;&gt;0,'Indicadores x proyec'!E68/100,"-")</f>
        <v>0.96126760563380287</v>
      </c>
      <c r="E105" s="60">
        <f>IF('Indicadores x proyec'!F68/100&lt;&gt;0,'Indicadores x proyec'!F68/100,"-")</f>
        <v>0.97192982456140353</v>
      </c>
      <c r="F105" s="60">
        <f>IF('Indicadores x proyec'!G68/100&lt;&gt;0,'Indicadores x proyec'!G68/100,"-")</f>
        <v>0.98606271777003485</v>
      </c>
      <c r="G105" s="60">
        <f>IF('Indicadores x proyec'!H68/100&lt;&gt;0,'Indicadores x proyec'!H68/100,"-")</f>
        <v>1</v>
      </c>
      <c r="H105" s="58" t="str">
        <f>IF('Indicadores x proyec'!I68&lt;&gt;0,'Indicadores x proyec'!I68,"-")</f>
        <v>Anual</v>
      </c>
      <c r="I105" s="58" t="str">
        <f>IF('Indicadores x proyec'!J68&lt;&gt;0,'Indicadores x proyec'!J68,"-")</f>
        <v>Subdirección Académica</v>
      </c>
      <c r="J105" s="33"/>
    </row>
    <row r="106" spans="1:12" ht="16.5" customHeight="1" thickBot="1">
      <c r="A106" s="58">
        <v>5</v>
      </c>
      <c r="B106" s="70" t="str">
        <f>IF('Indicadores x proyec'!B70&lt;&gt;0,'Indicadores x proyec'!B70,"-")</f>
        <v>Mejorar o mantener de forma conservadora en la Facultad de Ingeniería el indicador IND-PRDI-376, con la trayectoria 2027: 23.59%, 2028: 24.21%, 2029: 24.74%, 2030: 25%, sustentada en referencia PRDI; no existe serie histórica directamente comparable para la variable.</v>
      </c>
      <c r="C106" s="60" t="e">
        <f>IF('Indicadores x proyec'!D70/100&lt;&gt;0,'Indicadores x proyec'!D70/100,"-")</f>
        <v>#VALUE!</v>
      </c>
      <c r="D106" s="60">
        <f>IF('Indicadores x proyec'!E70/100&lt;&gt;0,'Indicadores x proyec'!E70/100,"-")</f>
        <v>0.23591549295774647</v>
      </c>
      <c r="E106" s="60">
        <f>IF('Indicadores x proyec'!F70/100&lt;&gt;0,'Indicadores x proyec'!F70/100,"-")</f>
        <v>0.24210526315789471</v>
      </c>
      <c r="F106" s="60">
        <f>IF('Indicadores x proyec'!G70/100&lt;&gt;0,'Indicadores x proyec'!G70/100,"-")</f>
        <v>0.24738675958188153</v>
      </c>
      <c r="G106" s="60">
        <f>IF('Indicadores x proyec'!H70/100&lt;&gt;0,'Indicadores x proyec'!H70/100,"-")</f>
        <v>0.25</v>
      </c>
      <c r="H106" s="58" t="str">
        <f>IF('Indicadores x proyec'!I70&lt;&gt;0,'Indicadores x proyec'!I70,"-")</f>
        <v>Anual</v>
      </c>
      <c r="I106" s="58" t="str">
        <f>IF('Indicadores x proyec'!J70&lt;&gt;0,'Indicadores x proyec'!J70,"-")</f>
        <v>Subdirección Académica</v>
      </c>
      <c r="J106" s="33"/>
    </row>
    <row r="107" spans="1:12" ht="16.5" customHeight="1" thickBot="1">
      <c r="A107" s="58">
        <v>6</v>
      </c>
      <c r="B107" s="70" t="str">
        <f>IF('9 Fortalecimiento docente'!I13&lt;&gt;0,'9 Fortalecimiento docente'!I13,"-")</f>
        <v>Contribuir desde la Facultad de Ingeniería al cumplimiento de la meta PRDI “Lograr la certificación internacional en una segunda lengua en nivel C1 de cuatro habilidades de 360 profesores de lengua de estudios profesionales al final de la administración”, con valores absolutos programados de 2027: 0, 2028: 0, 2029: 7, 2030: 0.</v>
      </c>
      <c r="C107" s="58" t="str">
        <f>IF('9 Fortalecimiento docente'!R13&lt;&gt;0,'9 Fortalecimiento docente'!R13,"-")</f>
        <v/>
      </c>
      <c r="D107" s="58" t="str">
        <f>IF('9 Fortalecimiento docente'!S13&lt;&gt;0,'9 Fortalecimiento docente'!S13,"-")</f>
        <v>-</v>
      </c>
      <c r="E107" s="58" t="str">
        <f>IF('9 Fortalecimiento docente'!T13&lt;&gt;0,'9 Fortalecimiento docente'!T13,"-")</f>
        <v>-</v>
      </c>
      <c r="F107" s="58">
        <f>IF('9 Fortalecimiento docente'!U13&lt;&gt;0,'9 Fortalecimiento docente'!U13,"-")</f>
        <v>7</v>
      </c>
      <c r="G107" s="58" t="str">
        <f>IF('9 Fortalecimiento docente'!V13&lt;&gt;0,'9 Fortalecimiento docente'!V13,"-")</f>
        <v>-</v>
      </c>
      <c r="H107" s="58" t="str">
        <f>IF('9 Fortalecimiento docente'!W13&lt;&gt;0,'9 Fortalecimiento docente'!W13,"-")</f>
        <v>Anual</v>
      </c>
      <c r="I107" s="58" t="str">
        <f>IF('9 Fortalecimiento docente'!X13&lt;&gt;0,'9 Fortalecimiento docente'!X13,"-")</f>
        <v>Subdirección Académica</v>
      </c>
      <c r="J107" s="33"/>
    </row>
    <row r="108" spans="1:12" ht="16.5" customHeight="1" thickBot="1">
      <c r="A108" s="58">
        <v>7</v>
      </c>
      <c r="B108" s="70" t="str">
        <f>IF('9 Fortalecimiento docente'!I14&lt;&gt;0,'9 Fortalecimiento docente'!I14,"-")</f>
        <v>Contribuir desde la Facultad de Ingeniería al cumplimiento de la meta PRDI “Contar con 715 PTC en el SNII para 2029”, con valores absolutos programados de 2027: 7, 2028: 10, 2029: 13, 2030: 13.</v>
      </c>
      <c r="C108" s="58" t="str">
        <f>IF('9 Fortalecimiento docente'!R14&lt;&gt;0,'9 Fortalecimiento docente'!R14,"-")</f>
        <v/>
      </c>
      <c r="D108" s="58">
        <f>IF('9 Fortalecimiento docente'!S14&lt;&gt;0,'9 Fortalecimiento docente'!S14,"-")</f>
        <v>7</v>
      </c>
      <c r="E108" s="58">
        <f>IF('9 Fortalecimiento docente'!T14&lt;&gt;0,'9 Fortalecimiento docente'!T14,"-")</f>
        <v>10</v>
      </c>
      <c r="F108" s="58">
        <f>IF('9 Fortalecimiento docente'!U14&lt;&gt;0,'9 Fortalecimiento docente'!U14,"-")</f>
        <v>13</v>
      </c>
      <c r="G108" s="58">
        <f>IF('9 Fortalecimiento docente'!V14&lt;&gt;0,'9 Fortalecimiento docente'!V14,"-")</f>
        <v>13</v>
      </c>
      <c r="H108" s="58" t="str">
        <f>IF('9 Fortalecimiento docente'!W14&lt;&gt;0,'9 Fortalecimiento docente'!W14,"-")</f>
        <v>Acumulada</v>
      </c>
      <c r="I108" s="58" t="str">
        <f>IF('9 Fortalecimiento docente'!X14&lt;&gt;0,'9 Fortalecimiento docente'!X14,"-")</f>
        <v>Subdirección Académica</v>
      </c>
      <c r="J108" s="33"/>
    </row>
    <row r="109" spans="1:12" ht="16.5" customHeight="1" thickBot="1">
      <c r="A109" s="58">
        <v>8</v>
      </c>
      <c r="B109" s="70" t="str">
        <f>IF('Indicadores x proyec'!B72&lt;&gt;0,'Indicadores x proyec'!B72,"-")</f>
        <v>Mejorar o mantener de forma conservadora en la Facultad de Ingeniería el indicador IND-PRDI-47, con la trayectoria 2027: 71.43%, 2028: 72.86%, 2029: 73.24%, 2030: 74.65%, sustentada en referencia PRDI; no existe serie histórica directamente comparable para la variable. Sustento en la Matriz de consistencia: «Realizar 1 reunión y 1 encuesta a profesorado y estudiantes de cada licenciatura cada año de 2028 a 2030 y documentar los ajustes derivados.»</v>
      </c>
      <c r="C109" s="60" t="e">
        <f>IF('Indicadores x proyec'!D72/100&lt;&gt;0,'Indicadores x proyec'!D72/100,"-")</f>
        <v>#VALUE!</v>
      </c>
      <c r="D109" s="60">
        <f>IF('Indicadores x proyec'!E72/100&lt;&gt;0,'Indicadores x proyec'!E72/100,"-")</f>
        <v>0.7142857142857143</v>
      </c>
      <c r="E109" s="60">
        <f>IF('Indicadores x proyec'!F72/100&lt;&gt;0,'Indicadores x proyec'!F72/100,"-")</f>
        <v>0.72857142857142843</v>
      </c>
      <c r="F109" s="60">
        <f>IF('Indicadores x proyec'!G72/100&lt;&gt;0,'Indicadores x proyec'!G72/100,"-")</f>
        <v>0.73239436619718323</v>
      </c>
      <c r="G109" s="60">
        <f>IF('Indicadores x proyec'!H72/100&lt;&gt;0,'Indicadores x proyec'!H72/100,"-")</f>
        <v>0.74647887323943662</v>
      </c>
      <c r="H109" s="58" t="str">
        <f>IF('Indicadores x proyec'!I72&lt;&gt;0,'Indicadores x proyec'!I72,"-")</f>
        <v>Acumulada</v>
      </c>
      <c r="I109" s="58" t="str">
        <f>IF('Indicadores x proyec'!J72&lt;&gt;0,'Indicadores x proyec'!J72,"-")</f>
        <v>Subdirección Académica</v>
      </c>
      <c r="J109" s="33"/>
    </row>
    <row r="110" spans="1:12" ht="16.5" customHeight="1" thickBot="1">
      <c r="A110" s="58">
        <v>9</v>
      </c>
      <c r="B110" s="70" t="str">
        <f>IF('9 Fortalecimiento docente'!I17&lt;&gt;0,'9 Fortalecimiento docente'!I17,"-")</f>
        <v>Contribuir desde la Facultad de Ingeniería al cumplimiento de la meta PRDI “Lograr 34 participantes del personal académico de Estudios Avanzados en actividades de internacionalización (seminarios, coil, cátedras), durante la administración”, con valores absolutos programados de 2027: 1, 2028: 0, 2029: 0, 2030: 0.</v>
      </c>
      <c r="C110" s="58" t="str">
        <f>IF('9 Fortalecimiento docente'!R17&lt;&gt;0,'9 Fortalecimiento docente'!R17,"-")</f>
        <v/>
      </c>
      <c r="D110" s="58">
        <f>IF('9 Fortalecimiento docente'!S17&lt;&gt;0,'9 Fortalecimiento docente'!S17,"-")</f>
        <v>1</v>
      </c>
      <c r="E110" s="58" t="str">
        <f>IF('9 Fortalecimiento docente'!T17&lt;&gt;0,'9 Fortalecimiento docente'!T17,"-")</f>
        <v>-</v>
      </c>
      <c r="F110" s="58" t="str">
        <f>IF('9 Fortalecimiento docente'!U17&lt;&gt;0,'9 Fortalecimiento docente'!U17,"-")</f>
        <v>-</v>
      </c>
      <c r="G110" s="58" t="str">
        <f>IF('9 Fortalecimiento docente'!V17&lt;&gt;0,'9 Fortalecimiento docente'!V17,"-")</f>
        <v>-</v>
      </c>
      <c r="H110" s="58" t="str">
        <f>IF('9 Fortalecimiento docente'!W17&lt;&gt;0,'9 Fortalecimiento docente'!W17,"-")</f>
        <v>Anual</v>
      </c>
      <c r="I110" s="58" t="str">
        <f>IF('9 Fortalecimiento docente'!X17&lt;&gt;0,'9 Fortalecimiento docente'!X17,"-")</f>
        <v>Subdirección Académica</v>
      </c>
      <c r="J110" s="33"/>
    </row>
    <row r="111" spans="1:12" ht="16.5" customHeight="1" thickBot="1">
      <c r="A111" s="58">
        <v>10</v>
      </c>
      <c r="B111" s="70" t="str">
        <f>IF('9 Fortalecimiento docente'!I18&lt;&gt;0,'9 Fortalecimiento docente'!I18,"-")</f>
        <v>Contribuir desde la Facultad de Ingeniería al cumplimiento de la meta PRDI “Lograr que 316 académicos e investigadores participen en estancias internacionales o de movilidad durante la administración”, con valores absolutos programados de 2027: 2, 2028: 2, 2029: 1, 2030: 1. Sustento en la Matriz de consistencia: «Validar y documentar el valor de Ref. 2026 durante 2027 y, una vez confirmado, mantenerlo o mejorarlo hasta 2030.»</v>
      </c>
      <c r="C111" s="58" t="str">
        <f>IF('9 Fortalecimiento docente'!R18&lt;&gt;0,'9 Fortalecimiento docente'!R18,"-")</f>
        <v/>
      </c>
      <c r="D111" s="58">
        <f>IF('9 Fortalecimiento docente'!S18&lt;&gt;0,'9 Fortalecimiento docente'!S18,"-")</f>
        <v>2</v>
      </c>
      <c r="E111" s="58">
        <f>IF('9 Fortalecimiento docente'!T18&lt;&gt;0,'9 Fortalecimiento docente'!T18,"-")</f>
        <v>2</v>
      </c>
      <c r="F111" s="58">
        <f>IF('9 Fortalecimiento docente'!U18&lt;&gt;0,'9 Fortalecimiento docente'!U18,"-")</f>
        <v>1</v>
      </c>
      <c r="G111" s="58">
        <f>IF('9 Fortalecimiento docente'!V18&lt;&gt;0,'9 Fortalecimiento docente'!V18,"-")</f>
        <v>1</v>
      </c>
      <c r="H111" s="58" t="str">
        <f>IF('9 Fortalecimiento docente'!W18&lt;&gt;0,'9 Fortalecimiento docente'!W18,"-")</f>
        <v>Anual</v>
      </c>
      <c r="I111" s="58" t="str">
        <f>IF('9 Fortalecimiento docente'!X18&lt;&gt;0,'9 Fortalecimiento docente'!X18,"-")</f>
        <v>Subdirección Académica</v>
      </c>
      <c r="J111" s="33"/>
    </row>
    <row r="112" spans="1:12">
      <c r="A112" s="78"/>
      <c r="B112" s="72"/>
      <c r="C112" s="73"/>
      <c r="D112" s="73"/>
      <c r="E112" s="73"/>
      <c r="F112" s="73"/>
      <c r="G112" s="73"/>
      <c r="H112" s="73"/>
      <c r="I112" s="73"/>
      <c r="J112" s="73"/>
    </row>
    <row r="113" spans="1:10">
      <c r="A113" s="80"/>
      <c r="B113" s="68"/>
      <c r="C113" s="69"/>
      <c r="D113" s="69"/>
      <c r="E113" s="69"/>
      <c r="F113" s="69"/>
      <c r="G113" s="69"/>
      <c r="H113" s="69"/>
      <c r="I113" s="69"/>
      <c r="J113" s="69"/>
    </row>
    <row r="114" spans="1:10" ht="16.5" customHeight="1">
      <c r="A114" s="214" t="s">
        <v>755</v>
      </c>
      <c r="B114" s="215"/>
      <c r="C114" s="216"/>
      <c r="D114" s="216"/>
      <c r="E114" s="216"/>
      <c r="F114" s="216"/>
      <c r="G114" s="216"/>
      <c r="H114" s="216"/>
      <c r="I114" s="216"/>
      <c r="J114" s="216"/>
    </row>
    <row r="115" spans="1:10">
      <c r="A115" s="217" t="s">
        <v>743</v>
      </c>
      <c r="B115" s="212" t="s">
        <v>731</v>
      </c>
      <c r="C115" s="212" t="s">
        <v>16</v>
      </c>
      <c r="D115" s="212">
        <v>2027</v>
      </c>
      <c r="E115" s="212">
        <v>2028</v>
      </c>
      <c r="F115" s="212">
        <v>2029</v>
      </c>
      <c r="G115" s="54" t="str">
        <f>TEXT($J$1,"mmmm")</f>
        <v>agosto</v>
      </c>
      <c r="H115" s="212" t="s">
        <v>744</v>
      </c>
      <c r="I115" s="212" t="s">
        <v>15</v>
      </c>
      <c r="J115" s="33"/>
    </row>
    <row r="116" spans="1:10" ht="16.5" customHeight="1" thickBot="1">
      <c r="A116" s="213"/>
      <c r="B116" s="213"/>
      <c r="C116" s="213"/>
      <c r="D116" s="213"/>
      <c r="E116" s="213"/>
      <c r="F116" s="213"/>
      <c r="G116" s="55">
        <v>2029</v>
      </c>
      <c r="H116" s="213"/>
      <c r="I116" s="213"/>
      <c r="J116" s="33"/>
    </row>
    <row r="117" spans="1:10" ht="16.5" customHeight="1" thickBot="1">
      <c r="A117" s="58">
        <v>1</v>
      </c>
      <c r="B117" s="70" t="str">
        <f>IF('Indicadores x proyec'!B78&lt;&gt;0,'Indicadores x proyec'!B78,"-")</f>
        <v>Mejorar o mantener de forma conservadora en la Facultad de Ingeniería el indicador IND-PRDI-378, con la trayectoria 2027: 75.95%, 2028: 77.22%, 2029: 78.75%, 2030: 80%, sustentada en referencia PRDI; no existe serie histórica directamente comparable para la variable. Sustento en la Matriz de consistencia: «Realizar 1 diagnóstico de necesidades del personal en 2027 y ejecutar 1 programa anual de mejora de 2028 a 2030.»</v>
      </c>
      <c r="C117" s="60" t="e">
        <f>IF('Indicadores x proyec'!D78/100&lt;&gt;0,'Indicadores x proyec'!D78/100,"-")</f>
        <v>#VALUE!</v>
      </c>
      <c r="D117" s="60">
        <f>IF('Indicadores x proyec'!E78/100&lt;&gt;0,'Indicadores x proyec'!E78/100,"-")</f>
        <v>0.759493670886076</v>
      </c>
      <c r="E117" s="60">
        <f>IF('Indicadores x proyec'!F78/100&lt;&gt;0,'Indicadores x proyec'!F78/100,"-")</f>
        <v>0.77215189873417733</v>
      </c>
      <c r="F117" s="60">
        <f>IF('Indicadores x proyec'!G78/100&lt;&gt;0,'Indicadores x proyec'!G78/100,"-")</f>
        <v>0.78749999999999998</v>
      </c>
      <c r="G117" s="60">
        <f>IF('Indicadores x proyec'!H78/100&lt;&gt;0,'Indicadores x proyec'!H78/100,"-")</f>
        <v>0.8</v>
      </c>
      <c r="H117" s="79" t="str">
        <f>IF('Indicadores x proyec'!I78&lt;&gt;0,'Indicadores x proyec'!I78,"-")</f>
        <v>Anual</v>
      </c>
      <c r="I117" s="79" t="str">
        <f>IF('Indicadores x proyec'!J78&lt;&gt;0,'Indicadores x proyec'!J78,"-")</f>
        <v>Subdirección Administrativa</v>
      </c>
      <c r="J117" s="33"/>
    </row>
    <row r="118" spans="1:10" ht="16.5" customHeight="1" thickBot="1">
      <c r="A118" s="58">
        <v>2</v>
      </c>
      <c r="B118" s="70" t="str">
        <f>IF('Indicadores x proyec'!B80&lt;&gt;0,'Indicadores x proyec'!B80,"-")</f>
        <v>Mejorar o mantener de forma conservadora en la Facultad de Ingeniería el indicador IND-PRDI-380, con la trayectoria 2027: 32.91%, 2028: 34.18%, 2029: 35%, 2030: 35%, sustentada en referencia PRDI; no existe serie histórica directamente comparable para la variable. Sustento en la Matriz de consistencia: «Realizar 1 reunión y 1 encuesta a personal académico y administrativo cada año de 2028 a 2030 y documentar los ajustes derivados.»</v>
      </c>
      <c r="C118" s="60" t="e">
        <f>IF('Indicadores x proyec'!D80/100&lt;&gt;0,'Indicadores x proyec'!D80/100,"-")</f>
        <v>#VALUE!</v>
      </c>
      <c r="D118" s="60">
        <f>IF('Indicadores x proyec'!E80/100&lt;&gt;0,'Indicadores x proyec'!E80/100,"-")</f>
        <v>0.32911392405063289</v>
      </c>
      <c r="E118" s="60">
        <f>IF('Indicadores x proyec'!F80/100&lt;&gt;0,'Indicadores x proyec'!F80/100,"-")</f>
        <v>0.34177215189873417</v>
      </c>
      <c r="F118" s="60">
        <f>IF('Indicadores x proyec'!G80/100&lt;&gt;0,'Indicadores x proyec'!G80/100,"-")</f>
        <v>0.35</v>
      </c>
      <c r="G118" s="60">
        <f>IF('Indicadores x proyec'!H80/100&lt;&gt;0,'Indicadores x proyec'!H80/100,"-")</f>
        <v>0.35</v>
      </c>
      <c r="H118" s="79" t="str">
        <f>IF('Indicadores x proyec'!I80&lt;&gt;0,'Indicadores x proyec'!I80,"-")</f>
        <v>Anual</v>
      </c>
      <c r="I118" s="79" t="str">
        <f>IF('Indicadores x proyec'!J80&lt;&gt;0,'Indicadores x proyec'!J80,"-")</f>
        <v>Subdirección Administrativa</v>
      </c>
      <c r="J118" s="33"/>
    </row>
    <row r="119" spans="1:10" ht="16.5" customHeight="1" thickBot="1">
      <c r="A119" s="58">
        <v>3</v>
      </c>
      <c r="B119" s="70" t="str">
        <f>IF('Indicadores x proyec'!B82&lt;&gt;0,'Indicadores x proyec'!B82,"-")</f>
        <v>Mejorar o mantener de forma conservadora en la Facultad de Ingeniería el indicador IND-PRDI-382, con la trayectoria 2027: 19.01%, 2028: 19.45%, 2029: 19.62%, 2030: 20.11%, sustentada en referencia PRDI; no existe serie histórica directamente comparable para la variable. Sustento en la Matriz de consistencia: «Realizar 1 revisión documentada de las condiciones y necesidades del personal en 2027 y actualizarla una vez al año de 2028 a 2030.»</v>
      </c>
      <c r="C119" s="60" t="e">
        <f>IF('Indicadores x proyec'!D82/100&lt;&gt;0,'Indicadores x proyec'!D82/100,"-")</f>
        <v>#VALUE!</v>
      </c>
      <c r="D119" s="60">
        <f>IF('Indicadores x proyec'!E82/100&lt;&gt;0,'Indicadores x proyec'!E82/100,"-")</f>
        <v>0.19008264462809918</v>
      </c>
      <c r="E119" s="60">
        <f>IF('Indicadores x proyec'!F82/100&lt;&gt;0,'Indicadores x proyec'!F82/100,"-")</f>
        <v>0.19452054794520549</v>
      </c>
      <c r="F119" s="60">
        <f>IF('Indicadores x proyec'!G82/100&lt;&gt;0,'Indicadores x proyec'!G82/100,"-")</f>
        <v>0.19618528610354224</v>
      </c>
      <c r="G119" s="60">
        <f>IF('Indicadores x proyec'!H82/100&lt;&gt;0,'Indicadores x proyec'!H82/100,"-")</f>
        <v>0.20108695652173914</v>
      </c>
      <c r="H119" s="79" t="str">
        <f>IF('Indicadores x proyec'!I82&lt;&gt;0,'Indicadores x proyec'!I82,"-")</f>
        <v>Anual</v>
      </c>
      <c r="I119" s="79" t="str">
        <f>IF('Indicadores x proyec'!J82&lt;&gt;0,'Indicadores x proyec'!J82,"-")</f>
        <v>Subdirección Administrativa</v>
      </c>
      <c r="J119" s="33"/>
    </row>
    <row r="120" spans="1:10">
      <c r="A120" s="63"/>
      <c r="B120" s="72"/>
      <c r="C120" s="73"/>
      <c r="D120" s="73"/>
      <c r="E120" s="73"/>
      <c r="F120" s="73"/>
      <c r="G120" s="73"/>
      <c r="H120" s="73"/>
      <c r="I120" s="73"/>
      <c r="J120" s="73"/>
    </row>
    <row r="121" spans="1:10">
      <c r="A121" s="63"/>
      <c r="B121" s="72"/>
      <c r="C121" s="73"/>
      <c r="D121" s="73"/>
      <c r="E121" s="73"/>
      <c r="F121" s="73"/>
      <c r="G121" s="73"/>
      <c r="H121" s="73"/>
      <c r="I121" s="73"/>
      <c r="J121" s="73"/>
    </row>
    <row r="122" spans="1:10" ht="19.5" customHeight="1">
      <c r="A122" s="53" t="s">
        <v>756</v>
      </c>
      <c r="B122" s="68"/>
      <c r="C122" s="69"/>
      <c r="D122" s="69"/>
      <c r="E122" s="69"/>
      <c r="F122" s="69"/>
      <c r="G122" s="69"/>
      <c r="H122" s="69"/>
      <c r="I122" s="69"/>
      <c r="J122" s="69"/>
    </row>
    <row r="123" spans="1:10" ht="16.5" customHeight="1">
      <c r="A123" s="214" t="s">
        <v>757</v>
      </c>
      <c r="B123" s="215"/>
      <c r="C123" s="216"/>
      <c r="D123" s="216"/>
      <c r="E123" s="216"/>
      <c r="F123" s="216"/>
      <c r="G123" s="216"/>
      <c r="H123" s="216"/>
      <c r="I123" s="216"/>
      <c r="J123" s="216"/>
    </row>
    <row r="124" spans="1:10">
      <c r="A124" s="217" t="s">
        <v>743</v>
      </c>
      <c r="B124" s="212" t="s">
        <v>731</v>
      </c>
      <c r="C124" s="212" t="s">
        <v>16</v>
      </c>
      <c r="D124" s="212">
        <v>2027</v>
      </c>
      <c r="E124" s="212">
        <v>2028</v>
      </c>
      <c r="F124" s="212">
        <v>2029</v>
      </c>
      <c r="G124" s="54" t="str">
        <f>TEXT($J$1,"mmmm")</f>
        <v>agosto</v>
      </c>
      <c r="H124" s="212" t="s">
        <v>744</v>
      </c>
      <c r="I124" s="212" t="s">
        <v>15</v>
      </c>
      <c r="J124" s="33"/>
    </row>
    <row r="125" spans="1:10" ht="16.5" customHeight="1" thickBot="1">
      <c r="A125" s="213"/>
      <c r="B125" s="213"/>
      <c r="C125" s="213"/>
      <c r="D125" s="213"/>
      <c r="E125" s="213"/>
      <c r="F125" s="213"/>
      <c r="G125" s="55">
        <v>2030</v>
      </c>
      <c r="H125" s="213"/>
      <c r="I125" s="213"/>
      <c r="J125" s="33"/>
    </row>
    <row r="126" spans="1:10" ht="16.5" customHeight="1" thickBot="1">
      <c r="A126" s="58">
        <v>1</v>
      </c>
      <c r="B126" s="70" t="str">
        <f>IF('11 Gestión administrativa'!I3&lt;&gt;0,'11 Gestión administrativa'!I3,"-")</f>
        <v>Contribuir desde la Facultad de Ingeniería al cumplimiento de la meta PRDI “Armonizar 70 manuales de organización de espacios universitarios a 2029”, con valores absolutos programados de 2027: 2, 2028: 2, 2029: 2, 2030: 2. Sustento en la Matriz de consistencia: «Realizar 1 revisión documentada de el estado y uso de aulas y laboratorios en 2027 y actualizarla una vez al año de 2028 a 2030.»</v>
      </c>
      <c r="C126" s="58" t="str">
        <f>IF('11 Gestión administrativa'!R3&lt;&gt;0,'11 Gestión administrativa'!R3,"-")</f>
        <v/>
      </c>
      <c r="D126" s="58">
        <f>IF('11 Gestión administrativa'!S3&lt;&gt;0,'11 Gestión administrativa'!S3,"-")</f>
        <v>2</v>
      </c>
      <c r="E126" s="58">
        <f>IF('11 Gestión administrativa'!T3&lt;&gt;0,'11 Gestión administrativa'!T3,"-")</f>
        <v>2</v>
      </c>
      <c r="F126" s="58">
        <f>IF('11 Gestión administrativa'!U3&lt;&gt;0,'11 Gestión administrativa'!U3,"-")</f>
        <v>2</v>
      </c>
      <c r="G126" s="58">
        <f>IF('11 Gestión administrativa'!V3&lt;&gt;0,'11 Gestión administrativa'!V3,"-")</f>
        <v>2</v>
      </c>
      <c r="H126" s="58" t="str">
        <f>IF('11 Gestión administrativa'!W3&lt;&gt;0,'11 Gestión administrativa'!W3,"-")</f>
        <v>Anual</v>
      </c>
      <c r="I126" s="58" t="str">
        <f>IF('11 Gestión administrativa'!X3&lt;&gt;0,'11 Gestión administrativa'!X3,"-")</f>
        <v>Subdirección Administrativa</v>
      </c>
      <c r="J126" s="33"/>
    </row>
    <row r="127" spans="1:10" ht="16.5" customHeight="1" thickBot="1">
      <c r="A127" s="58">
        <v>2</v>
      </c>
      <c r="B127" s="70" t="str">
        <f>IF('11 Gestión administrativa'!I4&lt;&gt;0,'11 Gestión administrativa'!I4,"-")</f>
        <v>Contribuir desde la Facultad de Ingeniería al cumplimiento de la meta PRDI “Armonizar 50 manuales de procedimientos de espacios universitarios a 2029”, con valores absolutos programados de 2027: 1, 2028: 1, 2029: 1, 2030: 1. Sustento en la Matriz de consistencia: «Actualizar 1 inventario de infraestructura en 2027 y ejecutar 1 programa anual de mantenimiento preventivo de 2028 a 2030.» «Registrar 1 acuerdo de mejora sobre el estado y uso de aulas y laboratorios en 2028 y revisar su cumplimiento anualmente hasta 2030.»</v>
      </c>
      <c r="C127" s="58" t="str">
        <f>IF('11 Gestión administrativa'!R4&lt;&gt;0,'11 Gestión administrativa'!R4,"-")</f>
        <v/>
      </c>
      <c r="D127" s="58">
        <f>IF('11 Gestión administrativa'!S4&lt;&gt;0,'11 Gestión administrativa'!S4,"-")</f>
        <v>1</v>
      </c>
      <c r="E127" s="58">
        <f>IF('11 Gestión administrativa'!T4&lt;&gt;0,'11 Gestión administrativa'!T4,"-")</f>
        <v>1</v>
      </c>
      <c r="F127" s="58">
        <f>IF('11 Gestión administrativa'!U4&lt;&gt;0,'11 Gestión administrativa'!U4,"-")</f>
        <v>1</v>
      </c>
      <c r="G127" s="58">
        <f>IF('11 Gestión administrativa'!V4&lt;&gt;0,'11 Gestión administrativa'!V4,"-")</f>
        <v>1</v>
      </c>
      <c r="H127" s="58" t="str">
        <f>IF('11 Gestión administrativa'!W4&lt;&gt;0,'11 Gestión administrativa'!W4,"-")</f>
        <v>Anual</v>
      </c>
      <c r="I127" s="58" t="str">
        <f>IF('11 Gestión administrativa'!X4&lt;&gt;0,'11 Gestión administrativa'!X4,"-")</f>
        <v>Subdirección Administrativa</v>
      </c>
      <c r="J127" s="33"/>
    </row>
    <row r="128" spans="1:10">
      <c r="A128" s="81"/>
      <c r="B128" s="72"/>
      <c r="C128" s="73"/>
      <c r="D128" s="73"/>
      <c r="E128" s="73"/>
      <c r="F128" s="73"/>
      <c r="G128" s="73"/>
      <c r="H128" s="73"/>
      <c r="I128" s="73"/>
      <c r="J128" s="73"/>
    </row>
    <row r="129" spans="1:10">
      <c r="A129" s="81"/>
      <c r="B129" s="72"/>
      <c r="C129" s="73"/>
      <c r="D129" s="73"/>
      <c r="E129" s="73"/>
      <c r="F129" s="73"/>
      <c r="G129" s="73"/>
      <c r="H129" s="73"/>
      <c r="I129" s="73"/>
      <c r="J129" s="73"/>
    </row>
    <row r="130" spans="1:10">
      <c r="A130" s="80"/>
      <c r="B130" s="68"/>
      <c r="C130" s="69"/>
      <c r="D130" s="69"/>
      <c r="E130" s="69"/>
      <c r="F130" s="69"/>
      <c r="G130" s="69"/>
      <c r="H130" s="69"/>
      <c r="I130" s="69"/>
      <c r="J130" s="69"/>
    </row>
    <row r="131" spans="1:10" ht="16.5" customHeight="1">
      <c r="A131" s="214" t="s">
        <v>758</v>
      </c>
      <c r="B131" s="215"/>
      <c r="C131" s="216"/>
      <c r="D131" s="216"/>
      <c r="E131" s="216"/>
      <c r="F131" s="216"/>
      <c r="G131" s="216"/>
      <c r="H131" s="216"/>
      <c r="I131" s="216"/>
      <c r="J131" s="216"/>
    </row>
    <row r="132" spans="1:10">
      <c r="A132" s="217" t="s">
        <v>743</v>
      </c>
      <c r="B132" s="212" t="s">
        <v>731</v>
      </c>
      <c r="C132" s="212" t="s">
        <v>16</v>
      </c>
      <c r="D132" s="212">
        <v>2027</v>
      </c>
      <c r="E132" s="212">
        <v>2028</v>
      </c>
      <c r="F132" s="212">
        <v>2029</v>
      </c>
      <c r="G132" s="54" t="str">
        <f>TEXT($J$1,"mmmm")</f>
        <v>agosto</v>
      </c>
      <c r="H132" s="212" t="s">
        <v>744</v>
      </c>
      <c r="I132" s="212" t="s">
        <v>15</v>
      </c>
      <c r="J132" s="33"/>
    </row>
    <row r="133" spans="1:10" ht="16.5" customHeight="1" thickBot="1">
      <c r="A133" s="213"/>
      <c r="B133" s="213"/>
      <c r="C133" s="213"/>
      <c r="D133" s="213"/>
      <c r="E133" s="213"/>
      <c r="F133" s="213"/>
      <c r="G133" s="55">
        <v>2030</v>
      </c>
      <c r="H133" s="213"/>
      <c r="I133" s="213"/>
      <c r="J133" s="33"/>
    </row>
    <row r="134" spans="1:10" ht="16.5" customHeight="1" thickBot="1">
      <c r="A134" s="58">
        <v>1</v>
      </c>
      <c r="B134" s="70" t="str">
        <f>IF('12 Fortalecimiento tecnológico'!I3&lt;&gt;0,'12 Fortalecimiento tecnológico'!I3,"-")</f>
        <v>Contribuir desde la Facultad de Ingeniería al cumplimiento de la meta PRDI “Desarrollar 160 guías de estudio independiente (GEI) al año”, con valores absolutos programados de 2027: 3, 2028: 3, 2029: 3, 2030: 3. Sustento en la Matriz de consistencia: «Realizar 1 revisión documentada de la disponibilidad y obsolescencia tecnológica en 2027 y actualizarla una vez al año de 2028 a 2030.»</v>
      </c>
      <c r="C134" s="58" t="str">
        <f>IF('12 Fortalecimiento tecnológico'!R3&lt;&gt;0,'12 Fortalecimiento tecnológico'!R3,"-")</f>
        <v/>
      </c>
      <c r="D134" s="58">
        <f>IF('12 Fortalecimiento tecnológico'!S3&lt;&gt;0,'12 Fortalecimiento tecnológico'!S3,"-")</f>
        <v>3</v>
      </c>
      <c r="E134" s="58">
        <f>IF('12 Fortalecimiento tecnológico'!T3&lt;&gt;0,'12 Fortalecimiento tecnológico'!T3,"-")</f>
        <v>3</v>
      </c>
      <c r="F134" s="58">
        <f>IF('12 Fortalecimiento tecnológico'!U3&lt;&gt;0,'12 Fortalecimiento tecnológico'!U3,"-")</f>
        <v>3</v>
      </c>
      <c r="G134" s="58">
        <f>IF('12 Fortalecimiento tecnológico'!V3&lt;&gt;0,'12 Fortalecimiento tecnológico'!V3,"-")</f>
        <v>3</v>
      </c>
      <c r="H134" s="58" t="str">
        <f>IF('12 Fortalecimiento tecnológico'!W3&lt;&gt;0,'12 Fortalecimiento tecnológico'!W3,"-")</f>
        <v>Anual</v>
      </c>
      <c r="I134" s="58" t="str">
        <f>IF('12 Fortalecimiento tecnológico'!X3&lt;&gt;0,'12 Fortalecimiento tecnológico'!X3,"-")</f>
        <v>Departamento de Tecnologías de la Información</v>
      </c>
      <c r="J134" s="33"/>
    </row>
    <row r="135" spans="1:10" ht="16.5" customHeight="1" thickBot="1">
      <c r="A135" s="58">
        <v>2</v>
      </c>
      <c r="B135" s="70" t="str">
        <f>IF('12 Fortalecimiento tecnológico'!I4&lt;&gt;0,'12 Fortalecimiento tecnológico'!I4,"-")</f>
        <v>Contribuir desde la Facultad de Ingeniería al cumplimiento de la meta PRDI “Contar con 100% de los espacios académicos con mantenimiento preventivo a equipos de salas de cómputo, anualmente”, con valores absolutos programados de 2027: 1, 2028: 1, 2029: 1, 2030: 1. Sustento en la Matriz de consistencia: «Levantar 1 diagnóstico tecnológico en 2027 y actualizar 1 cartera priorizada de mejoras cada año de 2028 a 2030.» «Registrar 1 acuerdo de mejora sobre la disponibilidad y obsolescencia tecnológica en 2028 y revisar su cumplimiento anualmente hasta 2030.»</v>
      </c>
      <c r="C135" s="58" t="str">
        <f>IF('12 Fortalecimiento tecnológico'!R4&lt;&gt;0,'12 Fortalecimiento tecnológico'!R4,"-")</f>
        <v/>
      </c>
      <c r="D135" s="58">
        <f>IF('12 Fortalecimiento tecnológico'!S4&lt;&gt;0,'12 Fortalecimiento tecnológico'!S4,"-")</f>
        <v>1</v>
      </c>
      <c r="E135" s="58">
        <f>IF('12 Fortalecimiento tecnológico'!T4&lt;&gt;0,'12 Fortalecimiento tecnológico'!T4,"-")</f>
        <v>1</v>
      </c>
      <c r="F135" s="58">
        <f>IF('12 Fortalecimiento tecnológico'!U4&lt;&gt;0,'12 Fortalecimiento tecnológico'!U4,"-")</f>
        <v>1</v>
      </c>
      <c r="G135" s="58">
        <f>IF('12 Fortalecimiento tecnológico'!V4&lt;&gt;0,'12 Fortalecimiento tecnológico'!V4,"-")</f>
        <v>1</v>
      </c>
      <c r="H135" s="58" t="str">
        <f>IF('12 Fortalecimiento tecnológico'!W4&lt;&gt;0,'12 Fortalecimiento tecnológico'!W4,"-")</f>
        <v>Anual</v>
      </c>
      <c r="I135" s="58" t="str">
        <f>IF('12 Fortalecimiento tecnológico'!X4&lt;&gt;0,'12 Fortalecimiento tecnológico'!X4,"-")</f>
        <v>Departamento de Tecnologías de la Información</v>
      </c>
      <c r="J135" s="33"/>
    </row>
    <row r="136" spans="1:10">
      <c r="A136" s="78"/>
      <c r="B136" s="72"/>
      <c r="C136" s="73"/>
      <c r="D136" s="73"/>
      <c r="E136" s="73"/>
      <c r="F136" s="73"/>
      <c r="G136" s="73"/>
      <c r="H136" s="73"/>
      <c r="I136" s="73"/>
      <c r="J136" s="73"/>
    </row>
    <row r="137" spans="1:10">
      <c r="A137" s="78"/>
      <c r="B137" s="72"/>
      <c r="C137" s="73"/>
      <c r="D137" s="73"/>
      <c r="E137" s="73"/>
      <c r="F137" s="73"/>
      <c r="G137" s="73"/>
      <c r="H137" s="73"/>
      <c r="I137" s="73"/>
      <c r="J137" s="73"/>
    </row>
    <row r="138" spans="1:10">
      <c r="A138" s="80"/>
      <c r="B138" s="68"/>
      <c r="C138" s="69"/>
      <c r="D138" s="69"/>
      <c r="E138" s="69"/>
      <c r="F138" s="69"/>
      <c r="G138" s="69"/>
      <c r="H138" s="69"/>
      <c r="I138" s="69"/>
      <c r="J138" s="69"/>
    </row>
    <row r="139" spans="1:10" ht="16.5" customHeight="1">
      <c r="A139" s="214" t="s">
        <v>759</v>
      </c>
      <c r="B139" s="215"/>
      <c r="C139" s="216"/>
      <c r="D139" s="216"/>
      <c r="E139" s="216"/>
      <c r="F139" s="216"/>
      <c r="G139" s="216"/>
      <c r="H139" s="216"/>
      <c r="I139" s="216"/>
      <c r="J139" s="216"/>
    </row>
    <row r="140" spans="1:10">
      <c r="A140" s="217" t="s">
        <v>743</v>
      </c>
      <c r="B140" s="212" t="s">
        <v>731</v>
      </c>
      <c r="C140" s="212" t="s">
        <v>16</v>
      </c>
      <c r="D140" s="212">
        <v>2027</v>
      </c>
      <c r="E140" s="212">
        <v>2028</v>
      </c>
      <c r="F140" s="212">
        <v>2029</v>
      </c>
      <c r="G140" s="54" t="str">
        <f>TEXT($J$1,"mmmm")</f>
        <v>agosto</v>
      </c>
      <c r="H140" s="212" t="s">
        <v>744</v>
      </c>
      <c r="I140" s="212" t="s">
        <v>15</v>
      </c>
      <c r="J140" s="33"/>
    </row>
    <row r="141" spans="1:10" ht="16.5" customHeight="1" thickBot="1">
      <c r="A141" s="213"/>
      <c r="B141" s="213"/>
      <c r="C141" s="213"/>
      <c r="D141" s="213"/>
      <c r="E141" s="213"/>
      <c r="F141" s="213"/>
      <c r="G141" s="55">
        <v>2030</v>
      </c>
      <c r="H141" s="213"/>
      <c r="I141" s="213"/>
      <c r="J141" s="33"/>
    </row>
    <row r="142" spans="1:10" ht="16.5" customHeight="1" thickBot="1">
      <c r="A142" s="58">
        <v>1</v>
      </c>
      <c r="B142" s="70" t="str">
        <f>IF('13 Gobernanza'!I3&lt;&gt;0,'13 Gobernanza'!I3,"-")</f>
        <v>Contribuir desde la Facultad de Ingeniería al cumplimiento de la meta PRDI “Realizar anualmente 1 campaña de protección universitaria en materia de autoprotección y reacción ante emergencias para la comunidad universitaria de nivel superior”, con valores absolutos programados de 2027: 1, 2028: 1, 2029: 1, 2030: 1.</v>
      </c>
      <c r="C142" s="58" t="str">
        <f>IF('13 Gobernanza'!R3&lt;&gt;0,'13 Gobernanza'!R3,"-")</f>
        <v/>
      </c>
      <c r="D142" s="58">
        <f>IF('13 Gobernanza'!S3&lt;&gt;0,'13 Gobernanza'!S3,"-")</f>
        <v>1</v>
      </c>
      <c r="E142" s="58">
        <f>IF('13 Gobernanza'!T3&lt;&gt;0,'13 Gobernanza'!T3,"-")</f>
        <v>1</v>
      </c>
      <c r="F142" s="58">
        <f>IF('13 Gobernanza'!U3&lt;&gt;0,'13 Gobernanza'!U3,"-")</f>
        <v>1</v>
      </c>
      <c r="G142" s="58">
        <f>IF('13 Gobernanza'!V3&lt;&gt;0,'13 Gobernanza'!V3,"-")</f>
        <v>1</v>
      </c>
      <c r="H142" s="58" t="str">
        <f>IF('13 Gobernanza'!W3&lt;&gt;0,'13 Gobernanza'!W3,"-")</f>
        <v>Anual</v>
      </c>
      <c r="I142" s="58" t="str">
        <f>IF('13 Gobernanza'!X3&lt;&gt;0,'13 Gobernanza'!X3,"-")</f>
        <v>Dirección y órganos colegiados</v>
      </c>
      <c r="J142" s="33"/>
    </row>
    <row r="143" spans="1:10" ht="16.5" customHeight="1" thickBot="1">
      <c r="A143" s="58">
        <v>2</v>
      </c>
      <c r="B143" s="70" t="str">
        <f>IF('13 Gobernanza'!I4&lt;&gt;0,'13 Gobernanza'!I4,"-")</f>
        <v>Contribuir desde la Facultad de Ingeniería al cumplimiento de la meta PRDI “Realizar anualmente 1 simulacro de acuerdo con la convocatoria nacional”, con valores absolutos programados de 2027: 1, 2028: 1, 2029: 1, 2030: 1.</v>
      </c>
      <c r="C143" s="58" t="str">
        <f>IF('13 Gobernanza'!R4&lt;&gt;0,'13 Gobernanza'!R4,"-")</f>
        <v/>
      </c>
      <c r="D143" s="58">
        <f>IF('13 Gobernanza'!S4&lt;&gt;0,'13 Gobernanza'!S4,"-")</f>
        <v>1</v>
      </c>
      <c r="E143" s="58">
        <f>IF('13 Gobernanza'!T4&lt;&gt;0,'13 Gobernanza'!T4,"-")</f>
        <v>1</v>
      </c>
      <c r="F143" s="58">
        <f>IF('13 Gobernanza'!U4&lt;&gt;0,'13 Gobernanza'!U4,"-")</f>
        <v>1</v>
      </c>
      <c r="G143" s="58">
        <f>IF('13 Gobernanza'!V4&lt;&gt;0,'13 Gobernanza'!V4,"-")</f>
        <v>1</v>
      </c>
      <c r="H143" s="58" t="str">
        <f>IF('13 Gobernanza'!W4&lt;&gt;0,'13 Gobernanza'!W4,"-")</f>
        <v>Anual</v>
      </c>
      <c r="I143" s="58" t="str">
        <f>IF('13 Gobernanza'!X4&lt;&gt;0,'13 Gobernanza'!X4,"-")</f>
        <v>Dirección y órganos colegiados</v>
      </c>
      <c r="J143" s="33"/>
    </row>
    <row r="144" spans="1:10" ht="16.5" customHeight="1" thickBot="1">
      <c r="A144" s="58">
        <v>3</v>
      </c>
      <c r="B144" s="70" t="str">
        <f>IF('13 Gobernanza'!I5&lt;&gt;0,'13 Gobernanza'!I5,"-")</f>
        <v>Contribuir desde la Facultad de Ingeniería al cumplimiento de la meta PRDI “Efectuar anualmente 1 campaña del protocolo de atención integral a víctimas en todas las áreas universitarias”, con valores absolutos programados de 2027: 1, 2028: 1, 2029: 1, 2030: 1.</v>
      </c>
      <c r="C144" s="58" t="str">
        <f>IF('13 Gobernanza'!R5&lt;&gt;0,'13 Gobernanza'!R5,"-")</f>
        <v/>
      </c>
      <c r="D144" s="58">
        <f>IF('13 Gobernanza'!S5&lt;&gt;0,'13 Gobernanza'!S5,"-")</f>
        <v>1</v>
      </c>
      <c r="E144" s="58">
        <f>IF('13 Gobernanza'!T5&lt;&gt;0,'13 Gobernanza'!T5,"-")</f>
        <v>1</v>
      </c>
      <c r="F144" s="58">
        <f>IF('13 Gobernanza'!U5&lt;&gt;0,'13 Gobernanza'!U5,"-")</f>
        <v>1</v>
      </c>
      <c r="G144" s="58">
        <f>IF('13 Gobernanza'!V5&lt;&gt;0,'13 Gobernanza'!V5,"-")</f>
        <v>1</v>
      </c>
      <c r="H144" s="58" t="str">
        <f>IF('13 Gobernanza'!W5&lt;&gt;0,'13 Gobernanza'!W5,"-")</f>
        <v>Anual</v>
      </c>
      <c r="I144" s="58" t="str">
        <f>IF('13 Gobernanza'!X5&lt;&gt;0,'13 Gobernanza'!X5,"-")</f>
        <v>Dirección y órganos colegiados</v>
      </c>
      <c r="J144" s="33"/>
    </row>
    <row r="145" spans="1:10" ht="16.5" customHeight="1" thickBot="1">
      <c r="A145" s="58">
        <v>4</v>
      </c>
      <c r="B145" s="70" t="str">
        <f>IF('13 Gobernanza'!I6&lt;&gt;0,'13 Gobernanza'!I6,"-")</f>
        <v>Contribuir desde la Facultad de Ingeniería al cumplimiento de la meta PRDI “Difundir anualmente 1 campaña de los Protocolos de Seguridad y Protección Civil”, con valores absolutos programados de 2027: 1, 2028: 1, 2029: 1, 2030: 1.</v>
      </c>
      <c r="C145" s="58" t="str">
        <f>IF('13 Gobernanza'!R6&lt;&gt;0,'13 Gobernanza'!R6,"-")</f>
        <v/>
      </c>
      <c r="D145" s="58">
        <f>IF('13 Gobernanza'!S6&lt;&gt;0,'13 Gobernanza'!S6,"-")</f>
        <v>1</v>
      </c>
      <c r="E145" s="58">
        <f>IF('13 Gobernanza'!T6&lt;&gt;0,'13 Gobernanza'!T6,"-")</f>
        <v>1</v>
      </c>
      <c r="F145" s="58">
        <f>IF('13 Gobernanza'!U6&lt;&gt;0,'13 Gobernanza'!U6,"-")</f>
        <v>1</v>
      </c>
      <c r="G145" s="58">
        <f>IF('13 Gobernanza'!V6&lt;&gt;0,'13 Gobernanza'!V6,"-")</f>
        <v>1</v>
      </c>
      <c r="H145" s="58" t="str">
        <f>IF('13 Gobernanza'!W6&lt;&gt;0,'13 Gobernanza'!W6,"-")</f>
        <v>Anual</v>
      </c>
      <c r="I145" s="58" t="str">
        <f>IF('13 Gobernanza'!X6&lt;&gt;0,'13 Gobernanza'!X6,"-")</f>
        <v>Dirección y órganos colegiados</v>
      </c>
      <c r="J145" s="33"/>
    </row>
    <row r="146" spans="1:10" ht="16.5" customHeight="1" thickBot="1">
      <c r="A146" s="58">
        <v>5</v>
      </c>
      <c r="B146" s="70" t="str">
        <f>IF('13 Gobernanza'!I7&lt;&gt;0,'13 Gobernanza'!I7,"-")</f>
        <v>Contribuir desde la Facultad de Ingeniería al cumplimiento de la meta PRDI “Realizar 1 curso anual dirigido al personal de Protección Universitaria sobre Derechos Humanos y perspectiva de Género”, con valores absolutos programados de 2027: 1, 2028: 1, 2029: 1, 2030: 1.</v>
      </c>
      <c r="C146" s="58" t="str">
        <f>IF('13 Gobernanza'!R7&lt;&gt;0,'13 Gobernanza'!R7,"-")</f>
        <v/>
      </c>
      <c r="D146" s="58">
        <f>IF('13 Gobernanza'!S7&lt;&gt;0,'13 Gobernanza'!S7,"-")</f>
        <v>1</v>
      </c>
      <c r="E146" s="58">
        <f>IF('13 Gobernanza'!T7&lt;&gt;0,'13 Gobernanza'!T7,"-")</f>
        <v>1</v>
      </c>
      <c r="F146" s="58">
        <f>IF('13 Gobernanza'!U7&lt;&gt;0,'13 Gobernanza'!U7,"-")</f>
        <v>1</v>
      </c>
      <c r="G146" s="58">
        <f>IF('13 Gobernanza'!V7&lt;&gt;0,'13 Gobernanza'!V7,"-")</f>
        <v>1</v>
      </c>
      <c r="H146" s="58" t="str">
        <f>IF('13 Gobernanza'!W7&lt;&gt;0,'13 Gobernanza'!W7,"-")</f>
        <v>Anual</v>
      </c>
      <c r="I146" s="58" t="str">
        <f>IF('13 Gobernanza'!X7&lt;&gt;0,'13 Gobernanza'!X7,"-")</f>
        <v>Dirección y órganos colegiados</v>
      </c>
      <c r="J146" s="33"/>
    </row>
    <row r="147" spans="1:10" ht="16.5" customHeight="1" thickBot="1">
      <c r="A147" s="58">
        <v>6</v>
      </c>
      <c r="B147" s="70" t="str">
        <f>IF('13 Gobernanza'!I8&lt;&gt;0,'13 Gobernanza'!I8,"-")</f>
        <v>Contribuir desde la Facultad de Ingeniería al cumplimiento de la meta PRDI “Atender anualmente a 15 000 asistentes a conferencias, foros y charlas, relacionados con la pertenencia universitaria”, con valores absolutos programados de 2027: 273, 2028: 273, 2029: 273, 2030: 273. Sustento en la Matriz de consistencia: «Realizar 1 reunión y 1 encuesta a representantes estudiantiles, docentes y administrativos cada año de 2028 a 2030 y documentar los ajustes derivados.»</v>
      </c>
      <c r="C147" s="58" t="str">
        <f>IF('13 Gobernanza'!R8&lt;&gt;0,'13 Gobernanza'!R8,"-")</f>
        <v/>
      </c>
      <c r="D147" s="58">
        <f>IF('13 Gobernanza'!S8&lt;&gt;0,'13 Gobernanza'!S8,"-")</f>
        <v>273</v>
      </c>
      <c r="E147" s="58">
        <f>IF('13 Gobernanza'!T8&lt;&gt;0,'13 Gobernanza'!T8,"-")</f>
        <v>273</v>
      </c>
      <c r="F147" s="58">
        <f>IF('13 Gobernanza'!U8&lt;&gt;0,'13 Gobernanza'!U8,"-")</f>
        <v>273</v>
      </c>
      <c r="G147" s="58">
        <f>IF('13 Gobernanza'!V8&lt;&gt;0,'13 Gobernanza'!V8,"-")</f>
        <v>273</v>
      </c>
      <c r="H147" s="58" t="str">
        <f>IF('13 Gobernanza'!W8&lt;&gt;0,'13 Gobernanza'!W8,"-")</f>
        <v>Anual</v>
      </c>
      <c r="I147" s="58" t="str">
        <f>IF('13 Gobernanza'!X8&lt;&gt;0,'13 Gobernanza'!X8,"-")</f>
        <v>Dirección y órganos colegiados</v>
      </c>
      <c r="J147" s="33"/>
    </row>
    <row r="148" spans="1:10" ht="16.5" customHeight="1" thickBot="1">
      <c r="A148" s="58">
        <v>7</v>
      </c>
      <c r="B148" s="70" t="str">
        <f>IF('13 Gobernanza'!I9&lt;&gt;0,'13 Gobernanza'!I9,"-")</f>
        <v>Contribuir desde la Facultad de Ingeniería al cumplimiento de la meta PRDI “Contar anualmente con 8 500 asistentes a visitas guiadas”, con valores absolutos programados de 2027: 155, 2028: 155, 2029: 155, 2030: 155. Sustento en la Matriz de consistencia: «Realizar 1 revisión documentada de el cumplimiento de acuerdos colegiados en 2027 y actualizarla una vez al año de 2028 a 2030.»</v>
      </c>
      <c r="C148" s="58" t="str">
        <f>IF('13 Gobernanza'!R9&lt;&gt;0,'13 Gobernanza'!R9,"-")</f>
        <v/>
      </c>
      <c r="D148" s="58">
        <f>IF('13 Gobernanza'!S9&lt;&gt;0,'13 Gobernanza'!S9,"-")</f>
        <v>155</v>
      </c>
      <c r="E148" s="58">
        <f>IF('13 Gobernanza'!T9&lt;&gt;0,'13 Gobernanza'!T9,"-")</f>
        <v>155</v>
      </c>
      <c r="F148" s="58">
        <f>IF('13 Gobernanza'!U9&lt;&gt;0,'13 Gobernanza'!U9,"-")</f>
        <v>155</v>
      </c>
      <c r="G148" s="58">
        <f>IF('13 Gobernanza'!V9&lt;&gt;0,'13 Gobernanza'!V9,"-")</f>
        <v>155</v>
      </c>
      <c r="H148" s="58" t="str">
        <f>IF('13 Gobernanza'!W9&lt;&gt;0,'13 Gobernanza'!W9,"-")</f>
        <v>Anual</v>
      </c>
      <c r="I148" s="58" t="str">
        <f>IF('13 Gobernanza'!X9&lt;&gt;0,'13 Gobernanza'!X9,"-")</f>
        <v>Dirección y órganos colegiados</v>
      </c>
      <c r="J148" s="33"/>
    </row>
    <row r="149" spans="1:10" ht="16.5" customHeight="1" thickBot="1">
      <c r="A149" s="58">
        <v>8</v>
      </c>
      <c r="B149" s="70" t="str">
        <f>IF('13 Gobernanza'!I10&lt;&gt;0,'13 Gobernanza'!I10,"-")</f>
        <v>Contribuir desde la Facultad de Ingeniería al cumplimiento de la meta PRDI “Lograr que 100% de los espacios universitarios con cronista cuente con una nueva crónica sobre la historia de su espacio, al final de la administración”, con valores absolutos programados de 2027: 0, 2028: 0, 2029: 1, 2030: 0. Sustento en la Matriz de consistencia: «Crear 1 registro de acuerdos colegiados en 2027 y publicar 1 balance de seguimiento cada año de 2028 a 2030.»</v>
      </c>
      <c r="C149" s="58" t="str">
        <f>IF('13 Gobernanza'!R10&lt;&gt;0,'13 Gobernanza'!R10,"-")</f>
        <v/>
      </c>
      <c r="D149" s="58" t="str">
        <f>IF('13 Gobernanza'!S10&lt;&gt;0,'13 Gobernanza'!S10,"-")</f>
        <v>-</v>
      </c>
      <c r="E149" s="58" t="str">
        <f>IF('13 Gobernanza'!T10&lt;&gt;0,'13 Gobernanza'!T10,"-")</f>
        <v>-</v>
      </c>
      <c r="F149" s="58">
        <f>IF('13 Gobernanza'!U10&lt;&gt;0,'13 Gobernanza'!U10,"-")</f>
        <v>1</v>
      </c>
      <c r="G149" s="58" t="str">
        <f>IF('13 Gobernanza'!V10&lt;&gt;0,'13 Gobernanza'!V10,"-")</f>
        <v>-</v>
      </c>
      <c r="H149" s="58" t="str">
        <f>IF('13 Gobernanza'!W10&lt;&gt;0,'13 Gobernanza'!W10,"-")</f>
        <v>Anual</v>
      </c>
      <c r="I149" s="58" t="str">
        <f>IF('13 Gobernanza'!X10&lt;&gt;0,'13 Gobernanza'!X10,"-")</f>
        <v>Dirección y órganos colegiados</v>
      </c>
      <c r="J149" s="33"/>
    </row>
    <row r="150" spans="1:10">
      <c r="A150" s="63"/>
      <c r="B150" s="82"/>
      <c r="C150" s="63"/>
      <c r="D150" s="63"/>
      <c r="E150" s="63"/>
      <c r="F150" s="63"/>
      <c r="G150" s="63"/>
      <c r="H150" s="63"/>
      <c r="I150" s="63"/>
      <c r="J150" s="63"/>
    </row>
    <row r="151" spans="1:10">
      <c r="A151" s="63"/>
      <c r="B151" s="82"/>
      <c r="C151" s="63"/>
      <c r="D151" s="63"/>
      <c r="E151" s="63"/>
      <c r="F151" s="63"/>
      <c r="G151" s="63"/>
      <c r="H151" s="63"/>
      <c r="I151" s="63"/>
      <c r="J151" s="63"/>
    </row>
    <row r="152" spans="1:10">
      <c r="A152" s="63"/>
      <c r="B152" s="82"/>
      <c r="C152" s="63"/>
      <c r="D152" s="63"/>
      <c r="E152" s="63"/>
      <c r="F152" s="63"/>
      <c r="G152" s="63"/>
      <c r="H152" s="63"/>
      <c r="I152" s="63"/>
      <c r="J152" s="63"/>
    </row>
    <row r="153" spans="1:10" ht="16.5" customHeight="1">
      <c r="A153" s="214" t="s">
        <v>760</v>
      </c>
      <c r="B153" s="215"/>
      <c r="C153" s="216"/>
      <c r="D153" s="216"/>
      <c r="E153" s="216"/>
      <c r="F153" s="216"/>
      <c r="G153" s="216"/>
      <c r="H153" s="216"/>
      <c r="I153" s="216"/>
      <c r="J153" s="216"/>
    </row>
    <row r="154" spans="1:10">
      <c r="A154" s="217" t="s">
        <v>743</v>
      </c>
      <c r="B154" s="212" t="s">
        <v>731</v>
      </c>
      <c r="C154" s="212" t="s">
        <v>16</v>
      </c>
      <c r="D154" s="212">
        <v>2027</v>
      </c>
      <c r="E154" s="212">
        <v>2028</v>
      </c>
      <c r="F154" s="212">
        <v>2029</v>
      </c>
      <c r="G154" s="54" t="str">
        <f>TEXT($J$1,"mmmm")</f>
        <v>agosto</v>
      </c>
      <c r="H154" s="212" t="s">
        <v>744</v>
      </c>
      <c r="I154" s="212" t="s">
        <v>15</v>
      </c>
      <c r="J154" s="33"/>
    </row>
    <row r="155" spans="1:10" ht="16.5" customHeight="1" thickBot="1">
      <c r="A155" s="213"/>
      <c r="B155" s="213"/>
      <c r="C155" s="213"/>
      <c r="D155" s="213"/>
      <c r="E155" s="213"/>
      <c r="F155" s="213"/>
      <c r="G155" s="55">
        <v>2030</v>
      </c>
      <c r="H155" s="213"/>
      <c r="I155" s="213"/>
      <c r="J155" s="33"/>
    </row>
    <row r="156" spans="1:10" ht="16.5" customHeight="1" thickBot="1">
      <c r="A156" s="58">
        <v>1</v>
      </c>
      <c r="B156" s="70" t="str">
        <f>IF('16 Manejo recursos universitari'!I3&lt;&gt;0,'16 Manejo recursos universitari'!I3,"-")</f>
        <v>Contribuir desde la Facultad de Ingeniería al cumplimiento de la meta PRDI “Implementar anualmente 1 programa institucional que fortalezca la generación de ingresos extraordinarios”, con valores absolutos programados de 2027: 1, 2028: 1, 2029: 1, 2030: 1. Sustento en la Matriz de consistencia: «Integrar 1 registro anual de programación y ejercicio de recursos entre 2027 y 2030.» «Realizar 1 revisión documentada de la relación entre asignaciones y resultados en 2027 y actualizarla una vez al año de 2028 a 2030.» «Registrar 1 acuerdo de mejora sobre la relación entre asignaciones y resultados en 2028 y revisar su cumplimiento anualmente hasta 2030.»</v>
      </c>
      <c r="C156" s="58" t="str">
        <f>IF('16 Manejo recursos universitari'!R3&lt;&gt;0,'16 Manejo recursos universitari'!R3,"-")</f>
        <v/>
      </c>
      <c r="D156" s="58">
        <f>IF('16 Manejo recursos universitari'!S3&lt;&gt;0,'16 Manejo recursos universitari'!S3,"-")</f>
        <v>1</v>
      </c>
      <c r="E156" s="58">
        <f>IF('16 Manejo recursos universitari'!T3&lt;&gt;0,'16 Manejo recursos universitari'!T3,"-")</f>
        <v>1</v>
      </c>
      <c r="F156" s="58">
        <f>IF('16 Manejo recursos universitari'!U3&lt;&gt;0,'16 Manejo recursos universitari'!U3,"-")</f>
        <v>1</v>
      </c>
      <c r="G156" s="58">
        <f>IF('16 Manejo recursos universitari'!V3&lt;&gt;0,'16 Manejo recursos universitari'!V3,"-")</f>
        <v>1</v>
      </c>
      <c r="H156" s="58" t="str">
        <f>IF('16 Manejo recursos universitari'!W3&lt;&gt;0,'16 Manejo recursos universitari'!W3,"-")</f>
        <v>Anual</v>
      </c>
      <c r="I156" s="58" t="str">
        <f>IF('16 Manejo recursos universitari'!X3&lt;&gt;0,'16 Manejo recursos universitari'!X3,"-")</f>
        <v>Subdirección Administrativa</v>
      </c>
      <c r="J156" s="33"/>
    </row>
    <row r="157" spans="1:10">
      <c r="A157" s="81"/>
      <c r="B157" s="72"/>
      <c r="C157" s="73"/>
      <c r="D157" s="73"/>
      <c r="E157" s="73"/>
      <c r="F157" s="73"/>
      <c r="G157" s="73"/>
      <c r="H157" s="73"/>
      <c r="I157" s="73"/>
      <c r="J157" s="73"/>
    </row>
    <row r="158" spans="1:10">
      <c r="A158" s="81"/>
      <c r="B158" s="72"/>
      <c r="C158" s="73"/>
      <c r="D158" s="73"/>
      <c r="E158" s="73"/>
      <c r="F158" s="73"/>
      <c r="G158" s="73"/>
      <c r="H158" s="73"/>
      <c r="I158" s="73"/>
      <c r="J158" s="73"/>
    </row>
    <row r="159" spans="1:10" ht="19.5" customHeight="1">
      <c r="A159" s="53" t="s">
        <v>761</v>
      </c>
      <c r="B159" s="68"/>
      <c r="C159" s="69"/>
      <c r="D159" s="69"/>
      <c r="E159" s="69"/>
      <c r="F159" s="69"/>
      <c r="G159" s="69"/>
      <c r="H159" s="69"/>
      <c r="I159" s="69"/>
      <c r="J159" s="69"/>
    </row>
    <row r="160" spans="1:10" ht="16.5" customHeight="1">
      <c r="A160" s="214" t="s">
        <v>762</v>
      </c>
      <c r="B160" s="215"/>
      <c r="C160" s="216"/>
      <c r="D160" s="216"/>
      <c r="E160" s="216"/>
      <c r="F160" s="216"/>
      <c r="G160" s="216"/>
      <c r="H160" s="216"/>
      <c r="I160" s="216"/>
      <c r="J160" s="216"/>
    </row>
    <row r="161" spans="1:10">
      <c r="A161" s="217" t="s">
        <v>743</v>
      </c>
      <c r="B161" s="212" t="s">
        <v>731</v>
      </c>
      <c r="C161" s="212" t="s">
        <v>16</v>
      </c>
      <c r="D161" s="212">
        <v>2027</v>
      </c>
      <c r="E161" s="212">
        <v>2028</v>
      </c>
      <c r="F161" s="212">
        <v>2029</v>
      </c>
      <c r="G161" s="54" t="str">
        <f>TEXT($J$1,"mmmm")</f>
        <v>agosto</v>
      </c>
      <c r="H161" s="212" t="s">
        <v>744</v>
      </c>
      <c r="I161" s="212" t="s">
        <v>15</v>
      </c>
      <c r="J161" s="33"/>
    </row>
    <row r="162" spans="1:10" ht="16.5" customHeight="1" thickBot="1">
      <c r="A162" s="213"/>
      <c r="B162" s="213"/>
      <c r="C162" s="213"/>
      <c r="D162" s="213"/>
      <c r="E162" s="213"/>
      <c r="F162" s="213"/>
      <c r="G162" s="55">
        <v>2030</v>
      </c>
      <c r="H162" s="213"/>
      <c r="I162" s="213"/>
      <c r="J162" s="33"/>
    </row>
    <row r="163" spans="1:10" ht="16.5" customHeight="1" thickBot="1">
      <c r="A163" s="58">
        <v>1</v>
      </c>
      <c r="B163" s="70" t="str">
        <f>IF('Indicadores x proyec'!B88&lt;&gt;0,'Indicadores x proyec'!B88,"-")</f>
        <v>Mejorar o mantener de forma conservadora en la Facultad de Ingeniería el indicador IND-PRDI-431, con la trayectoria 2027: 38.01%, 2028: 38.68%, 2029: 39.32%, 2030: 40.01%, sustentada en referencia PRDI; no existe serie histórica directamente comparable para la variable. Sustento en la Matriz de consistencia: «Realizar 1 reunión y 1 encuesta a estudiantes y profesorado de cada licenciatura cada año de 2028 a 2030 y documentar los ajustes derivados.»</v>
      </c>
      <c r="C163" s="60" t="e">
        <f>IF('Indicadores x proyec'!D88/100&lt;&gt;0,'Indicadores x proyec'!D88/100,"-")</f>
        <v>#VALUE!</v>
      </c>
      <c r="D163" s="60">
        <f>IF('Indicadores x proyec'!E88/100&lt;&gt;0,'Indicadores x proyec'!E88/100,"-")</f>
        <v>0.38006022080963531</v>
      </c>
      <c r="E163" s="60">
        <f>IF('Indicadores x proyec'!F88/100&lt;&gt;0,'Indicadores x proyec'!F88/100,"-")</f>
        <v>0.38681757656458055</v>
      </c>
      <c r="F163" s="60">
        <f>IF('Indicadores x proyec'!G88/100&lt;&gt;0,'Indicadores x proyec'!G88/100,"-")</f>
        <v>0.39317654852600198</v>
      </c>
      <c r="G163" s="60">
        <f>IF('Indicadores x proyec'!H88/100&lt;&gt;0,'Indicadores x proyec'!H88/100,"-")</f>
        <v>0.40013183915622941</v>
      </c>
      <c r="H163" s="58" t="str">
        <f>IF('Indicadores x proyec'!I88&lt;&gt;0,'Indicadores x proyec'!I88,"-")</f>
        <v>Anual</v>
      </c>
      <c r="I163" s="58" t="str">
        <f>IF('Indicadores x proyec'!J88&lt;&gt;0,'Indicadores x proyec'!J88,"-")</f>
        <v>Unidad de Igualdad de Género</v>
      </c>
      <c r="J163" s="33"/>
    </row>
    <row r="164" spans="1:10" ht="16.5" customHeight="1" thickBot="1">
      <c r="A164" s="58">
        <v>2</v>
      </c>
      <c r="B164" s="70" t="str">
        <f>IF('18 Reconocimiento de la diversi'!I5&lt;&gt;0,'18 Reconocimiento de la diversi'!I5,"-")</f>
        <v>Contribuir desde la Facultad de Ingeniería al cumplimiento de la meta PRDI “Difundir 3 materiales de divulgación al año (guías, cartillas y manuales) orientados a promover el respeto y reconocimiento de las identidades entre la comunidad universitaria”, con valores absolutos programados de 2027: 1, 2028: 1, 2029: 1, 2030: 1.</v>
      </c>
      <c r="C164" s="58" t="str">
        <f>IF('18 Reconocimiento de la diversi'!R5&lt;&gt;0,'18 Reconocimiento de la diversi'!R5,"-")</f>
        <v/>
      </c>
      <c r="D164" s="58">
        <f>IF('18 Reconocimiento de la diversi'!S5&lt;&gt;0,'18 Reconocimiento de la diversi'!S5,"-")</f>
        <v>1</v>
      </c>
      <c r="E164" s="58">
        <f>IF('18 Reconocimiento de la diversi'!T5&lt;&gt;0,'18 Reconocimiento de la diversi'!T5,"-")</f>
        <v>1</v>
      </c>
      <c r="F164" s="58">
        <f>IF('18 Reconocimiento de la diversi'!U5&lt;&gt;0,'18 Reconocimiento de la diversi'!U5,"-")</f>
        <v>1</v>
      </c>
      <c r="G164" s="58">
        <f>IF('18 Reconocimiento de la diversi'!V5&lt;&gt;0,'18 Reconocimiento de la diversi'!V5,"-")</f>
        <v>1</v>
      </c>
      <c r="H164" s="58" t="str">
        <f>IF('18 Reconocimiento de la diversi'!W5&lt;&gt;0,'18 Reconocimiento de la diversi'!W5,"-")</f>
        <v>Anual</v>
      </c>
      <c r="I164" s="58" t="str">
        <f>IF('18 Reconocimiento de la diversi'!X5&lt;&gt;0,'18 Reconocimiento de la diversi'!X5,"-")</f>
        <v>Unidad de Igualdad de Género</v>
      </c>
      <c r="J164" s="33"/>
    </row>
    <row r="165" spans="1:10" ht="16.5" customHeight="1" thickBot="1">
      <c r="A165" s="58">
        <v>3</v>
      </c>
      <c r="B165" s="70" t="str">
        <f>IF('Indicadores x proyec'!B90&lt;&gt;0,'Indicadores x proyec'!B90,"-")</f>
        <v>Mejorar o mantener de forma conservadora en la Facultad de Ingeniería el indicador IND-PRDI-407, con la trayectoria 2027: 5%, 2028: 5%, 2029: 5%, 2030: 5%, sustentada en referencia PRDI; no existe serie histórica directamente comparable para la variable.</v>
      </c>
      <c r="C165" s="60" t="e">
        <f>IF('Indicadores x proyec'!D90/100&lt;&gt;0,'Indicadores x proyec'!D90/100,"-")</f>
        <v>#VALUE!</v>
      </c>
      <c r="D165" s="60">
        <f>IF('Indicadores x proyec'!E90/100&lt;&gt;0,'Indicadores x proyec'!E90/100,"-")</f>
        <v>0.05</v>
      </c>
      <c r="E165" s="60">
        <f>IF('Indicadores x proyec'!F90/100&lt;&gt;0,'Indicadores x proyec'!F90/100,"-")</f>
        <v>0.05</v>
      </c>
      <c r="F165" s="60">
        <f>IF('Indicadores x proyec'!G90/100&lt;&gt;0,'Indicadores x proyec'!G90/100,"-")</f>
        <v>0.05</v>
      </c>
      <c r="G165" s="60">
        <f>IF('Indicadores x proyec'!H90/100&lt;&gt;0,'Indicadores x proyec'!H90/100,"-")</f>
        <v>0.05</v>
      </c>
      <c r="H165" s="58" t="str">
        <f>IF('Indicadores x proyec'!I90&lt;&gt;0,'Indicadores x proyec'!I90,"-")</f>
        <v>Anual</v>
      </c>
      <c r="I165" s="58" t="str">
        <f>IF('Indicadores x proyec'!J90&lt;&gt;0,'Indicadores x proyec'!J90,"-")</f>
        <v>Unidad de Igualdad de Género</v>
      </c>
      <c r="J165" s="33"/>
    </row>
    <row r="166" spans="1:10" ht="16.5" customHeight="1" thickBot="1">
      <c r="A166" s="58">
        <v>4</v>
      </c>
      <c r="B166" s="70" t="str">
        <f>IF('18 Reconocimiento de la diversi'!I8&lt;&gt;0,'18 Reconocimiento de la diversi'!I8,"-")</f>
        <v>Contribuir desde la Facultad de Ingeniería al cumplimiento de la meta PRDI “Implementar 2 eventos socioculturales al año con temáticas de inclusión y vulnerabilidad”, con valores absolutos programados de 2027: 1, 2028: 1, 2029: 1, 2030: 1.</v>
      </c>
      <c r="C166" s="58" t="str">
        <f>IF('18 Reconocimiento de la diversi'!R8&lt;&gt;0,'18 Reconocimiento de la diversi'!R8,"-")</f>
        <v/>
      </c>
      <c r="D166" s="58">
        <f>IF('18 Reconocimiento de la diversi'!S8&lt;&gt;0,'18 Reconocimiento de la diversi'!S8,"-")</f>
        <v>1</v>
      </c>
      <c r="E166" s="58">
        <f>IF('18 Reconocimiento de la diversi'!T8&lt;&gt;0,'18 Reconocimiento de la diversi'!T8,"-")</f>
        <v>1</v>
      </c>
      <c r="F166" s="58">
        <f>IF('18 Reconocimiento de la diversi'!U8&lt;&gt;0,'18 Reconocimiento de la diversi'!U8,"-")</f>
        <v>1</v>
      </c>
      <c r="G166" s="58">
        <f>IF('18 Reconocimiento de la diversi'!V8&lt;&gt;0,'18 Reconocimiento de la diversi'!V8,"-")</f>
        <v>1</v>
      </c>
      <c r="H166" s="58" t="str">
        <f>IF('18 Reconocimiento de la diversi'!W8&lt;&gt;0,'18 Reconocimiento de la diversi'!W8,"-")</f>
        <v>Anual</v>
      </c>
      <c r="I166" s="58" t="str">
        <f>IF('18 Reconocimiento de la diversi'!X8&lt;&gt;0,'18 Reconocimiento de la diversi'!X8,"-")</f>
        <v>Unidad de Igualdad de Género</v>
      </c>
      <c r="J166" s="33"/>
    </row>
    <row r="167" spans="1:10" ht="16.5" customHeight="1" thickBot="1">
      <c r="A167" s="58">
        <v>5</v>
      </c>
      <c r="B167" s="70" t="str">
        <f>IF('18 Reconocimiento de la diversi'!I9&lt;&gt;0,'18 Reconocimiento de la diversi'!I9,"-")</f>
        <v>Contribuir desde la Facultad de Ingeniería al cumplimiento de la meta PRDI “Realizar 1 actividad anual sobre equidad social y de género”, con valores absolutos programados de 2027: 1, 2028: 1, 2029: 1, 2030: 1. Sustento en la Matriz de consistencia: «Publicar 1 diagnóstico anual de brechas de participación y apoyos por programa entre 2027 y 2030.»</v>
      </c>
      <c r="C167" s="58" t="str">
        <f>IF('18 Reconocimiento de la diversi'!R9&lt;&gt;0,'18 Reconocimiento de la diversi'!R9,"-")</f>
        <v/>
      </c>
      <c r="D167" s="58">
        <f>IF('18 Reconocimiento de la diversi'!S9&lt;&gt;0,'18 Reconocimiento de la diversi'!S9,"-")</f>
        <v>1</v>
      </c>
      <c r="E167" s="58">
        <f>IF('18 Reconocimiento de la diversi'!T9&lt;&gt;0,'18 Reconocimiento de la diversi'!T9,"-")</f>
        <v>1</v>
      </c>
      <c r="F167" s="58">
        <f>IF('18 Reconocimiento de la diversi'!U9&lt;&gt;0,'18 Reconocimiento de la diversi'!U9,"-")</f>
        <v>1</v>
      </c>
      <c r="G167" s="58">
        <f>IF('18 Reconocimiento de la diversi'!V9&lt;&gt;0,'18 Reconocimiento de la diversi'!V9,"-")</f>
        <v>1</v>
      </c>
      <c r="H167" s="58" t="str">
        <f>IF('18 Reconocimiento de la diversi'!W9&lt;&gt;0,'18 Reconocimiento de la diversi'!W9,"-")</f>
        <v>Anual</v>
      </c>
      <c r="I167" s="58" t="str">
        <f>IF('18 Reconocimiento de la diversi'!X9&lt;&gt;0,'18 Reconocimiento de la diversi'!X9,"-")</f>
        <v>Unidad de Igualdad de Género</v>
      </c>
      <c r="J167" s="33"/>
    </row>
    <row r="168" spans="1:10" ht="16.5" customHeight="1" thickBot="1">
      <c r="A168" s="58">
        <v>6</v>
      </c>
      <c r="B168" s="70" t="str">
        <f>IF('18 Reconocimiento de la diversi'!I10&lt;&gt;0,'18 Reconocimiento de la diversi'!I10,"-")</f>
        <v>Contribuir desde la Facultad de Ingeniería al cumplimiento de la meta PRDI “Implementar 4 programas de sensibilización al año en temas de corresponsabilidad y autocuidado”, con valores absolutos programados de 2027: 1, 2028: 1, 2029: 1, 2030: 1.</v>
      </c>
      <c r="C168" s="58" t="str">
        <f>IF('18 Reconocimiento de la diversi'!R10&lt;&gt;0,'18 Reconocimiento de la diversi'!R10,"-")</f>
        <v/>
      </c>
      <c r="D168" s="58">
        <f>IF('18 Reconocimiento de la diversi'!S10&lt;&gt;0,'18 Reconocimiento de la diversi'!S10,"-")</f>
        <v>1</v>
      </c>
      <c r="E168" s="58">
        <f>IF('18 Reconocimiento de la diversi'!T10&lt;&gt;0,'18 Reconocimiento de la diversi'!T10,"-")</f>
        <v>1</v>
      </c>
      <c r="F168" s="58">
        <f>IF('18 Reconocimiento de la diversi'!U10&lt;&gt;0,'18 Reconocimiento de la diversi'!U10,"-")</f>
        <v>1</v>
      </c>
      <c r="G168" s="58">
        <f>IF('18 Reconocimiento de la diversi'!V10&lt;&gt;0,'18 Reconocimiento de la diversi'!V10,"-")</f>
        <v>1</v>
      </c>
      <c r="H168" s="58" t="str">
        <f>IF('18 Reconocimiento de la diversi'!W10&lt;&gt;0,'18 Reconocimiento de la diversi'!W10,"-")</f>
        <v>Anual</v>
      </c>
      <c r="I168" s="58" t="str">
        <f>IF('18 Reconocimiento de la diversi'!X10&lt;&gt;0,'18 Reconocimiento de la diversi'!X10,"-")</f>
        <v>Unidad de Igualdad de Género</v>
      </c>
      <c r="J168" s="33"/>
    </row>
    <row r="169" spans="1:10" ht="16.5" customHeight="1" thickBot="1">
      <c r="A169" s="58">
        <v>7</v>
      </c>
      <c r="B169" s="70" t="str">
        <f>IF('18 Reconocimiento de la diversi'!I11&lt;&gt;0,'18 Reconocimiento de la diversi'!I11,"-")</f>
        <v>Contribuir desde la Facultad de Ingeniería al cumplimiento de la meta PRDI “Realizar anualmente 10 talleres articulados que fortalezcan el Programa Universitario de Bienestar Integral”, con valores absolutos programados de 2027: 1, 2028: 1, 2029: 1, 2030: 1.</v>
      </c>
      <c r="C169" s="58" t="str">
        <f>IF('18 Reconocimiento de la diversi'!R11&lt;&gt;0,'18 Reconocimiento de la diversi'!R11,"-")</f>
        <v/>
      </c>
      <c r="D169" s="58">
        <f>IF('18 Reconocimiento de la diversi'!S11&lt;&gt;0,'18 Reconocimiento de la diversi'!S11,"-")</f>
        <v>1</v>
      </c>
      <c r="E169" s="58">
        <f>IF('18 Reconocimiento de la diversi'!T11&lt;&gt;0,'18 Reconocimiento de la diversi'!T11,"-")</f>
        <v>1</v>
      </c>
      <c r="F169" s="58">
        <f>IF('18 Reconocimiento de la diversi'!U11&lt;&gt;0,'18 Reconocimiento de la diversi'!U11,"-")</f>
        <v>1</v>
      </c>
      <c r="G169" s="58">
        <f>IF('18 Reconocimiento de la diversi'!V11&lt;&gt;0,'18 Reconocimiento de la diversi'!V11,"-")</f>
        <v>1</v>
      </c>
      <c r="H169" s="58" t="str">
        <f>IF('18 Reconocimiento de la diversi'!W11&lt;&gt;0,'18 Reconocimiento de la diversi'!W11,"-")</f>
        <v>Anual</v>
      </c>
      <c r="I169" s="58" t="str">
        <f>IF('18 Reconocimiento de la diversi'!X11&lt;&gt;0,'18 Reconocimiento de la diversi'!X11,"-")</f>
        <v>Unidad de Igualdad de Género</v>
      </c>
      <c r="J169" s="33"/>
    </row>
    <row r="170" spans="1:10" ht="16.5" customHeight="1" thickBot="1">
      <c r="A170" s="58">
        <v>8</v>
      </c>
      <c r="B170" s="70" t="str">
        <f>IF('18 Reconocimiento de la diversi'!I12&lt;&gt;0,'18 Reconocimiento de la diversi'!I12,"-")</f>
        <v>Contribuir desde la Facultad de Ingeniería al cumplimiento de la meta PRDI “Certificar anualmente a 10% del personal académico, administrativo de confianza y directivo en materia de bienestar integral”, con valores absolutos programados de 2027: 1, 2028: 1, 2029: 1, 2030: 1. Sustento en la Matriz de consistencia: «Realizar 1 revisión documentada de las brechas de acceso y permanencia en 2027 y actualizarla una vez al año de 2028 a 2030.»</v>
      </c>
      <c r="C170" s="58" t="str">
        <f>IF('18 Reconocimiento de la diversi'!R12&lt;&gt;0,'18 Reconocimiento de la diversi'!R12,"-")</f>
        <v/>
      </c>
      <c r="D170" s="58">
        <f>IF('18 Reconocimiento de la diversi'!S12&lt;&gt;0,'18 Reconocimiento de la diversi'!S12,"-")</f>
        <v>1</v>
      </c>
      <c r="E170" s="58">
        <f>IF('18 Reconocimiento de la diversi'!T12&lt;&gt;0,'18 Reconocimiento de la diversi'!T12,"-")</f>
        <v>1</v>
      </c>
      <c r="F170" s="58">
        <f>IF('18 Reconocimiento de la diversi'!U12&lt;&gt;0,'18 Reconocimiento de la diversi'!U12,"-")</f>
        <v>1</v>
      </c>
      <c r="G170" s="58">
        <f>IF('18 Reconocimiento de la diversi'!V12&lt;&gt;0,'18 Reconocimiento de la diversi'!V12,"-")</f>
        <v>1</v>
      </c>
      <c r="H170" s="58" t="str">
        <f>IF('18 Reconocimiento de la diversi'!W12&lt;&gt;0,'18 Reconocimiento de la diversi'!W12,"-")</f>
        <v>Anual</v>
      </c>
      <c r="I170" s="58" t="str">
        <f>IF('18 Reconocimiento de la diversi'!X12&lt;&gt;0,'18 Reconocimiento de la diversi'!X12,"-")</f>
        <v>Unidad de Igualdad de Género</v>
      </c>
      <c r="J170" s="33"/>
    </row>
    <row r="171" spans="1:10">
      <c r="A171" s="81"/>
      <c r="B171" s="72"/>
      <c r="C171" s="73"/>
      <c r="D171" s="73"/>
      <c r="E171" s="73"/>
      <c r="F171" s="73"/>
      <c r="G171" s="73"/>
      <c r="H171" s="73"/>
      <c r="I171" s="73"/>
      <c r="J171" s="73"/>
    </row>
    <row r="172" spans="1:10">
      <c r="A172" s="81"/>
      <c r="B172" s="72"/>
      <c r="C172" s="73"/>
      <c r="D172" s="73"/>
      <c r="E172" s="73"/>
      <c r="F172" s="73"/>
      <c r="G172" s="73"/>
      <c r="H172" s="73"/>
      <c r="I172" s="73"/>
      <c r="J172" s="73"/>
    </row>
    <row r="173" spans="1:10">
      <c r="A173" s="80"/>
      <c r="B173" s="68"/>
      <c r="C173" s="69"/>
      <c r="D173" s="69"/>
      <c r="E173" s="69"/>
      <c r="F173" s="69"/>
      <c r="G173" s="69"/>
      <c r="H173" s="69"/>
      <c r="I173" s="69"/>
      <c r="J173" s="69"/>
    </row>
    <row r="174" spans="1:10" ht="16.5" customHeight="1">
      <c r="A174" s="214" t="s">
        <v>763</v>
      </c>
      <c r="B174" s="215"/>
      <c r="C174" s="216"/>
      <c r="D174" s="216"/>
      <c r="E174" s="216"/>
      <c r="F174" s="216"/>
      <c r="G174" s="216"/>
      <c r="H174" s="216"/>
      <c r="I174" s="216"/>
      <c r="J174" s="216"/>
    </row>
    <row r="175" spans="1:10">
      <c r="A175" s="217" t="s">
        <v>743</v>
      </c>
      <c r="B175" s="212" t="s">
        <v>731</v>
      </c>
      <c r="C175" s="212" t="s">
        <v>16</v>
      </c>
      <c r="D175" s="212">
        <v>2027</v>
      </c>
      <c r="E175" s="212">
        <v>2028</v>
      </c>
      <c r="F175" s="212">
        <v>2029</v>
      </c>
      <c r="G175" s="54" t="str">
        <f>TEXT($J$1,"mmmm")</f>
        <v>agosto</v>
      </c>
      <c r="H175" s="212" t="s">
        <v>744</v>
      </c>
      <c r="I175" s="212" t="s">
        <v>15</v>
      </c>
      <c r="J175" s="33"/>
    </row>
    <row r="176" spans="1:10" ht="16.5" customHeight="1" thickBot="1">
      <c r="A176" s="213"/>
      <c r="B176" s="213"/>
      <c r="C176" s="213"/>
      <c r="D176" s="213"/>
      <c r="E176" s="213"/>
      <c r="F176" s="213"/>
      <c r="G176" s="55">
        <v>2030</v>
      </c>
      <c r="H176" s="213"/>
      <c r="I176" s="213"/>
      <c r="J176" s="33"/>
    </row>
    <row r="177" spans="1:10" ht="16.5" customHeight="1" thickBot="1">
      <c r="A177" s="83">
        <v>1</v>
      </c>
      <c r="B177" s="84" t="str">
        <f>IF('Indicadores x proyec'!B96&lt;&gt;0,'Indicadores x proyec'!B96,"-")</f>
        <v>Contribuir desde la Facultad de Ingeniería al cumplimiento de la meta PRDI “Certificar anualmente a 10.03% del personal académico, administrativo de confianza y directivo, en competencias básicas de mediación, gestión pacífica de conflictos y atención a las violencias”, con valores absolutos programados de 2027: 6, 2028: 7, 2029: 7, 2030: 9. Sustento en la Matriz de consistencia: «Mantener al menos 5 acciones de capacitación registradas en cada medición anual de 2027 a 2030.»</v>
      </c>
      <c r="C177" s="129">
        <f>IF('19 Constr cultura de paz '!R3&lt;&gt;0,'19 Constr cultura de paz '!R3,"-")</f>
        <v>5</v>
      </c>
      <c r="D177" s="129">
        <f>IF('19 Constr cultura de paz '!S3&lt;&gt;0,'19 Constr cultura de paz '!S3,"-")</f>
        <v>6</v>
      </c>
      <c r="E177" s="129">
        <f>IF('19 Constr cultura de paz '!T3&lt;&gt;0,'19 Constr cultura de paz '!T3,"-")</f>
        <v>7</v>
      </c>
      <c r="F177" s="129">
        <f>IF('19 Constr cultura de paz '!U3&lt;&gt;0,'19 Constr cultura de paz '!U3,"-")</f>
        <v>7</v>
      </c>
      <c r="G177" s="129">
        <f>IF('19 Constr cultura de paz '!V3&lt;&gt;0,'19 Constr cultura de paz '!V3,"-")</f>
        <v>9</v>
      </c>
      <c r="H177" s="83" t="str">
        <f>'19 Constr cultura de paz '!W3</f>
        <v>Anual</v>
      </c>
      <c r="I177" s="83" t="str">
        <f>IF('19 Constr cultura de paz '!X3&lt;&gt;0,'19 Constr cultura de paz '!X3,"-")</f>
        <v>Unidad de Igualdad de Género y Dirección</v>
      </c>
      <c r="J177" s="33"/>
    </row>
    <row r="178" spans="1:10" ht="16.5" customHeight="1" thickBot="1">
      <c r="A178" s="83">
        <v>2</v>
      </c>
      <c r="B178" s="84" t="str">
        <f>IF('19 Constr cultura de paz '!I4&lt;&gt;0,'19 Constr cultura de paz '!I4,"-")</f>
        <v>Contribuir desde la Facultad de Ingeniería al cumplimiento de la meta PRDI “Involucrar a 400 estudiantes en actividades comunitarias, proyectos de intervención social y programas extracurriculares orientados a la construcción de paz durante la administración”, con valores absolutos programados de 2027: 2, 2028: 2, 2029: 2, 2030: 2. Sustento en la Matriz de consistencia: «Realizar 1 reunión y 1 encuesta a estudiantes, docentes y administrativos cada año de 2028 a 2030 y documentar los ajustes derivados.»</v>
      </c>
      <c r="C178" s="83" t="str">
        <f>IF('19 Constr cultura de paz '!R4&lt;&gt;0,'19 Constr cultura de paz '!R4,"-")</f>
        <v/>
      </c>
      <c r="D178" s="83">
        <f>IF('19 Constr cultura de paz '!S4&lt;&gt;0,'19 Constr cultura de paz '!S4,"-")</f>
        <v>2</v>
      </c>
      <c r="E178" s="83">
        <f>IF('19 Constr cultura de paz '!T4&lt;&gt;0,'19 Constr cultura de paz '!T4,"-")</f>
        <v>2</v>
      </c>
      <c r="F178" s="83">
        <f>IF('19 Constr cultura de paz '!U4&lt;&gt;0,'19 Constr cultura de paz '!U4,"-")</f>
        <v>2</v>
      </c>
      <c r="G178" s="83">
        <f>IF('19 Constr cultura de paz '!V4&lt;&gt;0,'19 Constr cultura de paz '!V4,"-")</f>
        <v>2</v>
      </c>
      <c r="H178" s="83" t="str">
        <f>IF('19 Constr cultura de paz '!W4&lt;&gt;0,'19 Constr cultura de paz '!W4,"-")</f>
        <v xml:space="preserve">Anual </v>
      </c>
      <c r="I178" s="83" t="str">
        <f>IF('19 Constr cultura de paz '!X4&lt;&gt;0,'19 Constr cultura de paz '!X4,"-")</f>
        <v>Unidad de Igualdad de Género y Dirección</v>
      </c>
      <c r="J178" s="33"/>
    </row>
    <row r="179" spans="1:10" ht="16.5" customHeight="1" thickBot="1">
      <c r="A179" s="83">
        <v>3</v>
      </c>
      <c r="B179" s="84" t="str">
        <f>IF('19 Constr cultura de paz '!I5&lt;&gt;0,'19 Constr cultura de paz '!I5,"-")</f>
        <v>Contribuir desde la Facultad de Ingeniería al cumplimiento de la meta PRDI “Lograr que 100% de los espacios académicos, realicen actividades culturales con temáticas de igualdad de género y cultura de paz, durante la administración”, con valores absolutos programados de 2027: 1, 2028: 0, 2029: 0, 2030: 0.</v>
      </c>
      <c r="C179" s="83" t="str">
        <f>IF('19 Constr cultura de paz '!R5&lt;&gt;0,'19 Constr cultura de paz '!R5,"-")</f>
        <v/>
      </c>
      <c r="D179" s="83">
        <f>IF('19 Constr cultura de paz '!S5&lt;&gt;0,'19 Constr cultura de paz '!S5,"-")</f>
        <v>1</v>
      </c>
      <c r="E179" s="83" t="str">
        <f>IF('19 Constr cultura de paz '!T5&lt;&gt;0,'19 Constr cultura de paz '!T5,"-")</f>
        <v>-</v>
      </c>
      <c r="F179" s="83" t="str">
        <f>IF('19 Constr cultura de paz '!U5&lt;&gt;0,'19 Constr cultura de paz '!U5,"-")</f>
        <v>-</v>
      </c>
      <c r="G179" s="83" t="str">
        <f>IF('19 Constr cultura de paz '!V5&lt;&gt;0,'19 Constr cultura de paz '!V5,"-")</f>
        <v>-</v>
      </c>
      <c r="H179" s="83" t="str">
        <f>IF('19 Constr cultura de paz '!W5&lt;&gt;0,'19 Constr cultura de paz '!W5,"-")</f>
        <v xml:space="preserve">Anual </v>
      </c>
      <c r="I179" s="83" t="str">
        <f>IF('19 Constr cultura de paz '!X5&lt;&gt;0,'19 Constr cultura de paz '!X5,"-")</f>
        <v>Unidad de Igualdad de Género y Dirección</v>
      </c>
      <c r="J179" s="33"/>
    </row>
    <row r="180" spans="1:10" ht="16.5" customHeight="1" thickBot="1">
      <c r="A180" s="83">
        <v>4</v>
      </c>
      <c r="B180" s="84" t="str">
        <f>IF('19 Constr cultura de paz '!I6&lt;&gt;0,'19 Constr cultura de paz '!I6,"-")</f>
        <v>Contribuir desde la Facultad de Ingeniería al cumplimiento de la meta PRDI “Realizar 2 campañas anuales para difundir los protocolos institucionales de atención y prevención de violencias a toda la comunidad universitaria”, con valores absolutos programados de 2027: 1, 2028: 1, 2029: 1, 2030: 1. Sustento en la Matriz de consistencia: «Realizar 1 revisión documentada de las barreras para denunciar y recibir atención en 2027 y actualizarla una vez al año de 2028 a 2030.»</v>
      </c>
      <c r="C180" s="83" t="str">
        <f>IF('19 Constr cultura de paz '!R6&lt;&gt;0,'19 Constr cultura de paz '!R6,"-")</f>
        <v/>
      </c>
      <c r="D180" s="83">
        <f>IF('19 Constr cultura de paz '!S6&lt;&gt;0,'19 Constr cultura de paz '!S6,"-")</f>
        <v>1</v>
      </c>
      <c r="E180" s="83">
        <f>IF('19 Constr cultura de paz '!T6&lt;&gt;0,'19 Constr cultura de paz '!T6,"-")</f>
        <v>1</v>
      </c>
      <c r="F180" s="83">
        <f>IF('19 Constr cultura de paz '!U6&lt;&gt;0,'19 Constr cultura de paz '!U6,"-")</f>
        <v>1</v>
      </c>
      <c r="G180" s="83">
        <f>IF('19 Constr cultura de paz '!V6&lt;&gt;0,'19 Constr cultura de paz '!V6,"-")</f>
        <v>1</v>
      </c>
      <c r="H180" s="83" t="str">
        <f>IF('19 Constr cultura de paz '!W6&lt;&gt;0,'19 Constr cultura de paz '!W6,"-")</f>
        <v xml:space="preserve">Anual </v>
      </c>
      <c r="I180" s="83" t="str">
        <f>IF('19 Constr cultura de paz '!X6&lt;&gt;0,'19 Constr cultura de paz '!X6,"-")</f>
        <v>Unidad de Igualdad de Género y Dirección</v>
      </c>
      <c r="J180" s="33"/>
    </row>
    <row r="181" spans="1:10" ht="16.5" customHeight="1" thickBot="1">
      <c r="A181" s="83">
        <v>5</v>
      </c>
      <c r="B181" s="84" t="str">
        <f>IF('Indicadores x proyec'!B98&lt;&gt;0,'Indicadores x proyec'!B98,"-")</f>
        <v>Mejorar o mantener de forma conservadora en la Facultad de Ingeniería el indicador IND-PRDI-420, con la trayectoria 2027: 38.01%, 2028: 38.68%, 2029: 39.34%, 2030: 39.99%, sustentada en referencia PRDI; no existe serie histórica directamente comparable para la variable.</v>
      </c>
      <c r="C181" s="85" t="e">
        <f>IF('Indicadores x proyec'!D98/100&lt;&gt;0,'Indicadores x proyec'!D98/100,"-")</f>
        <v>#VALUE!</v>
      </c>
      <c r="D181" s="85">
        <f>IF('Indicadores x proyec'!E98/100&lt;&gt;0,'Indicadores x proyec'!E98/100,"-")</f>
        <v>0.38007159904534604</v>
      </c>
      <c r="E181" s="85">
        <f>IF('Indicadores x proyec'!F98/100&lt;&gt;0,'Indicadores x proyec'!F98/100,"-")</f>
        <v>0.38676165034134757</v>
      </c>
      <c r="F181" s="85">
        <f>IF('Indicadores x proyec'!G98/100&lt;&gt;0,'Indicadores x proyec'!G98/100,"-")</f>
        <v>0.3933845245126994</v>
      </c>
      <c r="G181" s="85">
        <f>IF('Indicadores x proyec'!H98/100&lt;&gt;0,'Indicadores x proyec'!H98/100,"-")</f>
        <v>0.39994122832794593</v>
      </c>
      <c r="H181" s="83" t="str">
        <f>IF('Indicadores x proyec'!I98&lt;&gt;0,'Indicadores x proyec'!I98,"-")</f>
        <v xml:space="preserve">Anual </v>
      </c>
      <c r="I181" s="83" t="str">
        <f>IF('Indicadores x proyec'!J98&lt;&gt;0,'Indicadores x proyec'!J98,"-")</f>
        <v>Unidad de Igualdad de Género y Dirección</v>
      </c>
      <c r="J181" s="33"/>
    </row>
    <row r="182" spans="1:10" ht="16.5" customHeight="1" thickBot="1">
      <c r="A182" s="83">
        <v>6</v>
      </c>
      <c r="B182" s="84" t="str">
        <f>IF('19 Constr cultura de paz '!I9&lt;&gt;0,'19 Constr cultura de paz '!I9,"-")</f>
        <v>Contribuir desde la Facultad de Ingeniería al cumplimiento de la meta PRDI “Realizar 1 jornada anual sobre los 16 días de activismo con diversas actividades (conferencias, talleres, capacitaciones) presenciales y virtuales en los diversos espacios de la universidad”, con valores absolutos programados de 2027: 1, 2028: 1, 2029: 1, 2030: 1.</v>
      </c>
      <c r="C182" s="83" t="str">
        <f>IF('19 Constr cultura de paz '!R9&lt;&gt;0,'19 Constr cultura de paz '!R9,"-")</f>
        <v/>
      </c>
      <c r="D182" s="83">
        <f>IF('19 Constr cultura de paz '!S9&lt;&gt;0,'19 Constr cultura de paz '!S9,"-")</f>
        <v>1</v>
      </c>
      <c r="E182" s="83">
        <f>IF('19 Constr cultura de paz '!T9&lt;&gt;0,'19 Constr cultura de paz '!T9,"-")</f>
        <v>1</v>
      </c>
      <c r="F182" s="83">
        <f>IF('19 Constr cultura de paz '!U9&lt;&gt;0,'19 Constr cultura de paz '!U9,"-")</f>
        <v>1</v>
      </c>
      <c r="G182" s="83">
        <f>IF('19 Constr cultura de paz '!V9&lt;&gt;0,'19 Constr cultura de paz '!V9,"-")</f>
        <v>1</v>
      </c>
      <c r="H182" s="83" t="str">
        <f>IF('19 Constr cultura de paz '!W9&lt;&gt;0,'19 Constr cultura de paz '!W9,"-")</f>
        <v xml:space="preserve">Anual </v>
      </c>
      <c r="I182" s="83" t="str">
        <f>IF('19 Constr cultura de paz '!X9&lt;&gt;0,'19 Constr cultura de paz '!X9,"-")</f>
        <v>Unidad de Igualdad de Género y Dirección</v>
      </c>
      <c r="J182" s="33"/>
    </row>
    <row r="183" spans="1:10" ht="16.5" customHeight="1" thickBot="1">
      <c r="A183" s="83">
        <v>7</v>
      </c>
      <c r="B183" s="84" t="str">
        <f>IF('19 Constr cultura de paz '!I10&lt;&gt;0,'19 Constr cultura de paz '!I10,"-")</f>
        <v>Contribuir desde la Facultad de Ingeniería al cumplimiento de la meta PRDI “Publicar 30 contenidos anuales en las redes sociales oficiales sobre temas que promuevan la igualdad sustantiva, la prevención de las violencias, la inclusión, el cuidado y la cultura de paz”, con valores absolutos programados de 2027: 1, 2028: 1, 2029: 1, 2030: 1.</v>
      </c>
      <c r="C183" s="83" t="str">
        <f>IF('19 Constr cultura de paz '!R10&lt;&gt;0,'19 Constr cultura de paz '!R10,"-")</f>
        <v/>
      </c>
      <c r="D183" s="83">
        <f>IF('19 Constr cultura de paz '!S10&lt;&gt;0,'19 Constr cultura de paz '!S10,"-")</f>
        <v>1</v>
      </c>
      <c r="E183" s="83">
        <f>IF('19 Constr cultura de paz '!T10&lt;&gt;0,'19 Constr cultura de paz '!T10,"-")</f>
        <v>1</v>
      </c>
      <c r="F183" s="83">
        <f>IF('19 Constr cultura de paz '!U10&lt;&gt;0,'19 Constr cultura de paz '!U10,"-")</f>
        <v>1</v>
      </c>
      <c r="G183" s="83">
        <f>IF('19 Constr cultura de paz '!V10&lt;&gt;0,'19 Constr cultura de paz '!V10,"-")</f>
        <v>1</v>
      </c>
      <c r="H183" s="83" t="str">
        <f>IF('19 Constr cultura de paz '!W10&lt;&gt;0,'19 Constr cultura de paz '!W10,"-")</f>
        <v xml:space="preserve">Anual </v>
      </c>
      <c r="I183" s="83" t="str">
        <f>IF('19 Constr cultura de paz '!X10&lt;&gt;0,'19 Constr cultura de paz '!X10,"-")</f>
        <v>Unidad de Igualdad de Género y Dirección</v>
      </c>
      <c r="J183" s="33"/>
    </row>
    <row r="184" spans="1:10">
      <c r="A184" s="63"/>
      <c r="B184" s="82"/>
      <c r="C184" s="63"/>
      <c r="D184" s="63"/>
      <c r="E184" s="63"/>
      <c r="F184" s="63"/>
      <c r="G184" s="63"/>
      <c r="H184" s="63"/>
      <c r="I184" s="63"/>
      <c r="J184" s="63"/>
    </row>
    <row r="185" spans="1:10">
      <c r="A185" s="63"/>
      <c r="B185" s="82"/>
      <c r="C185" s="61"/>
      <c r="D185" s="61"/>
      <c r="E185" s="61"/>
      <c r="F185" s="61"/>
      <c r="G185" s="61"/>
      <c r="H185" s="61"/>
      <c r="I185" s="61"/>
      <c r="J185" s="61"/>
    </row>
    <row r="186" spans="1:10">
      <c r="A186" s="78"/>
      <c r="B186" s="72"/>
      <c r="C186" s="73"/>
      <c r="D186" s="73"/>
      <c r="E186" s="73"/>
      <c r="F186" s="73"/>
      <c r="G186" s="73"/>
      <c r="H186" s="73"/>
      <c r="I186" s="73"/>
      <c r="J186" s="73"/>
    </row>
    <row r="187" spans="1:10" ht="16.5" customHeight="1">
      <c r="A187" s="214" t="s">
        <v>764</v>
      </c>
      <c r="B187" s="215"/>
      <c r="C187" s="216"/>
      <c r="D187" s="216"/>
      <c r="E187" s="216"/>
      <c r="F187" s="216"/>
      <c r="G187" s="216"/>
      <c r="H187" s="216"/>
      <c r="I187" s="216"/>
      <c r="J187" s="216"/>
    </row>
    <row r="188" spans="1:10">
      <c r="A188" s="217" t="s">
        <v>743</v>
      </c>
      <c r="B188" s="212" t="s">
        <v>731</v>
      </c>
      <c r="C188" s="212" t="s">
        <v>16</v>
      </c>
      <c r="D188" s="212">
        <v>2027</v>
      </c>
      <c r="E188" s="212">
        <v>2028</v>
      </c>
      <c r="F188" s="212">
        <v>2029</v>
      </c>
      <c r="G188" s="54" t="str">
        <f>TEXT($J$1,"mmmm")</f>
        <v>agosto</v>
      </c>
      <c r="H188" s="212" t="s">
        <v>744</v>
      </c>
      <c r="I188" s="212" t="s">
        <v>15</v>
      </c>
      <c r="J188" s="33"/>
    </row>
    <row r="189" spans="1:10" ht="16.5" customHeight="1" thickBot="1">
      <c r="A189" s="213"/>
      <c r="B189" s="213"/>
      <c r="C189" s="213"/>
      <c r="D189" s="213"/>
      <c r="E189" s="213"/>
      <c r="F189" s="213"/>
      <c r="G189" s="55">
        <v>2030</v>
      </c>
      <c r="H189" s="213"/>
      <c r="I189" s="213"/>
      <c r="J189" s="33"/>
    </row>
    <row r="190" spans="1:10" ht="16.5" customHeight="1" thickBot="1">
      <c r="A190" s="58">
        <v>1</v>
      </c>
      <c r="B190" s="59" t="str">
        <f>IF('20 Retribución social '!I3&lt;&gt;0,'20 Retribución social '!I3,"-")</f>
        <v>Contribuir desde la Facultad de Ingeniería al cumplimiento de la meta PRDI “Coordinar cada año 15 eventos de emprendimiento con los responsables del Programa Emprendedor de todos los espacios académicos”, con valores absolutos programados de 2027: 1, 2028: 1, 2029: 1, 2030: 1.</v>
      </c>
      <c r="C190" s="58" t="str">
        <f>IF('20 Retribución social '!R3&lt;&gt;0,'20 Retribución social '!R3,"-")</f>
        <v/>
      </c>
      <c r="D190" s="58">
        <f>IF('20 Retribución social '!S3&lt;&gt;0,'20 Retribución social '!S3,"-")</f>
        <v>1</v>
      </c>
      <c r="E190" s="58">
        <f>IF('20 Retribución social '!T3&lt;&gt;0,'20 Retribución social '!T3,"-")</f>
        <v>1</v>
      </c>
      <c r="F190" s="58">
        <f>IF('20 Retribución social '!U3&lt;&gt;0,'20 Retribución social '!U3,"-")</f>
        <v>1</v>
      </c>
      <c r="G190" s="58">
        <f>IF('20 Retribución social '!V3&lt;&gt;0,'20 Retribución social '!V3,"-")</f>
        <v>1</v>
      </c>
      <c r="H190" s="58" t="str">
        <f>IF('20 Retribución social '!W3&lt;&gt;0,'20 Retribución social '!W3,"-")</f>
        <v>Anual</v>
      </c>
      <c r="I190" s="58" t="str">
        <f>IF('20 Retribución social '!X3&lt;&gt;0,'20 Retribución social '!X3,"-")</f>
        <v>Coordinación de Extensión y Vinculación</v>
      </c>
      <c r="J190" s="33"/>
    </row>
    <row r="191" spans="1:10" ht="16.5" customHeight="1" thickBot="1">
      <c r="A191" s="58">
        <v>2</v>
      </c>
      <c r="B191" s="59" t="str">
        <f>IF('20 Retribución social '!I4&lt;&gt;0,'20 Retribución social '!I4,"-")</f>
        <v>Contribuir desde la Facultad de Ingeniería al cumplimiento de la meta PRDI “Realizar 8 pláticas o talleres al año para desarrollar proyectos de negocio, innovación y desarrollo tecnológico, dirigidos a la comunidad universitaria y abiertos a la sociedad en general”, con valores absolutos programados de 2027: 1, 2028: 1, 2029: 1, 2030: 1.</v>
      </c>
      <c r="C191" s="58" t="str">
        <f>IF('20 Retribución social '!R4&lt;&gt;0,'20 Retribución social '!R4,"-")</f>
        <v/>
      </c>
      <c r="D191" s="58">
        <f>IF('20 Retribución social '!S4&lt;&gt;0,'20 Retribución social '!S4,"-")</f>
        <v>1</v>
      </c>
      <c r="E191" s="58">
        <f>IF('20 Retribución social '!T4&lt;&gt;0,'20 Retribución social '!T4,"-")</f>
        <v>1</v>
      </c>
      <c r="F191" s="58">
        <f>IF('20 Retribución social '!U4&lt;&gt;0,'20 Retribución social '!U4,"-")</f>
        <v>1</v>
      </c>
      <c r="G191" s="58">
        <f>IF('20 Retribución social '!V4&lt;&gt;0,'20 Retribución social '!V4,"-")</f>
        <v>1</v>
      </c>
      <c r="H191" s="58" t="str">
        <f>IF('20 Retribución social '!W4&lt;&gt;0,'20 Retribución social '!W4,"-")</f>
        <v>Anual</v>
      </c>
      <c r="I191" s="58" t="str">
        <f>IF('20 Retribución social '!X4&lt;&gt;0,'20 Retribución social '!X4,"-")</f>
        <v>Coordinación de Extensión y Vinculación</v>
      </c>
      <c r="J191" s="33"/>
    </row>
    <row r="192" spans="1:10" ht="16.5" customHeight="1" thickBot="1">
      <c r="A192" s="58">
        <v>3</v>
      </c>
      <c r="B192" s="59" t="str">
        <f>IF('20 Retribución social '!I5&lt;&gt;0,'20 Retribución social '!I5,"-")</f>
        <v>Contribuir desde la Facultad de Ingeniería al cumplimiento de la meta PRDI “Capacitar al año a 250 universitarios y público en general en temas relacionados con la economía social y solidaria”, con valores absolutos programados de 2027: 5, 2028: 5, 2029: 5, 2030: 5.</v>
      </c>
      <c r="C192" s="58" t="str">
        <f>IF('20 Retribución social '!R5&lt;&gt;0,'20 Retribución social '!R5,"-")</f>
        <v/>
      </c>
      <c r="D192" s="58">
        <f>IF('20 Retribución social '!S5&lt;&gt;0,'20 Retribución social '!S5,"-")</f>
        <v>5</v>
      </c>
      <c r="E192" s="58">
        <f>IF('20 Retribución social '!T5&lt;&gt;0,'20 Retribución social '!T5,"-")</f>
        <v>5</v>
      </c>
      <c r="F192" s="58">
        <f>IF('20 Retribución social '!U5&lt;&gt;0,'20 Retribución social '!U5,"-")</f>
        <v>5</v>
      </c>
      <c r="G192" s="58">
        <f>IF('20 Retribución social '!V5&lt;&gt;0,'20 Retribución social '!V5,"-")</f>
        <v>5</v>
      </c>
      <c r="H192" s="58" t="str">
        <f>IF('20 Retribución social '!W5&lt;&gt;0,'20 Retribución social '!W5,"-")</f>
        <v>Anual</v>
      </c>
      <c r="I192" s="58" t="str">
        <f>IF('20 Retribución social '!X5&lt;&gt;0,'20 Retribución social '!X5,"-")</f>
        <v>Coordinación de Extensión y Vinculación</v>
      </c>
      <c r="J192" s="33"/>
    </row>
    <row r="193" spans="1:10" ht="16.5" customHeight="1" thickBot="1">
      <c r="A193" s="58">
        <v>4</v>
      </c>
      <c r="B193" s="59" t="str">
        <f>IF('20 Retribución social '!I6&lt;&gt;0,'20 Retribución social '!I6,"-")</f>
        <v>Contribuir desde la Facultad de Ingeniería al cumplimiento de la meta PRDI “Atender 40 proyectos de economía social y solidaria en el territorio mexiquense al cierre de la administración”, con valores absolutos programados de 2027: 0, 2028: 0, 2029: 1, 2030: 0. Sustento en la Matriz de consistencia: «Realizar 1 revisión documentada de los resultados del servicio social y sus beneficiarios en 2027 y actualizarla una vez al año de 2028 a 2030.»</v>
      </c>
      <c r="C193" s="58" t="str">
        <f>IF('20 Retribución social '!R6&lt;&gt;0,'20 Retribución social '!R6,"-")</f>
        <v/>
      </c>
      <c r="D193" s="58" t="str">
        <f>IF('20 Retribución social '!S6&lt;&gt;0,'20 Retribución social '!S6,"-")</f>
        <v>-</v>
      </c>
      <c r="E193" s="58" t="str">
        <f>IF('20 Retribución social '!T6&lt;&gt;0,'20 Retribución social '!T6,"-")</f>
        <v>-</v>
      </c>
      <c r="F193" s="58">
        <f>IF('20 Retribución social '!U6&lt;&gt;0,'20 Retribución social '!U6,"-")</f>
        <v>1</v>
      </c>
      <c r="G193" s="58" t="str">
        <f>IF('20 Retribución social '!V6&lt;&gt;0,'20 Retribución social '!V6,"-")</f>
        <v>-</v>
      </c>
      <c r="H193" s="58" t="str">
        <f>IF('20 Retribución social '!W6&lt;&gt;0,'20 Retribución social '!W6,"-")</f>
        <v>Anual</v>
      </c>
      <c r="I193" s="58" t="str">
        <f>IF('20 Retribución social '!X6&lt;&gt;0,'20 Retribución social '!X6,"-")</f>
        <v>Coordinación de Extensión y Vinculación</v>
      </c>
      <c r="J193" s="33"/>
    </row>
    <row r="194" spans="1:10" ht="16.5" customHeight="1" thickBot="1">
      <c r="A194" s="58">
        <v>5</v>
      </c>
      <c r="B194" s="59" t="str">
        <f>IF('20 Retribución social '!I7&lt;&gt;0,'20 Retribución social '!I7,"-")</f>
        <v>Contribuir desde la Facultad de Ingeniería al cumplimiento de la meta PRDI “Ejecutar 6 colaboraciones de impacto social con organizaciones locales o sectores productivos de mediano y largo plazo durante la administración”, con valores absolutos programados de 2027: 1, 2028: 0, 2029: 0, 2030: 0.</v>
      </c>
      <c r="C194" s="58" t="str">
        <f>IF('20 Retribución social '!R7&lt;&gt;0,'20 Retribución social '!R7,"-")</f>
        <v/>
      </c>
      <c r="D194" s="58">
        <f>IF('20 Retribución social '!S7&lt;&gt;0,'20 Retribución social '!S7,"-")</f>
        <v>1</v>
      </c>
      <c r="E194" s="58" t="str">
        <f>IF('20 Retribución social '!T7&lt;&gt;0,'20 Retribución social '!T7,"-")</f>
        <v>-</v>
      </c>
      <c r="F194" s="58" t="str">
        <f>IF('20 Retribución social '!U7&lt;&gt;0,'20 Retribución social '!U7,"-")</f>
        <v>-</v>
      </c>
      <c r="G194" s="58" t="str">
        <f>IF('20 Retribución social '!V7&lt;&gt;0,'20 Retribución social '!V7,"-")</f>
        <v>-</v>
      </c>
      <c r="H194" s="58" t="str">
        <f>IF('20 Retribución social '!W7&lt;&gt;0,'20 Retribución social '!W7,"-")</f>
        <v>Anual</v>
      </c>
      <c r="I194" s="58" t="str">
        <f>IF('20 Retribución social '!X7&lt;&gt;0,'20 Retribución social '!X7,"-")</f>
        <v>Coordinación de Extensión y Vinculación</v>
      </c>
      <c r="J194" s="33"/>
    </row>
    <row r="195" spans="1:10" ht="16.5" customHeight="1" thickBot="1">
      <c r="A195" s="58">
        <v>6</v>
      </c>
      <c r="B195" s="59" t="str">
        <f>IF('20 Retribución social '!I8&lt;&gt;0,'20 Retribución social '!I8,"-")</f>
        <v>Contribuir desde la Facultad de Ingeniería al cumplimiento de la meta PRDI “Lograr cada año la participación de 35 espacios académicos en servicios comunitarios de beneficio social y proyectos de Brigadas Universitarias Multidisciplinarias (BUM TUAEMEX)”, con valores absolutos programados de 2027: 1, 2028: 1, 2029: 1, 2030: 1.</v>
      </c>
      <c r="C195" s="58" t="str">
        <f>IF('20 Retribución social '!R8&lt;&gt;0,'20 Retribución social '!R8,"-")</f>
        <v/>
      </c>
      <c r="D195" s="58">
        <f>IF('20 Retribución social '!S8&lt;&gt;0,'20 Retribución social '!S8,"-")</f>
        <v>1</v>
      </c>
      <c r="E195" s="58">
        <f>IF('20 Retribución social '!T8&lt;&gt;0,'20 Retribución social '!T8,"-")</f>
        <v>1</v>
      </c>
      <c r="F195" s="58">
        <f>IF('20 Retribución social '!U8&lt;&gt;0,'20 Retribución social '!U8,"-")</f>
        <v>1</v>
      </c>
      <c r="G195" s="58">
        <f>IF('20 Retribución social '!V8&lt;&gt;0,'20 Retribución social '!V8,"-")</f>
        <v>1</v>
      </c>
      <c r="H195" s="58" t="str">
        <f>IF('20 Retribución social '!W8&lt;&gt;0,'20 Retribución social '!W8,"-")</f>
        <v>Anual</v>
      </c>
      <c r="I195" s="58" t="str">
        <f>IF('20 Retribución social '!X8&lt;&gt;0,'20 Retribución social '!X8,"-")</f>
        <v>Coordinación de Extensión y Vinculación</v>
      </c>
      <c r="J195" s="33"/>
    </row>
    <row r="196" spans="1:10" ht="16.5" customHeight="1" thickBot="1">
      <c r="A196" s="58">
        <v>7</v>
      </c>
      <c r="B196" s="59" t="str">
        <f>IF('Indicadores x proyec'!B104&lt;&gt;0,'Indicadores x proyec'!B104,"-")</f>
        <v>Mejorar o mantener de forma conservadora en la Facultad de Ingeniería el indicador IND-PRDI-410, con la trayectoria 2027: 3.88%, 2028: 4.31%, 2029: 4.68%, 2030: 5%, sustentada en referencia PRDI; no existe serie histórica directamente comparable para la variable.</v>
      </c>
      <c r="C196" s="60" t="e">
        <f>IF('Indicadores x proyec'!D104/100&lt;&gt;0,'Indicadores x proyec'!D104/100,"-")</f>
        <v>#VALUE!</v>
      </c>
      <c r="D196" s="60">
        <f>IF('Indicadores x proyec'!E104/100&lt;&gt;0,'Indicadores x proyec'!E104/100,"-")</f>
        <v>3.8805970149253799E-2</v>
      </c>
      <c r="E196" s="60">
        <f>IF('Indicadores x proyec'!F104/100&lt;&gt;0,'Indicadores x proyec'!F104/100,"-")</f>
        <v>4.31034482758621E-2</v>
      </c>
      <c r="F196" s="60">
        <f>IF('Indicadores x proyec'!G104/100&lt;&gt;0,'Indicadores x proyec'!G104/100,"-")</f>
        <v>4.6831955922864932E-2</v>
      </c>
      <c r="G196" s="60">
        <f>IF('Indicadores x proyec'!H104/100&lt;&gt;0,'Indicadores x proyec'!H104/100,"-")</f>
        <v>5.0000000000000044E-2</v>
      </c>
      <c r="H196" s="58" t="str">
        <f>IF('Indicadores x proyec'!I104&lt;&gt;0,'Indicadores x proyec'!I104,"-")</f>
        <v>Anual</v>
      </c>
      <c r="I196" s="58" t="str">
        <f>IF('Indicadores x proyec'!J104&lt;&gt;0,'Indicadores x proyec'!J104,"-")</f>
        <v>Coordinación de Extensión y Vinculación</v>
      </c>
      <c r="J196" s="33"/>
    </row>
    <row r="197" spans="1:10" ht="16.5" customHeight="1" thickBot="1">
      <c r="A197" s="58">
        <v>8</v>
      </c>
      <c r="B197" s="59" t="str">
        <f>IF('20 Retribución social '!I11&lt;&gt;0,'20 Retribución social '!I11,"-")</f>
        <v>Contribuir desde la Facultad de Ingeniería al cumplimiento de la meta PRDI “Mantener 35 colaboraciones al año con empresas, instituciones y organizaciones para el Catálogo de descuentos universitarios”, con valores absolutos programados de 2027: 1, 2028: 1, 2029: 1, 2030: 1. Sustento en la Matriz de consistencia: «Realizar 1 reunión y 1 encuesta a estudiantes y organizaciones receptoras cada año de 2028 a 2030 y documentar los ajustes derivados.»</v>
      </c>
      <c r="C197" s="58" t="str">
        <f>IF('20 Retribución social '!R11&lt;&gt;0,'20 Retribución social '!R11,"-")</f>
        <v/>
      </c>
      <c r="D197" s="58">
        <f>IF('20 Retribución social '!S11&lt;&gt;0,'20 Retribución social '!S11,"-")</f>
        <v>1</v>
      </c>
      <c r="E197" s="58">
        <f>IF('20 Retribución social '!T11&lt;&gt;0,'20 Retribución social '!T11,"-")</f>
        <v>1</v>
      </c>
      <c r="F197" s="58">
        <f>IF('20 Retribución social '!U11&lt;&gt;0,'20 Retribución social '!U11,"-")</f>
        <v>1</v>
      </c>
      <c r="G197" s="58">
        <f>IF('20 Retribución social '!V11&lt;&gt;0,'20 Retribución social '!V11,"-")</f>
        <v>1</v>
      </c>
      <c r="H197" s="58" t="str">
        <f>IF('20 Retribución social '!W11&lt;&gt;0,'20 Retribución social '!W11,"-")</f>
        <v>Anual</v>
      </c>
      <c r="I197" s="58" t="str">
        <f>IF('20 Retribución social '!X11&lt;&gt;0,'20 Retribución social '!X11,"-")</f>
        <v>Coordinación de Extensión y Vinculación</v>
      </c>
      <c r="J197" s="33"/>
    </row>
    <row r="198" spans="1:10" ht="16.5" customHeight="1" thickBot="1">
      <c r="A198" s="58">
        <v>9</v>
      </c>
      <c r="B198" s="59" t="str">
        <f>IF('20 Retribución social '!I12&lt;&gt;0,'20 Retribución social '!I12,"-")</f>
        <v>Contribuir desde la Facultad de Ingeniería al cumplimiento de la meta PRDI “Aperturar anualmente 1 grupo de lenguas originarias en algún espacio universitario, CELE o extensión de CELE”, con valores absolutos programados de 2027: 1, 2028: 1, 2029: 1, 2030: 1.</v>
      </c>
      <c r="C198" s="58" t="str">
        <f>IF('20 Retribución social '!R12&lt;&gt;0,'20 Retribución social '!R12,"-")</f>
        <v/>
      </c>
      <c r="D198" s="58">
        <f>IF('20 Retribución social '!S12&lt;&gt;0,'20 Retribución social '!S12,"-")</f>
        <v>1</v>
      </c>
      <c r="E198" s="58">
        <f>IF('20 Retribución social '!T12&lt;&gt;0,'20 Retribución social '!T12,"-")</f>
        <v>1</v>
      </c>
      <c r="F198" s="58">
        <f>IF('20 Retribución social '!U12&lt;&gt;0,'20 Retribución social '!U12,"-")</f>
        <v>1</v>
      </c>
      <c r="G198" s="58">
        <f>IF('20 Retribución social '!V12&lt;&gt;0,'20 Retribución social '!V12,"-")</f>
        <v>1</v>
      </c>
      <c r="H198" s="58" t="str">
        <f>IF('20 Retribución social '!W12&lt;&gt;0,'20 Retribución social '!W12,"-")</f>
        <v>Anual</v>
      </c>
      <c r="I198" s="58" t="str">
        <f>IF('20 Retribución social '!X12&lt;&gt;0,'20 Retribución social '!X12,"-")</f>
        <v>Coordinación de Extensión y Vinculación</v>
      </c>
      <c r="J198" s="33"/>
    </row>
    <row r="199" spans="1:10" ht="16.5" customHeight="1" thickBot="1">
      <c r="A199" s="58">
        <v>10</v>
      </c>
      <c r="B199" s="59" t="str">
        <f>IF('20 Retribución social '!I13&lt;&gt;0,'20 Retribución social '!I13,"-")</f>
        <v>Contribuir desde la Facultad de Ingeniería al cumplimiento de la meta PRDI “Lograr que 100% de los espacios académicos cuenten con servicios de Atención Psicológica al cierre de la administración”, con valores absolutos programados de 2027: 0, 2028: 0, 2029: 1, 2030: 0. Sustento en la Matriz de consistencia: «Validar y documentar el valor de Ref. 2026 durante 2027 y, una vez confirmado, mantenerlo o mejorarlo hasta 2030.»</v>
      </c>
      <c r="C199" s="58" t="str">
        <f>IF('20 Retribución social '!R13&lt;&gt;0,'20 Retribución social '!R13,"-")</f>
        <v/>
      </c>
      <c r="D199" s="58" t="str">
        <f>IF('20 Retribución social '!S13&lt;&gt;0,'20 Retribución social '!S13,"-")</f>
        <v>-</v>
      </c>
      <c r="E199" s="58" t="str">
        <f>IF('20 Retribución social '!T13&lt;&gt;0,'20 Retribución social '!T13,"-")</f>
        <v>-</v>
      </c>
      <c r="F199" s="58">
        <f>IF('20 Retribución social '!U13&lt;&gt;0,'20 Retribución social '!U13,"-")</f>
        <v>1</v>
      </c>
      <c r="G199" s="58" t="str">
        <f>IF('20 Retribución social '!V13&lt;&gt;0,'20 Retribución social '!V13,"-")</f>
        <v>-</v>
      </c>
      <c r="H199" s="58" t="str">
        <f>IF('20 Retribución social '!W13&lt;&gt;0,'20 Retribución social '!W13,"-")</f>
        <v>Anual</v>
      </c>
      <c r="I199" s="58" t="str">
        <f>IF('20 Retribución social '!X13&lt;&gt;0,'20 Retribución social '!X13,"-")</f>
        <v>Coordinación de Extensión y Vinculación</v>
      </c>
      <c r="J199" s="33"/>
    </row>
    <row r="200" spans="1:10">
      <c r="A200" s="63"/>
      <c r="B200" s="82"/>
      <c r="C200" s="63"/>
      <c r="D200" s="63"/>
      <c r="E200" s="63"/>
      <c r="F200" s="63"/>
      <c r="G200" s="63"/>
      <c r="H200" s="63"/>
      <c r="I200" s="63"/>
      <c r="J200" s="63"/>
    </row>
    <row r="201" spans="1:10">
      <c r="A201" s="81"/>
      <c r="B201" s="72"/>
      <c r="C201" s="73"/>
      <c r="D201" s="73"/>
      <c r="E201" s="73"/>
      <c r="F201" s="73"/>
      <c r="G201" s="73"/>
      <c r="H201" s="73"/>
      <c r="I201" s="73"/>
      <c r="J201" s="73"/>
    </row>
    <row r="202" spans="1:10">
      <c r="A202" s="81"/>
      <c r="B202" s="72"/>
      <c r="C202" s="73"/>
      <c r="D202" s="73"/>
      <c r="E202" s="73"/>
      <c r="F202" s="73"/>
      <c r="G202" s="73"/>
      <c r="H202" s="73"/>
      <c r="I202" s="73"/>
      <c r="J202" s="73"/>
    </row>
    <row r="203" spans="1:10" ht="16.5" customHeight="1">
      <c r="A203" s="214" t="s">
        <v>765</v>
      </c>
      <c r="B203" s="215"/>
      <c r="C203" s="216"/>
      <c r="D203" s="216"/>
      <c r="E203" s="216"/>
      <c r="F203" s="216"/>
      <c r="G203" s="216"/>
      <c r="H203" s="216"/>
      <c r="I203" s="216"/>
      <c r="J203" s="216"/>
    </row>
    <row r="204" spans="1:10">
      <c r="A204" s="217" t="s">
        <v>743</v>
      </c>
      <c r="B204" s="212" t="s">
        <v>731</v>
      </c>
      <c r="C204" s="212" t="s">
        <v>16</v>
      </c>
      <c r="D204" s="212">
        <v>2027</v>
      </c>
      <c r="E204" s="212">
        <v>2028</v>
      </c>
      <c r="F204" s="212">
        <v>2029</v>
      </c>
      <c r="G204" s="54" t="str">
        <f>TEXT($J$1,"mmmm")</f>
        <v>agosto</v>
      </c>
      <c r="H204" s="212" t="s">
        <v>744</v>
      </c>
      <c r="I204" s="212" t="s">
        <v>15</v>
      </c>
      <c r="J204" s="33"/>
    </row>
    <row r="205" spans="1:10" ht="16.5" customHeight="1" thickBot="1">
      <c r="A205" s="213"/>
      <c r="B205" s="213"/>
      <c r="C205" s="213"/>
      <c r="D205" s="213"/>
      <c r="E205" s="213"/>
      <c r="F205" s="213"/>
      <c r="G205" s="55">
        <v>2030</v>
      </c>
      <c r="H205" s="213"/>
      <c r="I205" s="213"/>
      <c r="J205" s="33"/>
    </row>
    <row r="206" spans="1:10" ht="16.5" customHeight="1" thickBot="1">
      <c r="A206" s="83">
        <v>1</v>
      </c>
      <c r="B206" s="86" t="str">
        <f>IF('21 Comunicación universitaria'!I3&lt;&gt;0,'21 Comunicación universitaria'!I3,"-")</f>
        <v>Contribuir desde la Facultad de Ingeniería al cumplimiento de la meta PRDI “Realizar 3 campañas anuales que promuevan los valores universitarios de cercanía, inclusión y progresismo tanto en medios impresos como digitales”, con valores absolutos programados de 2027: 1, 2028: 1, 2029: 1, 2030: 1. Sustento en la Matriz de consistencia: «Aprobar 1 calendario editorial en 2027 y publicar 1 evaluación de alcance por año de 2028 a 2030.» «Realizar 1 revisión documentada de el alcance y la claridad de los canales institucionales en 2027 y actualizarla una vez al año de 2028 a 2030.» «Realizar 1 reunión y 1 encuesta a estudiantes, docentes y administrativos cada año de 2028 a 2030 y documentar los ajustes derivados.»</v>
      </c>
      <c r="C206" s="87" t="str">
        <f>IF('21 Comunicación universitaria'!R3&lt;&gt;0,'21 Comunicación universitaria'!R3,"-")</f>
        <v/>
      </c>
      <c r="D206" s="87">
        <f>IF('21 Comunicación universitaria'!S3&lt;&gt;0,'21 Comunicación universitaria'!S3,"-")</f>
        <v>1</v>
      </c>
      <c r="E206" s="87">
        <f>IF('21 Comunicación universitaria'!T3&lt;&gt;0,'21 Comunicación universitaria'!T3,"-")</f>
        <v>1</v>
      </c>
      <c r="F206" s="87">
        <f>IF('21 Comunicación universitaria'!U3&lt;&gt;0,'21 Comunicación universitaria'!U3,"-")</f>
        <v>1</v>
      </c>
      <c r="G206" s="87">
        <f>IF('21 Comunicación universitaria'!V3&lt;&gt;0,'21 Comunicación universitaria'!V3,"-")</f>
        <v>1</v>
      </c>
      <c r="H206" s="87" t="str">
        <f>IF('21 Comunicación universitaria'!W3&lt;&gt;0,'21 Comunicación universitaria'!W3,"-")</f>
        <v xml:space="preserve">Anual </v>
      </c>
      <c r="I206" s="87" t="str">
        <f>IF('21 Comunicación universitaria'!X3&lt;&gt;0,'21 Comunicación universitaria'!X3,"-")</f>
        <v>Departamento de Comunicación</v>
      </c>
      <c r="J206" s="33"/>
    </row>
    <row r="207" spans="1:10">
      <c r="A207" s="63"/>
      <c r="B207" s="71"/>
      <c r="C207" s="61"/>
      <c r="D207" s="61"/>
      <c r="E207" s="61"/>
      <c r="F207" s="61"/>
      <c r="G207" s="61"/>
      <c r="H207" s="61"/>
      <c r="I207" s="61"/>
      <c r="J207" s="61"/>
    </row>
    <row r="208" spans="1:10">
      <c r="A208" s="81"/>
      <c r="B208" s="72"/>
      <c r="C208" s="73"/>
      <c r="D208" s="73"/>
      <c r="E208" s="73"/>
      <c r="F208" s="73"/>
      <c r="G208" s="73"/>
      <c r="H208" s="73"/>
      <c r="I208" s="73"/>
      <c r="J208" s="73"/>
    </row>
    <row r="209" spans="1:13">
      <c r="A209" s="80"/>
      <c r="B209" s="68"/>
      <c r="C209" s="69"/>
      <c r="D209" s="69"/>
      <c r="E209" s="69"/>
      <c r="F209" s="69"/>
      <c r="G209" s="69"/>
      <c r="H209" s="69"/>
      <c r="I209" s="69"/>
      <c r="J209" s="69"/>
    </row>
    <row r="210" spans="1:13" ht="16.5" customHeight="1">
      <c r="A210" s="214" t="s">
        <v>766</v>
      </c>
      <c r="B210" s="215"/>
      <c r="C210" s="216"/>
      <c r="D210" s="216"/>
      <c r="E210" s="216"/>
      <c r="F210" s="216"/>
      <c r="G210" s="216"/>
      <c r="H210" s="216"/>
      <c r="I210" s="216"/>
      <c r="J210" s="216"/>
    </row>
    <row r="211" spans="1:13">
      <c r="A211" s="217" t="s">
        <v>743</v>
      </c>
      <c r="B211" s="212" t="s">
        <v>731</v>
      </c>
      <c r="C211" s="212" t="s">
        <v>16</v>
      </c>
      <c r="D211" s="212">
        <v>2027</v>
      </c>
      <c r="E211" s="212">
        <v>2028</v>
      </c>
      <c r="F211" s="212">
        <v>2029</v>
      </c>
      <c r="G211" s="54" t="str">
        <f>TEXT($J$1,"mmmm")</f>
        <v>agosto</v>
      </c>
      <c r="H211" s="212" t="s">
        <v>744</v>
      </c>
      <c r="I211" s="212" t="s">
        <v>15</v>
      </c>
      <c r="J211" s="33"/>
    </row>
    <row r="212" spans="1:13" ht="16.5" customHeight="1" thickBot="1">
      <c r="A212" s="213"/>
      <c r="B212" s="213"/>
      <c r="C212" s="213"/>
      <c r="D212" s="213"/>
      <c r="E212" s="213"/>
      <c r="F212" s="213"/>
      <c r="G212" s="55">
        <v>2030</v>
      </c>
      <c r="H212" s="213"/>
      <c r="I212" s="213"/>
      <c r="J212" s="33"/>
    </row>
    <row r="213" spans="1:13" ht="16.5" customHeight="1" thickBot="1">
      <c r="A213" s="58">
        <v>1</v>
      </c>
      <c r="B213" s="70" t="str">
        <f>IF('22 Sostenibilidad ambiental '!I3&lt;&gt;0,'22 Sostenibilidad ambiental '!I3,"-")</f>
        <v>Contribuir desde la Facultad de Ingeniería al cumplimiento de la meta PRDI “Establecer 1 programa de reducción del uso de unicel y desechables”, con valores absolutos programados de 2027: 0, 2028: 0, 2029: 1, 2030: 0.</v>
      </c>
      <c r="C213" s="58" t="str">
        <f>IF('22 Sostenibilidad ambiental '!R3&lt;&gt;0,'22 Sostenibilidad ambiental '!R3,"-")</f>
        <v/>
      </c>
      <c r="D213" s="58" t="str">
        <f>IF('22 Sostenibilidad ambiental '!S3&lt;&gt;0,'22 Sostenibilidad ambiental '!S3,"-")</f>
        <v>-</v>
      </c>
      <c r="E213" s="58" t="str">
        <f>IF('22 Sostenibilidad ambiental '!T3&lt;&gt;0,'22 Sostenibilidad ambiental '!T3,"-")</f>
        <v>-</v>
      </c>
      <c r="F213" s="58">
        <f>IF('22 Sostenibilidad ambiental '!U3&lt;&gt;0,'22 Sostenibilidad ambiental '!U3,"-")</f>
        <v>1</v>
      </c>
      <c r="G213" s="58" t="str">
        <f>IF('22 Sostenibilidad ambiental '!V3&lt;&gt;0,'22 Sostenibilidad ambiental '!V3,"-")</f>
        <v>-</v>
      </c>
      <c r="H213" s="58" t="str">
        <f>IF('22 Sostenibilidad ambiental '!W3&lt;&gt;0,'22 Sostenibilidad ambiental '!W3,"-")</f>
        <v>Anual</v>
      </c>
      <c r="I213" s="58" t="str">
        <f>IF('22 Sostenibilidad ambiental '!X3&lt;&gt;0,'22 Sostenibilidad ambiental '!X3,"-")</f>
        <v>Comité de Sustentabilidad y Subdirección Administrativa</v>
      </c>
      <c r="J213" s="33"/>
    </row>
    <row r="214" spans="1:13" ht="16.5" customHeight="1" thickBot="1">
      <c r="A214" s="58">
        <v>2</v>
      </c>
      <c r="B214" s="70" t="str">
        <f>IF('22 Sostenibilidad ambiental '!I4&lt;&gt;0,'22 Sostenibilidad ambiental '!I4,"-")</f>
        <v>Contribuir desde la Facultad de Ingeniería al cumplimiento de la meta PRDI “Operar anualmente 1 campaña de acopio de residuos de aceite vegetal-comestible generado en las cafeterías de los espacios académicos y cocinas de la Licenciatura en Gastronomía”, con valores absolutos programados de 2027: 1, 2028: 1, 2029: 1, 2030: 1. Sustento en la Matriz de consistencia: «Registrar 1 acuerdo de mejora sobre el consumo de agua, energía y la generación de residuos en 2028 y revisar su cumplimiento anualmente hasta 2030.»</v>
      </c>
      <c r="C214" s="58" t="str">
        <f>IF('22 Sostenibilidad ambiental '!R4&lt;&gt;0,'22 Sostenibilidad ambiental '!R4,"-")</f>
        <v/>
      </c>
      <c r="D214" s="58">
        <f>IF('22 Sostenibilidad ambiental '!S4&lt;&gt;0,'22 Sostenibilidad ambiental '!S4,"-")</f>
        <v>1</v>
      </c>
      <c r="E214" s="58">
        <f>IF('22 Sostenibilidad ambiental '!T4&lt;&gt;0,'22 Sostenibilidad ambiental '!T4,"-")</f>
        <v>1</v>
      </c>
      <c r="F214" s="58">
        <f>IF('22 Sostenibilidad ambiental '!U4&lt;&gt;0,'22 Sostenibilidad ambiental '!U4,"-")</f>
        <v>1</v>
      </c>
      <c r="G214" s="58">
        <f>IF('22 Sostenibilidad ambiental '!V4&lt;&gt;0,'22 Sostenibilidad ambiental '!V4,"-")</f>
        <v>1</v>
      </c>
      <c r="H214" s="58" t="str">
        <f>IF('22 Sostenibilidad ambiental '!W4&lt;&gt;0,'22 Sostenibilidad ambiental '!W4,"-")</f>
        <v>Anual</v>
      </c>
      <c r="I214" s="58" t="str">
        <f>IF('22 Sostenibilidad ambiental '!X4&lt;&gt;0,'22 Sostenibilidad ambiental '!X4,"-")</f>
        <v>Comité de Sustentabilidad y Subdirección Administrativa</v>
      </c>
      <c r="J214" s="33"/>
    </row>
    <row r="215" spans="1:13" ht="27.75" customHeight="1" thickBot="1">
      <c r="A215" s="58">
        <v>3</v>
      </c>
      <c r="B215" s="70" t="str">
        <f>IF('22 Sostenibilidad ambiental '!I5&lt;&gt;0,'22 Sostenibilidad ambiental '!I5,"-")</f>
        <v>Contribuir desde la Facultad de Ingeniería al cumplimiento de la meta PRDI “Realizar anualmente 1 campaña institucional de reforestación que incluya las 4 regiones con presencia universitaria”, con valores absolutos programados de 2027: 1, 2028: 1, 2029: 1, 2030: 1.</v>
      </c>
      <c r="C215" s="58" t="str">
        <f>IF('22 Sostenibilidad ambiental '!R5&lt;&gt;0,'22 Sostenibilidad ambiental '!R5,"-")</f>
        <v/>
      </c>
      <c r="D215" s="58">
        <f>IF('22 Sostenibilidad ambiental '!S5&lt;&gt;0,'22 Sostenibilidad ambiental '!S5,"-")</f>
        <v>1</v>
      </c>
      <c r="E215" s="58">
        <f>IF('22 Sostenibilidad ambiental '!T5&lt;&gt;0,'22 Sostenibilidad ambiental '!T5,"-")</f>
        <v>1</v>
      </c>
      <c r="F215" s="58">
        <f>IF('22 Sostenibilidad ambiental '!U5&lt;&gt;0,'22 Sostenibilidad ambiental '!U5,"-")</f>
        <v>1</v>
      </c>
      <c r="G215" s="58">
        <f>IF('22 Sostenibilidad ambiental '!V5&lt;&gt;0,'22 Sostenibilidad ambiental '!V5,"-")</f>
        <v>1</v>
      </c>
      <c r="H215" s="58" t="str">
        <f>IF('22 Sostenibilidad ambiental '!W5&lt;&gt;0,'22 Sostenibilidad ambiental '!W5,"-")</f>
        <v>Anual</v>
      </c>
      <c r="I215" s="58" t="str">
        <f>IF('22 Sostenibilidad ambiental '!X5&lt;&gt;0,'22 Sostenibilidad ambiental '!X5,"-")</f>
        <v>Comité de Sustentabilidad y Subdirección Administrativa</v>
      </c>
      <c r="J215" s="33"/>
      <c r="K215" s="41"/>
      <c r="L215" s="41"/>
      <c r="M215" s="41"/>
    </row>
    <row r="216" spans="1:13" ht="16.5" customHeight="1" thickBot="1">
      <c r="A216" s="58">
        <v>4</v>
      </c>
      <c r="B216" s="70" t="str">
        <f>IF('22 Sostenibilidad ambiental '!I6&lt;&gt;0,'22 Sostenibilidad ambiental '!I6,"-")</f>
        <v>Contribuir desde la Facultad de Ingeniería al cumplimiento de la meta PRDI “Operar anualmente 1 programa de mantenimiento y fortalecimiento de huertos universitarios”, con valores absolutos programados de 2027: 1, 2028: 1, 2029: 1, 2030: 1.</v>
      </c>
      <c r="C216" s="58" t="str">
        <f>IF('22 Sostenibilidad ambiental '!R6&lt;&gt;0,'22 Sostenibilidad ambiental '!R6,"-")</f>
        <v/>
      </c>
      <c r="D216" s="58">
        <f>IF('22 Sostenibilidad ambiental '!S6&lt;&gt;0,'22 Sostenibilidad ambiental '!S6,"-")</f>
        <v>1</v>
      </c>
      <c r="E216" s="58">
        <f>IF('22 Sostenibilidad ambiental '!T6&lt;&gt;0,'22 Sostenibilidad ambiental '!T6,"-")</f>
        <v>1</v>
      </c>
      <c r="F216" s="58">
        <f>IF('22 Sostenibilidad ambiental '!U6&lt;&gt;0,'22 Sostenibilidad ambiental '!U6,"-")</f>
        <v>1</v>
      </c>
      <c r="G216" s="58">
        <f>IF('22 Sostenibilidad ambiental '!V6&lt;&gt;0,'22 Sostenibilidad ambiental '!V6,"-")</f>
        <v>1</v>
      </c>
      <c r="H216" s="58" t="str">
        <f>IF('22 Sostenibilidad ambiental '!W6&lt;&gt;0,'22 Sostenibilidad ambiental '!W6,"-")</f>
        <v>Anual</v>
      </c>
      <c r="I216" s="58" t="str">
        <f>IF('22 Sostenibilidad ambiental '!X6&lt;&gt;0,'22 Sostenibilidad ambiental '!X6,"-")</f>
        <v>Comité de Sustentabilidad y Subdirección Administrativa</v>
      </c>
      <c r="J216" s="33"/>
    </row>
    <row r="217" spans="1:13" ht="16.5" customHeight="1" thickBot="1">
      <c r="A217" s="58">
        <v>5</v>
      </c>
      <c r="B217" s="70" t="str">
        <f>IF('22 Sostenibilidad ambiental '!I7&lt;&gt;0,'22 Sostenibilidad ambiental '!I7,"-")</f>
        <v>Contribuir desde la Facultad de Ingeniería al cumplimiento de la meta PRDI “Lograr que 100% de los espacios académicos operen el Plan Institucional de Manejo de Residuos Sólidos Urbanos a 2029”, con valores absolutos programados de 2027: 1, 2028: 1, 2029: 1, 2030: 1. Sustento en la Matriz de consistencia: «Medir 1 línea base de agua, energía y residuos en 2027 y aprobar 1 plan ambiental medible en 2028.»</v>
      </c>
      <c r="C217" s="58" t="str">
        <f>IF('22 Sostenibilidad ambiental '!R7&lt;&gt;0,'22 Sostenibilidad ambiental '!R7,"-")</f>
        <v/>
      </c>
      <c r="D217" s="58">
        <f>IF('22 Sostenibilidad ambiental '!S7&lt;&gt;0,'22 Sostenibilidad ambiental '!S7,"-")</f>
        <v>1</v>
      </c>
      <c r="E217" s="58">
        <f>IF('22 Sostenibilidad ambiental '!T7&lt;&gt;0,'22 Sostenibilidad ambiental '!T7,"-")</f>
        <v>1</v>
      </c>
      <c r="F217" s="58">
        <f>IF('22 Sostenibilidad ambiental '!U7&lt;&gt;0,'22 Sostenibilidad ambiental '!U7,"-")</f>
        <v>1</v>
      </c>
      <c r="G217" s="58">
        <f>IF('22 Sostenibilidad ambiental '!V7&lt;&gt;0,'22 Sostenibilidad ambiental '!V7,"-")</f>
        <v>1</v>
      </c>
      <c r="H217" s="58" t="str">
        <f>IF('22 Sostenibilidad ambiental '!W7&lt;&gt;0,'22 Sostenibilidad ambiental '!W7,"-")</f>
        <v>Anual</v>
      </c>
      <c r="I217" s="58" t="str">
        <f>IF('22 Sostenibilidad ambiental '!X7&lt;&gt;0,'22 Sostenibilidad ambiental '!X7,"-")</f>
        <v>Comité de Sustentabilidad y Subdirección Administrativa</v>
      </c>
      <c r="J217" s="33"/>
    </row>
    <row r="218" spans="1:13" ht="16.5" customHeight="1" thickBot="1">
      <c r="A218" s="58">
        <v>6</v>
      </c>
      <c r="B218" s="70" t="str">
        <f>IF('22 Sostenibilidad ambiental '!I8&lt;&gt;0,'22 Sostenibilidad ambiental '!I8,"-")</f>
        <v>Contribuir desde la Facultad de Ingeniería al cumplimiento de la meta PRDI “Promover en 22 espacios académicos el proceso de compostaje de los residuos orgánicos de poda y jardinería a 2029”, con valores absolutos programados de 2027: 1, 2028: 1, 2029: 1, 2030: 1.</v>
      </c>
      <c r="C218" s="58" t="str">
        <f>IF('22 Sostenibilidad ambiental '!R8&lt;&gt;0,'22 Sostenibilidad ambiental '!R8,"-")</f>
        <v/>
      </c>
      <c r="D218" s="58">
        <f>IF('22 Sostenibilidad ambiental '!S8&lt;&gt;0,'22 Sostenibilidad ambiental '!S8,"-")</f>
        <v>1</v>
      </c>
      <c r="E218" s="58">
        <f>IF('22 Sostenibilidad ambiental '!T8&lt;&gt;0,'22 Sostenibilidad ambiental '!T8,"-")</f>
        <v>1</v>
      </c>
      <c r="F218" s="58">
        <f>IF('22 Sostenibilidad ambiental '!U8&lt;&gt;0,'22 Sostenibilidad ambiental '!U8,"-")</f>
        <v>1</v>
      </c>
      <c r="G218" s="58">
        <f>IF('22 Sostenibilidad ambiental '!V8&lt;&gt;0,'22 Sostenibilidad ambiental '!V8,"-")</f>
        <v>1</v>
      </c>
      <c r="H218" s="58" t="str">
        <f>IF('22 Sostenibilidad ambiental '!W8&lt;&gt;0,'22 Sostenibilidad ambiental '!W8,"-")</f>
        <v>Anual</v>
      </c>
      <c r="I218" s="58" t="str">
        <f>IF('22 Sostenibilidad ambiental '!X8&lt;&gt;0,'22 Sostenibilidad ambiental '!X8,"-")</f>
        <v>Comité de Sustentabilidad y Subdirección Administrativa</v>
      </c>
      <c r="J218" s="33"/>
    </row>
    <row r="219" spans="1:13" ht="16.5" customHeight="1" thickBot="1">
      <c r="A219" s="58">
        <v>7</v>
      </c>
      <c r="B219" s="70" t="str">
        <f>IF('22 Sostenibilidad ambiental '!I9&lt;&gt;0,'22 Sostenibilidad ambiental '!I9,"-")</f>
        <v>Contribuir desde la Facultad de Ingeniería al cumplimiento de la meta PRDI “Capacitar anualmente a 1 736 estudiantes de nivel superior en temas de sustentabilidad”, con valores absolutos programados de 2027: 32, 2028: 32, 2029: 32, 2030: 32.</v>
      </c>
      <c r="C219" s="58" t="str">
        <f>IF('22 Sostenibilidad ambiental '!R9&lt;&gt;0,'22 Sostenibilidad ambiental '!R9,"-")</f>
        <v/>
      </c>
      <c r="D219" s="58">
        <f>IF('22 Sostenibilidad ambiental '!S9&lt;&gt;0,'22 Sostenibilidad ambiental '!S9,"-")</f>
        <v>32</v>
      </c>
      <c r="E219" s="58">
        <f>IF('22 Sostenibilidad ambiental '!T9&lt;&gt;0,'22 Sostenibilidad ambiental '!T9,"-")</f>
        <v>32</v>
      </c>
      <c r="F219" s="58">
        <f>IF('22 Sostenibilidad ambiental '!U9&lt;&gt;0,'22 Sostenibilidad ambiental '!U9,"-")</f>
        <v>32</v>
      </c>
      <c r="G219" s="58">
        <f>IF('22 Sostenibilidad ambiental '!V9&lt;&gt;0,'22 Sostenibilidad ambiental '!V9,"-")</f>
        <v>32</v>
      </c>
      <c r="H219" s="58" t="str">
        <f>IF('22 Sostenibilidad ambiental '!W9&lt;&gt;0,'22 Sostenibilidad ambiental '!W9,"-")</f>
        <v>Anual</v>
      </c>
      <c r="I219" s="58" t="str">
        <f>IF('22 Sostenibilidad ambiental '!X9&lt;&gt;0,'22 Sostenibilidad ambiental '!X9,"-")</f>
        <v>Comité de Sustentabilidad y Subdirección Administrativa</v>
      </c>
      <c r="J219" s="33"/>
    </row>
    <row r="220" spans="1:13" ht="16.5" customHeight="1" thickBot="1">
      <c r="A220" s="58">
        <v>8</v>
      </c>
      <c r="B220" s="70" t="str">
        <f>IF('22 Sostenibilidad ambiental '!I10&lt;&gt;0,'22 Sostenibilidad ambiental '!I10,"-")</f>
        <v>Contribuir desde la Facultad de Ingeniería al cumplimiento de la meta PRDI “Capacitar a 1 034 integrantes del personal docente en temas de sustentabilidad a 2029”, con valores absolutos programados de 2027: 10, 2028: 15, 2029: 19, 2030: 19.</v>
      </c>
      <c r="C220" s="58" t="str">
        <f>IF('22 Sostenibilidad ambiental '!R10&lt;&gt;0,'22 Sostenibilidad ambiental '!R10,"-")</f>
        <v/>
      </c>
      <c r="D220" s="58">
        <f>IF('22 Sostenibilidad ambiental '!S10&lt;&gt;0,'22 Sostenibilidad ambiental '!S10,"-")</f>
        <v>10</v>
      </c>
      <c r="E220" s="58">
        <f>IF('22 Sostenibilidad ambiental '!T10&lt;&gt;0,'22 Sostenibilidad ambiental '!T10,"-")</f>
        <v>15</v>
      </c>
      <c r="F220" s="58">
        <f>IF('22 Sostenibilidad ambiental '!U10&lt;&gt;0,'22 Sostenibilidad ambiental '!U10,"-")</f>
        <v>19</v>
      </c>
      <c r="G220" s="58">
        <f>IF('22 Sostenibilidad ambiental '!V10&lt;&gt;0,'22 Sostenibilidad ambiental '!V10,"-")</f>
        <v>19</v>
      </c>
      <c r="H220" s="58" t="str">
        <f>IF('22 Sostenibilidad ambiental '!W10&lt;&gt;0,'22 Sostenibilidad ambiental '!W10,"-")</f>
        <v>Anual</v>
      </c>
      <c r="I220" s="58" t="str">
        <f>IF('22 Sostenibilidad ambiental '!X10&lt;&gt;0,'22 Sostenibilidad ambiental '!X10,"-")</f>
        <v>Comité de Sustentabilidad y Subdirección Administrativa</v>
      </c>
      <c r="J220" s="33"/>
    </row>
    <row r="221" spans="1:13" ht="16.5" customHeight="1" thickBot="1">
      <c r="A221" s="58">
        <v>9</v>
      </c>
      <c r="B221" s="70" t="str">
        <f>IF('22 Sostenibilidad ambiental '!I11&lt;&gt;0,'22 Sostenibilidad ambiental '!I11,"-")</f>
        <v>Contribuir desde la Facultad de Ingeniería al cumplimiento de la meta PRDI “Capacitar a 2 115 integrantes del personal administrativo en temas de sustentabilidad a 2029”, con valores absolutos programados de 2027: 20, 2028: 30, 2029: 39, 2030: 39.</v>
      </c>
      <c r="C221" s="58" t="str">
        <f>IF('22 Sostenibilidad ambiental '!R11&lt;&gt;0,'22 Sostenibilidad ambiental '!R11,"-")</f>
        <v/>
      </c>
      <c r="D221" s="58">
        <f>IF('22 Sostenibilidad ambiental '!S11&lt;&gt;0,'22 Sostenibilidad ambiental '!S11,"-")</f>
        <v>20</v>
      </c>
      <c r="E221" s="58">
        <f>IF('22 Sostenibilidad ambiental '!T11&lt;&gt;0,'22 Sostenibilidad ambiental '!T11,"-")</f>
        <v>30</v>
      </c>
      <c r="F221" s="58">
        <f>IF('22 Sostenibilidad ambiental '!U11&lt;&gt;0,'22 Sostenibilidad ambiental '!U11,"-")</f>
        <v>39</v>
      </c>
      <c r="G221" s="58">
        <f>IF('22 Sostenibilidad ambiental '!V11&lt;&gt;0,'22 Sostenibilidad ambiental '!V11,"-")</f>
        <v>39</v>
      </c>
      <c r="H221" s="58" t="str">
        <f>IF('22 Sostenibilidad ambiental '!W11&lt;&gt;0,'22 Sostenibilidad ambiental '!W11,"-")</f>
        <v>Anual</v>
      </c>
      <c r="I221" s="58" t="str">
        <f>IF('22 Sostenibilidad ambiental '!X11&lt;&gt;0,'22 Sostenibilidad ambiental '!X11,"-")</f>
        <v>Comité de Sustentabilidad y Subdirección Administrativa</v>
      </c>
      <c r="J221" s="33"/>
    </row>
    <row r="222" spans="1:13" ht="16.5" customHeight="1" thickBot="1">
      <c r="A222" s="58">
        <v>10</v>
      </c>
      <c r="B222" s="70" t="str">
        <f>IF('22 Sostenibilidad ambiental '!I12&lt;&gt;0,'22 Sostenibilidad ambiental '!I12,"-")</f>
        <v>Contribuir desde la Facultad de Ingeniería al cumplimiento de la meta PRDI “Implementar 1 programa de cuidado y ahorro de agua en 100% de los espacios universitarios a 2029”, con valores absolutos programados de 2027: 1, 2028: 1, 2029: 1, 2030: 1. Sustento en la Matriz de consistencia: «Realizar 1 revisión documentada de el consumo de agua, energía y la generación de residuos en 2027 y actualizarla una vez al año de 2028 a 2030.»</v>
      </c>
      <c r="C222" s="58" t="str">
        <f>IF('22 Sostenibilidad ambiental '!R12&lt;&gt;0,'22 Sostenibilidad ambiental '!R12,"-")</f>
        <v/>
      </c>
      <c r="D222" s="58">
        <f>IF('22 Sostenibilidad ambiental '!S12&lt;&gt;0,'22 Sostenibilidad ambiental '!S12,"-")</f>
        <v>1</v>
      </c>
      <c r="E222" s="58">
        <f>IF('22 Sostenibilidad ambiental '!T12&lt;&gt;0,'22 Sostenibilidad ambiental '!T12,"-")</f>
        <v>1</v>
      </c>
      <c r="F222" s="58">
        <f>IF('22 Sostenibilidad ambiental '!U12&lt;&gt;0,'22 Sostenibilidad ambiental '!U12,"-")</f>
        <v>1</v>
      </c>
      <c r="G222" s="58">
        <f>IF('22 Sostenibilidad ambiental '!V12&lt;&gt;0,'22 Sostenibilidad ambiental '!V12,"-")</f>
        <v>1</v>
      </c>
      <c r="H222" s="58" t="str">
        <f>IF('22 Sostenibilidad ambiental '!W12&lt;&gt;0,'22 Sostenibilidad ambiental '!W12,"-")</f>
        <v>Anual</v>
      </c>
      <c r="I222" s="58" t="str">
        <f>IF('22 Sostenibilidad ambiental '!X12&lt;&gt;0,'22 Sostenibilidad ambiental '!X12,"-")</f>
        <v>Comité de Sustentabilidad y Subdirección Administrativa</v>
      </c>
      <c r="J222" s="33"/>
    </row>
    <row r="223" spans="1:13" ht="16.5" customHeight="1" thickBot="1">
      <c r="A223" s="58">
        <v>11</v>
      </c>
      <c r="B223" s="70" t="str">
        <f>IF('22 Sostenibilidad ambiental '!I13&lt;&gt;0,'22 Sostenibilidad ambiental '!I13,"-")</f>
        <v>Contribuir desde la Facultad de Ingeniería al cumplimiento de la meta PRDI “Ejecutar anualmente 1 programa institucional de eficiencia energética”, con valores absolutos programados de 2027: 1, 2028: 1, 2029: 1, 2030: 1.</v>
      </c>
      <c r="C223" s="58" t="str">
        <f>IF('22 Sostenibilidad ambiental '!R13&lt;&gt;0,'22 Sostenibilidad ambiental '!R13,"-")</f>
        <v/>
      </c>
      <c r="D223" s="58">
        <f>IF('22 Sostenibilidad ambiental '!S13&lt;&gt;0,'22 Sostenibilidad ambiental '!S13,"-")</f>
        <v>1</v>
      </c>
      <c r="E223" s="58">
        <f>IF('22 Sostenibilidad ambiental '!T13&lt;&gt;0,'22 Sostenibilidad ambiental '!T13,"-")</f>
        <v>1</v>
      </c>
      <c r="F223" s="58">
        <f>IF('22 Sostenibilidad ambiental '!U13&lt;&gt;0,'22 Sostenibilidad ambiental '!U13,"-")</f>
        <v>1</v>
      </c>
      <c r="G223" s="58">
        <f>IF('22 Sostenibilidad ambiental '!V13&lt;&gt;0,'22 Sostenibilidad ambiental '!V13,"-")</f>
        <v>1</v>
      </c>
      <c r="H223" s="58" t="str">
        <f>IF('22 Sostenibilidad ambiental '!W13&lt;&gt;0,'22 Sostenibilidad ambiental '!W13,"-")</f>
        <v>Anual</v>
      </c>
      <c r="I223" s="58" t="str">
        <f>IF('22 Sostenibilidad ambiental '!X13&lt;&gt;0,'22 Sostenibilidad ambiental '!X13,"-")</f>
        <v>Comité de Sustentabilidad y Subdirección Administrativa</v>
      </c>
      <c r="J223" s="33"/>
    </row>
    <row r="224" spans="1:13" ht="16.5" customHeight="1" thickBot="1">
      <c r="A224" s="58">
        <v>12</v>
      </c>
      <c r="B224" s="70" t="str">
        <f>IF('22 Sostenibilidad ambiental '!I14&lt;&gt;0,'22 Sostenibilidad ambiental '!I14,"-")</f>
        <v>Contribuir desde la Facultad de Ingeniería al cumplimiento de la meta PRDI “Efectuar anualmente 1 programa institucional de reducción de uso de papel”, con valores absolutos programados de 2027: 1, 2028: 1, 2029: 1, 2030: 1.</v>
      </c>
      <c r="C224" s="58" t="str">
        <f>IF('22 Sostenibilidad ambiental '!R14&lt;&gt;0,'22 Sostenibilidad ambiental '!R14,"-")</f>
        <v/>
      </c>
      <c r="D224" s="58">
        <f>IF('22 Sostenibilidad ambiental '!S14&lt;&gt;0,'22 Sostenibilidad ambiental '!S14,"-")</f>
        <v>1</v>
      </c>
      <c r="E224" s="58">
        <f>IF('22 Sostenibilidad ambiental '!T14&lt;&gt;0,'22 Sostenibilidad ambiental '!T14,"-")</f>
        <v>1</v>
      </c>
      <c r="F224" s="58">
        <f>IF('22 Sostenibilidad ambiental '!U14&lt;&gt;0,'22 Sostenibilidad ambiental '!U14,"-")</f>
        <v>1</v>
      </c>
      <c r="G224" s="58">
        <f>IF('22 Sostenibilidad ambiental '!V14&lt;&gt;0,'22 Sostenibilidad ambiental '!V14,"-")</f>
        <v>1</v>
      </c>
      <c r="H224" s="58" t="str">
        <f>IF('22 Sostenibilidad ambiental '!W14&lt;&gt;0,'22 Sostenibilidad ambiental '!W14,"-")</f>
        <v>Anual</v>
      </c>
      <c r="I224" s="58" t="str">
        <f>IF('22 Sostenibilidad ambiental '!X14&lt;&gt;0,'22 Sostenibilidad ambiental '!X14,"-")</f>
        <v>Comité de Sustentabilidad y Subdirección Administrativa</v>
      </c>
      <c r="J224" s="33"/>
    </row>
  </sheetData>
  <sheetProtection algorithmName="SHA-512" hashValue="eQ8ZqslFzfMu7fDPQS9TmSRV5hdcZ6PVdWCXRvJP253HgNigjsEqp/dwUt/v8pm2hMNdmjL/d5MvAqZwZcUmyw==" saltValue="2/odgTKXM8t0v03lNVMpXQ==" spinCount="100000" sheet="1" formatCells="0" formatColumns="0" formatRows="0"/>
  <mergeCells count="164">
    <mergeCell ref="I211:I212"/>
    <mergeCell ref="F211:F212"/>
    <mergeCell ref="H140:H141"/>
    <mergeCell ref="A100:A101"/>
    <mergeCell ref="D161:D162"/>
    <mergeCell ref="F161:F162"/>
    <mergeCell ref="B154:B155"/>
    <mergeCell ref="I78:I79"/>
    <mergeCell ref="B89:B90"/>
    <mergeCell ref="H204:H205"/>
    <mergeCell ref="D89:D90"/>
    <mergeCell ref="E100:E101"/>
    <mergeCell ref="D132:D133"/>
    <mergeCell ref="H154:H155"/>
    <mergeCell ref="F132:F133"/>
    <mergeCell ref="D100:D101"/>
    <mergeCell ref="B115:B116"/>
    <mergeCell ref="D115:D116"/>
    <mergeCell ref="H6:H7"/>
    <mergeCell ref="F70:F71"/>
    <mergeCell ref="I154:I155"/>
    <mergeCell ref="A124:A125"/>
    <mergeCell ref="I115:I116"/>
    <mergeCell ref="C124:C125"/>
    <mergeCell ref="F1:I1"/>
    <mergeCell ref="H70:H71"/>
    <mergeCell ref="B175:B176"/>
    <mergeCell ref="D175:D176"/>
    <mergeCell ref="E6:E7"/>
    <mergeCell ref="C37:C38"/>
    <mergeCell ref="E37:E38"/>
    <mergeCell ref="B50:B51"/>
    <mergeCell ref="D50:D51"/>
    <mergeCell ref="D211:D212"/>
    <mergeCell ref="B204:B205"/>
    <mergeCell ref="I63:I64"/>
    <mergeCell ref="D124:D125"/>
    <mergeCell ref="A211:A212"/>
    <mergeCell ref="A99:J99"/>
    <mergeCell ref="B188:B189"/>
    <mergeCell ref="D188:D189"/>
    <mergeCell ref="A161:A162"/>
    <mergeCell ref="C161:C162"/>
    <mergeCell ref="A139:J139"/>
    <mergeCell ref="F78:F79"/>
    <mergeCell ref="H78:H79"/>
    <mergeCell ref="C204:C205"/>
    <mergeCell ref="E204:E205"/>
    <mergeCell ref="C154:C155"/>
    <mergeCell ref="I89:I90"/>
    <mergeCell ref="B100:B101"/>
    <mergeCell ref="A132:A133"/>
    <mergeCell ref="A203:J203"/>
    <mergeCell ref="A131:J131"/>
    <mergeCell ref="B70:B71"/>
    <mergeCell ref="C89:C90"/>
    <mergeCell ref="H89:H90"/>
    <mergeCell ref="A6:A7"/>
    <mergeCell ref="A50:A51"/>
    <mergeCell ref="C50:C51"/>
    <mergeCell ref="F89:F90"/>
    <mergeCell ref="C115:C116"/>
    <mergeCell ref="B161:B162"/>
    <mergeCell ref="I100:I101"/>
    <mergeCell ref="H132:H133"/>
    <mergeCell ref="A114:J114"/>
    <mergeCell ref="F140:F141"/>
    <mergeCell ref="H100:H101"/>
    <mergeCell ref="I37:I38"/>
    <mergeCell ref="F50:F51"/>
    <mergeCell ref="F115:F116"/>
    <mergeCell ref="C70:C71"/>
    <mergeCell ref="H115:H116"/>
    <mergeCell ref="H124:H125"/>
    <mergeCell ref="E70:E71"/>
    <mergeCell ref="A88:J88"/>
    <mergeCell ref="A153:J153"/>
    <mergeCell ref="C78:C79"/>
    <mergeCell ref="B124:B125"/>
    <mergeCell ref="D6:D7"/>
    <mergeCell ref="F6:F7"/>
    <mergeCell ref="I204:I205"/>
    <mergeCell ref="A160:J160"/>
    <mergeCell ref="E132:E133"/>
    <mergeCell ref="I188:I189"/>
    <mergeCell ref="A78:A79"/>
    <mergeCell ref="A62:J62"/>
    <mergeCell ref="H161:H162"/>
    <mergeCell ref="F154:F155"/>
    <mergeCell ref="A210:J210"/>
    <mergeCell ref="A175:A176"/>
    <mergeCell ref="D70:D71"/>
    <mergeCell ref="A5:J5"/>
    <mergeCell ref="B140:B141"/>
    <mergeCell ref="D140:D141"/>
    <mergeCell ref="I70:I71"/>
    <mergeCell ref="A70:A71"/>
    <mergeCell ref="C175:C176"/>
    <mergeCell ref="E175:E176"/>
    <mergeCell ref="E78:E79"/>
    <mergeCell ref="A4:J4"/>
    <mergeCell ref="F124:F125"/>
    <mergeCell ref="D154:D155"/>
    <mergeCell ref="C100:C101"/>
    <mergeCell ref="B132:B133"/>
    <mergeCell ref="I175:I176"/>
    <mergeCell ref="E161:E162"/>
    <mergeCell ref="A154:A155"/>
    <mergeCell ref="A37:A38"/>
    <mergeCell ref="A89:A90"/>
    <mergeCell ref="F100:F101"/>
    <mergeCell ref="I161:I162"/>
    <mergeCell ref="A123:J123"/>
    <mergeCell ref="A140:A141"/>
    <mergeCell ref="C140:C141"/>
    <mergeCell ref="D37:D38"/>
    <mergeCell ref="B6:B7"/>
    <mergeCell ref="B37:B38"/>
    <mergeCell ref="A49:J49"/>
    <mergeCell ref="B211:B212"/>
    <mergeCell ref="A188:A189"/>
    <mergeCell ref="C188:C189"/>
    <mergeCell ref="A36:J36"/>
    <mergeCell ref="I132:I133"/>
    <mergeCell ref="A69:J69"/>
    <mergeCell ref="F37:F38"/>
    <mergeCell ref="E154:E155"/>
    <mergeCell ref="A174:J174"/>
    <mergeCell ref="H37:H38"/>
    <mergeCell ref="E50:E51"/>
    <mergeCell ref="E115:E116"/>
    <mergeCell ref="I50:I51"/>
    <mergeCell ref="B63:B64"/>
    <mergeCell ref="D63:D64"/>
    <mergeCell ref="I6:I7"/>
    <mergeCell ref="C6:C7"/>
    <mergeCell ref="F63:F64"/>
    <mergeCell ref="H63:H64"/>
    <mergeCell ref="H211:H212"/>
    <mergeCell ref="D204:D205"/>
    <mergeCell ref="E140:E141"/>
    <mergeCell ref="H50:H51"/>
    <mergeCell ref="C63:C64"/>
    <mergeCell ref="E63:E64"/>
    <mergeCell ref="C132:C133"/>
    <mergeCell ref="B78:B79"/>
    <mergeCell ref="A77:J77"/>
    <mergeCell ref="C211:C212"/>
    <mergeCell ref="D78:D79"/>
    <mergeCell ref="A204:A205"/>
    <mergeCell ref="E89:E90"/>
    <mergeCell ref="F204:F205"/>
    <mergeCell ref="E211:E212"/>
    <mergeCell ref="F188:F189"/>
    <mergeCell ref="H188:H189"/>
    <mergeCell ref="A63:A64"/>
    <mergeCell ref="A187:J187"/>
    <mergeCell ref="A115:A116"/>
    <mergeCell ref="E124:E125"/>
    <mergeCell ref="I140:I141"/>
    <mergeCell ref="F175:F176"/>
    <mergeCell ref="H175:H176"/>
    <mergeCell ref="E188:E189"/>
    <mergeCell ref="I124:I125"/>
  </mergeCell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39997558519241921"/>
  </sheetPr>
  <dimension ref="A1:Q11"/>
  <sheetViews>
    <sheetView workbookViewId="0">
      <pane ySplit="2" topLeftCell="A3" activePane="bottomLeft" state="frozen"/>
      <selection pane="bottomLeft" activeCell="K3" sqref="K3"/>
    </sheetView>
  </sheetViews>
  <sheetFormatPr baseColWidth="10" defaultRowHeight="14.4"/>
  <cols>
    <col min="1" max="1" width="38" customWidth="1"/>
    <col min="2" max="2" width="55" customWidth="1"/>
    <col min="3" max="3" width="16" customWidth="1"/>
    <col min="4" max="4" width="28" customWidth="1"/>
    <col min="5" max="5" width="38" customWidth="1"/>
    <col min="6" max="6" width="11" customWidth="1"/>
    <col min="7" max="10" width="10" customWidth="1"/>
    <col min="11" max="11" width="11" customWidth="1"/>
    <col min="12" max="15" width="10" customWidth="1"/>
    <col min="16" max="16" width="16" customWidth="1"/>
    <col min="17" max="17" width="34" customWidth="1"/>
  </cols>
  <sheetData>
    <row r="1" spans="1:17" s="102" customFormat="1" ht="18" customHeight="1">
      <c r="A1" s="222" t="s">
        <v>199</v>
      </c>
      <c r="B1" s="223" t="s">
        <v>8</v>
      </c>
      <c r="C1" s="222" t="s">
        <v>9</v>
      </c>
      <c r="D1" s="224" t="s">
        <v>767</v>
      </c>
      <c r="E1" s="224" t="s">
        <v>768</v>
      </c>
      <c r="F1" s="225"/>
      <c r="G1" s="146"/>
      <c r="H1" s="146"/>
      <c r="I1" s="146"/>
      <c r="J1" s="147"/>
      <c r="K1" s="221"/>
      <c r="L1" s="134"/>
      <c r="M1" s="134"/>
      <c r="N1" s="134"/>
      <c r="O1" s="135"/>
      <c r="P1" s="222" t="s">
        <v>14</v>
      </c>
      <c r="Q1" s="222" t="s">
        <v>15</v>
      </c>
    </row>
    <row r="2" spans="1:17" s="102" customFormat="1" ht="30.75" customHeight="1">
      <c r="A2" s="139"/>
      <c r="B2" s="139"/>
      <c r="C2" s="139"/>
      <c r="D2" s="139"/>
      <c r="E2" s="139"/>
      <c r="F2" s="101" t="s">
        <v>16</v>
      </c>
      <c r="G2" s="101">
        <v>2027</v>
      </c>
      <c r="H2" s="101">
        <v>2028</v>
      </c>
      <c r="I2" s="101">
        <v>2029</v>
      </c>
      <c r="J2" s="101">
        <v>2030</v>
      </c>
      <c r="K2" s="103" t="s">
        <v>16</v>
      </c>
      <c r="L2" s="103">
        <v>2027</v>
      </c>
      <c r="M2" s="103">
        <v>2028</v>
      </c>
      <c r="N2" s="103">
        <v>2029</v>
      </c>
      <c r="O2" s="103">
        <v>2030</v>
      </c>
      <c r="P2" s="139"/>
      <c r="Q2" s="139"/>
    </row>
    <row r="3" spans="1:17" ht="90" customHeight="1">
      <c r="A3" s="44" t="s">
        <v>769</v>
      </c>
      <c r="B3" s="17" t="s">
        <v>770</v>
      </c>
      <c r="C3" s="44" t="s">
        <v>771</v>
      </c>
      <c r="D3" s="47" t="s">
        <v>25</v>
      </c>
      <c r="E3" s="47" t="s">
        <v>772</v>
      </c>
      <c r="F3" s="130"/>
      <c r="G3" s="130">
        <v>1</v>
      </c>
      <c r="H3" s="130">
        <v>1</v>
      </c>
      <c r="I3" s="130">
        <v>1</v>
      </c>
      <c r="J3" s="130">
        <v>1</v>
      </c>
      <c r="K3" s="131" t="str">
        <f t="shared" ref="K3:K11" si="0">IF(F3="","",F3)</f>
        <v/>
      </c>
      <c r="L3" s="131">
        <f t="shared" ref="L3:L11" si="1">IF(G3="","",G3)</f>
        <v>1</v>
      </c>
      <c r="M3" s="131">
        <f t="shared" ref="M3:M11" si="2">IF(H3="","",H3)</f>
        <v>1</v>
      </c>
      <c r="N3" s="131">
        <f t="shared" ref="N3:N11" si="3">IF(I3="","",I3)</f>
        <v>1</v>
      </c>
      <c r="O3" s="131">
        <f t="shared" ref="O3:O11" si="4">IF(J3="","",J3)</f>
        <v>1</v>
      </c>
      <c r="P3" s="44" t="s">
        <v>27</v>
      </c>
      <c r="Q3" s="132" t="s">
        <v>773</v>
      </c>
    </row>
    <row r="4" spans="1:17" ht="90" customHeight="1">
      <c r="A4" s="44" t="s">
        <v>769</v>
      </c>
      <c r="B4" s="17" t="s">
        <v>774</v>
      </c>
      <c r="C4" s="44" t="s">
        <v>771</v>
      </c>
      <c r="D4" s="47" t="s">
        <v>25</v>
      </c>
      <c r="E4" s="47" t="s">
        <v>772</v>
      </c>
      <c r="F4" s="130"/>
      <c r="G4" s="130">
        <v>1</v>
      </c>
      <c r="H4" s="130">
        <v>1</v>
      </c>
      <c r="I4" s="130">
        <v>1</v>
      </c>
      <c r="J4" s="130">
        <v>1</v>
      </c>
      <c r="K4" s="131" t="str">
        <f t="shared" si="0"/>
        <v/>
      </c>
      <c r="L4" s="131">
        <f t="shared" si="1"/>
        <v>1</v>
      </c>
      <c r="M4" s="131">
        <f t="shared" si="2"/>
        <v>1</v>
      </c>
      <c r="N4" s="131">
        <f t="shared" si="3"/>
        <v>1</v>
      </c>
      <c r="O4" s="131">
        <f t="shared" si="4"/>
        <v>1</v>
      </c>
      <c r="P4" s="44" t="s">
        <v>27</v>
      </c>
      <c r="Q4" s="132" t="s">
        <v>773</v>
      </c>
    </row>
    <row r="5" spans="1:17" ht="90" customHeight="1">
      <c r="A5" s="44" t="s">
        <v>769</v>
      </c>
      <c r="B5" s="17" t="s">
        <v>775</v>
      </c>
      <c r="C5" s="44" t="s">
        <v>771</v>
      </c>
      <c r="D5" s="47" t="s">
        <v>25</v>
      </c>
      <c r="E5" s="47" t="s">
        <v>772</v>
      </c>
      <c r="F5" s="130"/>
      <c r="G5" s="130">
        <v>1</v>
      </c>
      <c r="H5" s="130">
        <v>1</v>
      </c>
      <c r="I5" s="130">
        <v>1</v>
      </c>
      <c r="J5" s="130">
        <v>1</v>
      </c>
      <c r="K5" s="131" t="str">
        <f t="shared" si="0"/>
        <v/>
      </c>
      <c r="L5" s="131">
        <f t="shared" si="1"/>
        <v>1</v>
      </c>
      <c r="M5" s="131">
        <f t="shared" si="2"/>
        <v>1</v>
      </c>
      <c r="N5" s="131">
        <f t="shared" si="3"/>
        <v>1</v>
      </c>
      <c r="O5" s="131">
        <f t="shared" si="4"/>
        <v>1</v>
      </c>
      <c r="P5" s="44" t="s">
        <v>27</v>
      </c>
      <c r="Q5" s="132" t="s">
        <v>773</v>
      </c>
    </row>
    <row r="6" spans="1:17" ht="90" customHeight="1">
      <c r="A6" s="44" t="s">
        <v>776</v>
      </c>
      <c r="B6" s="17" t="s">
        <v>777</v>
      </c>
      <c r="C6" s="44" t="s">
        <v>771</v>
      </c>
      <c r="D6" s="47" t="s">
        <v>25</v>
      </c>
      <c r="E6" s="47" t="s">
        <v>772</v>
      </c>
      <c r="F6" s="130"/>
      <c r="G6" s="130">
        <v>1</v>
      </c>
      <c r="H6" s="130">
        <v>1</v>
      </c>
      <c r="I6" s="130">
        <v>1</v>
      </c>
      <c r="J6" s="130">
        <v>1</v>
      </c>
      <c r="K6" s="131" t="str">
        <f t="shared" si="0"/>
        <v/>
      </c>
      <c r="L6" s="131">
        <f t="shared" si="1"/>
        <v>1</v>
      </c>
      <c r="M6" s="131">
        <f t="shared" si="2"/>
        <v>1</v>
      </c>
      <c r="N6" s="131">
        <f t="shared" si="3"/>
        <v>1</v>
      </c>
      <c r="O6" s="131">
        <f t="shared" si="4"/>
        <v>1</v>
      </c>
      <c r="P6" s="44" t="s">
        <v>27</v>
      </c>
      <c r="Q6" s="132" t="s">
        <v>778</v>
      </c>
    </row>
    <row r="7" spans="1:17" ht="90" customHeight="1">
      <c r="A7" s="44" t="s">
        <v>776</v>
      </c>
      <c r="B7" s="17" t="s">
        <v>779</v>
      </c>
      <c r="C7" s="44" t="s">
        <v>771</v>
      </c>
      <c r="D7" s="47" t="s">
        <v>25</v>
      </c>
      <c r="E7" s="47" t="s">
        <v>772</v>
      </c>
      <c r="F7" s="130"/>
      <c r="G7" s="130">
        <v>1</v>
      </c>
      <c r="H7" s="130">
        <v>1</v>
      </c>
      <c r="I7" s="130">
        <v>1</v>
      </c>
      <c r="J7" s="130">
        <v>1</v>
      </c>
      <c r="K7" s="131" t="str">
        <f t="shared" si="0"/>
        <v/>
      </c>
      <c r="L7" s="131">
        <f t="shared" si="1"/>
        <v>1</v>
      </c>
      <c r="M7" s="131">
        <f t="shared" si="2"/>
        <v>1</v>
      </c>
      <c r="N7" s="131">
        <f t="shared" si="3"/>
        <v>1</v>
      </c>
      <c r="O7" s="131">
        <f t="shared" si="4"/>
        <v>1</v>
      </c>
      <c r="P7" s="44" t="s">
        <v>27</v>
      </c>
      <c r="Q7" s="132" t="s">
        <v>778</v>
      </c>
    </row>
    <row r="8" spans="1:17" ht="90" customHeight="1">
      <c r="A8" s="44" t="s">
        <v>776</v>
      </c>
      <c r="B8" s="17" t="s">
        <v>780</v>
      </c>
      <c r="C8" s="44" t="s">
        <v>771</v>
      </c>
      <c r="D8" s="47" t="s">
        <v>25</v>
      </c>
      <c r="E8" s="47" t="s">
        <v>772</v>
      </c>
      <c r="F8" s="130"/>
      <c r="G8" s="130">
        <v>1</v>
      </c>
      <c r="H8" s="130">
        <v>1</v>
      </c>
      <c r="I8" s="130">
        <v>1</v>
      </c>
      <c r="J8" s="130">
        <v>1</v>
      </c>
      <c r="K8" s="131" t="str">
        <f t="shared" si="0"/>
        <v/>
      </c>
      <c r="L8" s="131">
        <f t="shared" si="1"/>
        <v>1</v>
      </c>
      <c r="M8" s="131">
        <f t="shared" si="2"/>
        <v>1</v>
      </c>
      <c r="N8" s="131">
        <f t="shared" si="3"/>
        <v>1</v>
      </c>
      <c r="O8" s="131">
        <f t="shared" si="4"/>
        <v>1</v>
      </c>
      <c r="P8" s="44" t="s">
        <v>27</v>
      </c>
      <c r="Q8" s="132" t="s">
        <v>778</v>
      </c>
    </row>
    <row r="9" spans="1:17" ht="90" customHeight="1">
      <c r="A9" s="44" t="s">
        <v>781</v>
      </c>
      <c r="B9" s="17" t="s">
        <v>782</v>
      </c>
      <c r="C9" s="44" t="s">
        <v>771</v>
      </c>
      <c r="D9" s="47" t="s">
        <v>25</v>
      </c>
      <c r="E9" s="47" t="s">
        <v>772</v>
      </c>
      <c r="F9" s="130"/>
      <c r="G9" s="130">
        <v>1</v>
      </c>
      <c r="H9" s="130">
        <v>1</v>
      </c>
      <c r="I9" s="130">
        <v>1</v>
      </c>
      <c r="J9" s="130">
        <v>1</v>
      </c>
      <c r="K9" s="131" t="str">
        <f t="shared" si="0"/>
        <v/>
      </c>
      <c r="L9" s="131">
        <f t="shared" si="1"/>
        <v>1</v>
      </c>
      <c r="M9" s="131">
        <f t="shared" si="2"/>
        <v>1</v>
      </c>
      <c r="N9" s="131">
        <f t="shared" si="3"/>
        <v>1</v>
      </c>
      <c r="O9" s="131">
        <f t="shared" si="4"/>
        <v>1</v>
      </c>
      <c r="P9" s="44" t="s">
        <v>27</v>
      </c>
      <c r="Q9" s="132" t="s">
        <v>783</v>
      </c>
    </row>
    <row r="10" spans="1:17" ht="90" customHeight="1">
      <c r="A10" s="44" t="s">
        <v>781</v>
      </c>
      <c r="B10" s="17" t="s">
        <v>784</v>
      </c>
      <c r="C10" s="44" t="s">
        <v>771</v>
      </c>
      <c r="D10" s="47" t="s">
        <v>25</v>
      </c>
      <c r="E10" s="47" t="s">
        <v>772</v>
      </c>
      <c r="F10" s="130"/>
      <c r="G10" s="130">
        <v>1</v>
      </c>
      <c r="H10" s="130">
        <v>1</v>
      </c>
      <c r="I10" s="130">
        <v>1</v>
      </c>
      <c r="J10" s="130">
        <v>1</v>
      </c>
      <c r="K10" s="131" t="str">
        <f t="shared" si="0"/>
        <v/>
      </c>
      <c r="L10" s="131">
        <f t="shared" si="1"/>
        <v>1</v>
      </c>
      <c r="M10" s="131">
        <f t="shared" si="2"/>
        <v>1</v>
      </c>
      <c r="N10" s="131">
        <f t="shared" si="3"/>
        <v>1</v>
      </c>
      <c r="O10" s="131">
        <f t="shared" si="4"/>
        <v>1</v>
      </c>
      <c r="P10" s="44" t="s">
        <v>27</v>
      </c>
      <c r="Q10" s="132" t="s">
        <v>783</v>
      </c>
    </row>
    <row r="11" spans="1:17" ht="90" customHeight="1">
      <c r="A11" s="44" t="s">
        <v>781</v>
      </c>
      <c r="B11" s="17" t="s">
        <v>785</v>
      </c>
      <c r="C11" s="44" t="s">
        <v>771</v>
      </c>
      <c r="D11" s="47" t="s">
        <v>25</v>
      </c>
      <c r="E11" s="47" t="s">
        <v>772</v>
      </c>
      <c r="F11" s="130"/>
      <c r="G11" s="130">
        <v>1</v>
      </c>
      <c r="H11" s="130">
        <v>1</v>
      </c>
      <c r="I11" s="130">
        <v>1</v>
      </c>
      <c r="J11" s="130">
        <v>1</v>
      </c>
      <c r="K11" s="131" t="str">
        <f t="shared" si="0"/>
        <v/>
      </c>
      <c r="L11" s="131">
        <f t="shared" si="1"/>
        <v>1</v>
      </c>
      <c r="M11" s="131">
        <f t="shared" si="2"/>
        <v>1</v>
      </c>
      <c r="N11" s="131">
        <f t="shared" si="3"/>
        <v>1</v>
      </c>
      <c r="O11" s="131">
        <f t="shared" si="4"/>
        <v>1</v>
      </c>
      <c r="P11" s="44" t="s">
        <v>27</v>
      </c>
      <c r="Q11" s="132" t="s">
        <v>783</v>
      </c>
    </row>
  </sheetData>
  <autoFilter ref="A2:Q11" xr:uid="{00000000-0009-0000-0000-000015000000}"/>
  <mergeCells count="9">
    <mergeCell ref="A1:A2"/>
    <mergeCell ref="K1:O1"/>
    <mergeCell ref="Q1:Q2"/>
    <mergeCell ref="C1:C2"/>
    <mergeCell ref="B1:B2"/>
    <mergeCell ref="D1:D2"/>
    <mergeCell ref="E1:E2"/>
    <mergeCell ref="F1:J1"/>
    <mergeCell ref="P1: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2 EstudiantadoEstProf</vt:lpstr>
      <vt:lpstr>Hoja1</vt:lpstr>
      <vt:lpstr>3 Est avanzados excelencia</vt:lpstr>
      <vt:lpstr>4 Investigación abierta</vt:lpstr>
      <vt:lpstr>5 Innovación, desarrollo tec</vt:lpstr>
      <vt:lpstr>6 Dif y divulga de la ciencia</vt:lpstr>
      <vt:lpstr>7 Cultura desarrollo integral</vt:lpstr>
      <vt:lpstr>8 Deporte universitario</vt:lpstr>
      <vt:lpstr>9 Fortalecimiento docente</vt:lpstr>
      <vt:lpstr>10 Dignificación las y los trab</vt:lpstr>
      <vt:lpstr>11 Gestión administrativa</vt:lpstr>
      <vt:lpstr>12 Fortalecimiento tecnológico</vt:lpstr>
      <vt:lpstr>13 Gobernanza</vt:lpstr>
      <vt:lpstr>16 Manejo recursos universitari</vt:lpstr>
      <vt:lpstr>18 Reconocimiento de la diversi</vt:lpstr>
      <vt:lpstr>19 Constr cultura de paz </vt:lpstr>
      <vt:lpstr>20 Retribución social </vt:lpstr>
      <vt:lpstr>21 Comunicación universitaria</vt:lpstr>
      <vt:lpstr>22 Sostenibilidad ambiental </vt:lpstr>
      <vt:lpstr>Indicadores x proyec</vt:lpstr>
      <vt:lpstr>Apertura programática</vt:lpstr>
      <vt:lpstr>Metas adicionales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Salas Garcia</cp:lastModifiedBy>
  <cp:lastPrinted>2026-03-23T17:42:29Z</cp:lastPrinted>
  <dcterms:created xsi:type="dcterms:W3CDTF">2021-09-21T23:50:05Z</dcterms:created>
  <dcterms:modified xsi:type="dcterms:W3CDTF">2026-09-23T21:31:17Z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0x0101005315CE8D4EE593409BDCE415CE32770F</vt:lpwstr>
  </property>
</Properties>
</file>