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B05C6DB0-4166-4AE9-A9EA-FAA3A7D9F80A}" xr6:coauthVersionLast="47" xr6:coauthVersionMax="47" xr10:uidLastSave="{00000000-0000-0000-0000-000000000000}"/>
  <bookViews>
    <workbookView xWindow="-28920" yWindow="-120" windowWidth="29040" windowHeight="15720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G222" i="21"/>
  <c r="F222" i="21"/>
  <c r="E222" i="21"/>
  <c r="D222" i="21"/>
  <c r="C222" i="21"/>
  <c r="B222" i="21"/>
  <c r="I221" i="21"/>
  <c r="H221" i="21"/>
  <c r="G221" i="21"/>
  <c r="F221" i="21"/>
  <c r="E221" i="21"/>
  <c r="D221" i="21"/>
  <c r="C221" i="21"/>
  <c r="B221" i="21"/>
  <c r="I220" i="21"/>
  <c r="H220" i="21"/>
  <c r="G220" i="21"/>
  <c r="F220" i="21"/>
  <c r="E220" i="21"/>
  <c r="D220" i="21"/>
  <c r="C220" i="21"/>
  <c r="B220" i="21"/>
  <c r="I219" i="21"/>
  <c r="H219" i="21"/>
  <c r="G219" i="21"/>
  <c r="F219" i="21"/>
  <c r="E219" i="21"/>
  <c r="D219" i="21"/>
  <c r="C219" i="21"/>
  <c r="B219" i="21"/>
  <c r="I218" i="21"/>
  <c r="H218" i="21"/>
  <c r="G218" i="21"/>
  <c r="F218" i="21"/>
  <c r="E218" i="21"/>
  <c r="D218" i="21"/>
  <c r="C218" i="21"/>
  <c r="B218" i="21"/>
  <c r="I217" i="21"/>
  <c r="H217" i="21"/>
  <c r="G217" i="21"/>
  <c r="F217" i="21"/>
  <c r="E217" i="21"/>
  <c r="D217" i="21"/>
  <c r="C217" i="21"/>
  <c r="B217" i="21"/>
  <c r="I216" i="21"/>
  <c r="H216" i="21"/>
  <c r="G216" i="21"/>
  <c r="F216" i="21"/>
  <c r="E216" i="21"/>
  <c r="D216" i="21"/>
  <c r="C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B206" i="21"/>
  <c r="G204" i="21"/>
  <c r="I199" i="21"/>
  <c r="H199" i="21"/>
  <c r="B199" i="21"/>
  <c r="I198" i="21"/>
  <c r="H198" i="21"/>
  <c r="B198" i="21"/>
  <c r="I197" i="21"/>
  <c r="H197" i="21"/>
  <c r="B197" i="21"/>
  <c r="I195" i="21"/>
  <c r="H195" i="21"/>
  <c r="D195" i="21"/>
  <c r="C195" i="21"/>
  <c r="B195" i="21"/>
  <c r="I194" i="21"/>
  <c r="H194" i="21"/>
  <c r="G194" i="21"/>
  <c r="F194" i="21"/>
  <c r="E194" i="21"/>
  <c r="D194" i="21"/>
  <c r="C194" i="21"/>
  <c r="B194" i="21"/>
  <c r="I193" i="21"/>
  <c r="H193" i="21"/>
  <c r="G193" i="21"/>
  <c r="F193" i="21"/>
  <c r="E193" i="21"/>
  <c r="D193" i="21"/>
  <c r="C193" i="21"/>
  <c r="B193" i="21"/>
  <c r="I192" i="21"/>
  <c r="H192" i="21"/>
  <c r="G192" i="21"/>
  <c r="F192" i="21"/>
  <c r="E192" i="21"/>
  <c r="D192" i="21"/>
  <c r="C192" i="21"/>
  <c r="B192" i="21"/>
  <c r="I191" i="21"/>
  <c r="H191" i="21"/>
  <c r="G191" i="21"/>
  <c r="F191" i="21"/>
  <c r="E191" i="21"/>
  <c r="D191" i="21"/>
  <c r="C191" i="21"/>
  <c r="B191" i="21"/>
  <c r="I190" i="21"/>
  <c r="H190" i="21"/>
  <c r="G190" i="21"/>
  <c r="F190" i="21"/>
  <c r="E190" i="21"/>
  <c r="D190" i="21"/>
  <c r="C190" i="21"/>
  <c r="B190" i="21"/>
  <c r="G188" i="21"/>
  <c r="I183" i="21"/>
  <c r="H183" i="21"/>
  <c r="B183" i="21"/>
  <c r="I182" i="21"/>
  <c r="H182" i="21"/>
  <c r="B182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G170" i="21"/>
  <c r="F170" i="21"/>
  <c r="E170" i="21"/>
  <c r="D170" i="21"/>
  <c r="C170" i="21"/>
  <c r="B170" i="21"/>
  <c r="I169" i="21"/>
  <c r="H169" i="21"/>
  <c r="F169" i="21"/>
  <c r="E169" i="21"/>
  <c r="D169" i="21"/>
  <c r="C169" i="21"/>
  <c r="B169" i="21"/>
  <c r="I168" i="21"/>
  <c r="H168" i="21"/>
  <c r="B168" i="21"/>
  <c r="I167" i="21"/>
  <c r="H167" i="21"/>
  <c r="B167" i="21"/>
  <c r="I166" i="21"/>
  <c r="H166" i="21"/>
  <c r="B166" i="21"/>
  <c r="I164" i="21"/>
  <c r="H164" i="21"/>
  <c r="B164" i="21"/>
  <c r="G161" i="21"/>
  <c r="I156" i="21"/>
  <c r="H156" i="21"/>
  <c r="B156" i="21"/>
  <c r="G154" i="21"/>
  <c r="I149" i="21"/>
  <c r="H149" i="21"/>
  <c r="G149" i="21"/>
  <c r="F149" i="21"/>
  <c r="E149" i="21"/>
  <c r="D149" i="21"/>
  <c r="C149" i="21"/>
  <c r="B149" i="21"/>
  <c r="I148" i="21"/>
  <c r="H148" i="21"/>
  <c r="G148" i="21"/>
  <c r="F148" i="21"/>
  <c r="E148" i="21"/>
  <c r="D148" i="21"/>
  <c r="C148" i="21"/>
  <c r="B148" i="21"/>
  <c r="I147" i="21"/>
  <c r="H147" i="21"/>
  <c r="G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B142" i="21"/>
  <c r="G140" i="21"/>
  <c r="I135" i="21"/>
  <c r="H135" i="21"/>
  <c r="G135" i="21"/>
  <c r="F135" i="21"/>
  <c r="E135" i="21"/>
  <c r="D135" i="21"/>
  <c r="C135" i="21"/>
  <c r="B135" i="21"/>
  <c r="I134" i="21"/>
  <c r="H134" i="21"/>
  <c r="G134" i="21"/>
  <c r="F134" i="21"/>
  <c r="E134" i="21"/>
  <c r="D134" i="21"/>
  <c r="C134" i="21"/>
  <c r="B134" i="21"/>
  <c r="G132" i="21"/>
  <c r="I127" i="21"/>
  <c r="H127" i="21"/>
  <c r="G127" i="21"/>
  <c r="F127" i="21"/>
  <c r="E127" i="21"/>
  <c r="D127" i="21"/>
  <c r="C127" i="21"/>
  <c r="B127" i="21"/>
  <c r="I126" i="21"/>
  <c r="H126" i="21"/>
  <c r="B126" i="21"/>
  <c r="G124" i="21"/>
  <c r="G115" i="21"/>
  <c r="I111" i="21"/>
  <c r="H111" i="21"/>
  <c r="B111" i="21"/>
  <c r="I110" i="21"/>
  <c r="H110" i="21"/>
  <c r="B110" i="21"/>
  <c r="I108" i="21"/>
  <c r="H108" i="21"/>
  <c r="B108" i="21"/>
  <c r="I107" i="21"/>
  <c r="H107" i="21"/>
  <c r="B107" i="21"/>
  <c r="G100" i="21"/>
  <c r="I95" i="21"/>
  <c r="H95" i="21"/>
  <c r="B95" i="21"/>
  <c r="I91" i="21"/>
  <c r="H91" i="21"/>
  <c r="B91" i="21"/>
  <c r="G89" i="21"/>
  <c r="I85" i="21"/>
  <c r="H85" i="21"/>
  <c r="B85" i="21"/>
  <c r="I84" i="21"/>
  <c r="H84" i="21"/>
  <c r="B84" i="21"/>
  <c r="I83" i="21"/>
  <c r="H83" i="21"/>
  <c r="B83" i="21"/>
  <c r="I82" i="21"/>
  <c r="H82" i="21"/>
  <c r="B82" i="21"/>
  <c r="I81" i="21"/>
  <c r="H81" i="21"/>
  <c r="B81" i="21"/>
  <c r="I80" i="21"/>
  <c r="H80" i="21"/>
  <c r="B80" i="21"/>
  <c r="G78" i="21"/>
  <c r="I74" i="21"/>
  <c r="H74" i="21"/>
  <c r="B74" i="21"/>
  <c r="I73" i="21"/>
  <c r="H73" i="21"/>
  <c r="B73" i="21"/>
  <c r="I72" i="21"/>
  <c r="H72" i="21"/>
  <c r="B72" i="21"/>
  <c r="G70" i="21"/>
  <c r="I66" i="21"/>
  <c r="H66" i="21"/>
  <c r="B66" i="21"/>
  <c r="I65" i="21"/>
  <c r="H65" i="21"/>
  <c r="B65" i="21"/>
  <c r="G63" i="21"/>
  <c r="I57" i="21"/>
  <c r="H57" i="21"/>
  <c r="G57" i="21"/>
  <c r="F57" i="21"/>
  <c r="E57" i="21"/>
  <c r="D57" i="21"/>
  <c r="C57" i="21"/>
  <c r="B57" i="21"/>
  <c r="I56" i="21"/>
  <c r="H56" i="21"/>
  <c r="G56" i="21"/>
  <c r="F56" i="21"/>
  <c r="E56" i="21"/>
  <c r="D56" i="21"/>
  <c r="C56" i="21"/>
  <c r="B56" i="21"/>
  <c r="I52" i="21"/>
  <c r="H52" i="21"/>
  <c r="G52" i="21"/>
  <c r="F52" i="21"/>
  <c r="E52" i="21"/>
  <c r="D52" i="21"/>
  <c r="C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4" i="21"/>
  <c r="H14" i="21"/>
  <c r="B14" i="21"/>
  <c r="I13" i="21"/>
  <c r="H13" i="21"/>
  <c r="B13" i="21"/>
  <c r="B11" i="21"/>
  <c r="I10" i="21"/>
  <c r="B10" i="21"/>
  <c r="I9" i="21"/>
  <c r="H9" i="21"/>
  <c r="B9" i="21"/>
  <c r="I8" i="21"/>
  <c r="H8" i="21"/>
  <c r="B8" i="21"/>
  <c r="G6" i="21"/>
  <c r="J104" i="20" a="1"/>
  <c r="I104" i="20" a="1"/>
  <c r="C104" i="20" a="1"/>
  <c r="C104" i="20" s="1"/>
  <c r="B104" i="20" a="1"/>
  <c r="J98" i="20" a="1"/>
  <c r="I98" i="20" a="1"/>
  <c r="C98" i="20" a="1"/>
  <c r="C98" i="20" s="1"/>
  <c r="B98" i="20" a="1"/>
  <c r="J96" i="20" a="1"/>
  <c r="J96" i="20" s="1"/>
  <c r="I96" i="20" a="1"/>
  <c r="I96" i="20" s="1"/>
  <c r="C96" i="20" a="1"/>
  <c r="C96" i="20" s="1"/>
  <c r="B96" i="20" a="1"/>
  <c r="B96" i="20" s="1"/>
  <c r="B177" i="21" s="1"/>
  <c r="J90" i="20" a="1"/>
  <c r="I90" i="20" a="1"/>
  <c r="H90" i="20" a="1"/>
  <c r="G90" i="20" a="1"/>
  <c r="F90" i="20" a="1"/>
  <c r="E90" i="20" a="1"/>
  <c r="D90" i="20" a="1"/>
  <c r="C90" i="20" a="1"/>
  <c r="C90" i="20" s="1"/>
  <c r="B90" i="20" a="1"/>
  <c r="J88" i="20" a="1"/>
  <c r="I88" i="20" a="1"/>
  <c r="H88" i="20" a="1"/>
  <c r="G88" i="20" a="1"/>
  <c r="F88" i="20" a="1"/>
  <c r="E88" i="20" a="1"/>
  <c r="D88" i="20" a="1"/>
  <c r="C88" i="20" a="1"/>
  <c r="C88" i="20" s="1"/>
  <c r="B88" i="20" a="1"/>
  <c r="J82" i="20"/>
  <c r="I119" i="21" s="1"/>
  <c r="I82" i="20"/>
  <c r="H119" i="21" s="1"/>
  <c r="C82" i="20"/>
  <c r="B82" i="20"/>
  <c r="B119" i="21" s="1"/>
  <c r="J80" i="20"/>
  <c r="I118" i="21" s="1"/>
  <c r="I80" i="20"/>
  <c r="H118" i="21" s="1"/>
  <c r="C80" i="20"/>
  <c r="B80" i="20"/>
  <c r="B118" i="21" s="1"/>
  <c r="J78" i="20"/>
  <c r="I117" i="21" s="1"/>
  <c r="I78" i="20"/>
  <c r="H117" i="21" s="1"/>
  <c r="C78" i="20"/>
  <c r="B78" i="20"/>
  <c r="B117" i="21" s="1"/>
  <c r="J72" i="20"/>
  <c r="I109" i="21" s="1"/>
  <c r="I72" i="20"/>
  <c r="H109" i="21" s="1"/>
  <c r="C72" i="20"/>
  <c r="B72" i="20"/>
  <c r="B109" i="21" s="1"/>
  <c r="J70" i="20"/>
  <c r="I106" i="21" s="1"/>
  <c r="I70" i="20"/>
  <c r="H106" i="21" s="1"/>
  <c r="C70" i="20"/>
  <c r="B70" i="20" a="1"/>
  <c r="J68" i="20"/>
  <c r="I105" i="21" s="1"/>
  <c r="I68" i="20"/>
  <c r="H105" i="21" s="1"/>
  <c r="C68" i="20"/>
  <c r="B68" i="20" a="1"/>
  <c r="J66" i="20"/>
  <c r="I104" i="21" s="1"/>
  <c r="I66" i="20"/>
  <c r="H104" i="21" s="1"/>
  <c r="C66" i="20"/>
  <c r="B66" i="20" a="1"/>
  <c r="J64" i="20"/>
  <c r="I103" i="21" s="1"/>
  <c r="I64" i="20"/>
  <c r="H103" i="21" s="1"/>
  <c r="C64" i="20"/>
  <c r="B64" i="20" a="1"/>
  <c r="J62" i="20"/>
  <c r="I102" i="21" s="1"/>
  <c r="I62" i="20"/>
  <c r="H102" i="21" s="1"/>
  <c r="C62" i="20"/>
  <c r="B62" i="20" a="1"/>
  <c r="J56" i="20"/>
  <c r="I94" i="21" s="1"/>
  <c r="I56" i="20"/>
  <c r="H94" i="21" s="1"/>
  <c r="C56" i="20"/>
  <c r="B56" i="20"/>
  <c r="B94" i="21" s="1"/>
  <c r="J54" i="20"/>
  <c r="I93" i="21" s="1"/>
  <c r="I54" i="20"/>
  <c r="H93" i="21" s="1"/>
  <c r="C54" i="20"/>
  <c r="B54" i="20"/>
  <c r="B93" i="21" s="1"/>
  <c r="J52" i="20"/>
  <c r="I92" i="21" s="1"/>
  <c r="I52" i="20"/>
  <c r="H92" i="21" s="1"/>
  <c r="C52" i="20"/>
  <c r="B52" i="20"/>
  <c r="B92" i="21" s="1"/>
  <c r="J46" i="20"/>
  <c r="I59" i="21" s="1"/>
  <c r="I46" i="20"/>
  <c r="H59" i="21" s="1"/>
  <c r="C46" i="20"/>
  <c r="B46" i="20"/>
  <c r="B59" i="21" s="1"/>
  <c r="J44" i="20"/>
  <c r="I58" i="21" s="1"/>
  <c r="I44" i="20"/>
  <c r="H58" i="21" s="1"/>
  <c r="C44" i="20"/>
  <c r="B44" i="20"/>
  <c r="B58" i="21" s="1"/>
  <c r="J42" i="20"/>
  <c r="I55" i="21" s="1"/>
  <c r="I42" i="20"/>
  <c r="H55" i="21" s="1"/>
  <c r="C42" i="20"/>
  <c r="B42" i="20"/>
  <c r="B55" i="21" s="1"/>
  <c r="J40" i="20"/>
  <c r="I54" i="21" s="1"/>
  <c r="I40" i="20"/>
  <c r="H54" i="21" s="1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5" i="21" s="1"/>
  <c r="I14" i="20"/>
  <c r="H15" i="21" s="1"/>
  <c r="C14" i="20"/>
  <c r="B14" i="20"/>
  <c r="B15" i="21" s="1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J8" i="20"/>
  <c r="I8" i="20"/>
  <c r="C8" i="20"/>
  <c r="B8" i="20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U12" i="19"/>
  <c r="T12" i="19"/>
  <c r="S12" i="19"/>
  <c r="R12" i="19"/>
  <c r="V11" i="19"/>
  <c r="U11" i="19"/>
  <c r="T11" i="19"/>
  <c r="S11" i="19"/>
  <c r="R11" i="19"/>
  <c r="V10" i="19"/>
  <c r="U10" i="19"/>
  <c r="T10" i="19"/>
  <c r="S10" i="19"/>
  <c r="R10" i="19"/>
  <c r="V9" i="19"/>
  <c r="U9" i="19"/>
  <c r="T9" i="19"/>
  <c r="S9" i="19"/>
  <c r="R9" i="19"/>
  <c r="V8" i="19"/>
  <c r="U8" i="19"/>
  <c r="T8" i="19"/>
  <c r="S8" i="19"/>
  <c r="R8" i="19"/>
  <c r="V7" i="19"/>
  <c r="U7" i="19"/>
  <c r="T7" i="19"/>
  <c r="S7" i="19"/>
  <c r="R7" i="19"/>
  <c r="V6" i="19"/>
  <c r="U6" i="19"/>
  <c r="T6" i="19"/>
  <c r="S6" i="19"/>
  <c r="R6" i="19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G206" i="21" s="1"/>
  <c r="U3" i="18"/>
  <c r="F206" i="21" s="1"/>
  <c r="T3" i="18"/>
  <c r="E206" i="21" s="1"/>
  <c r="S3" i="18"/>
  <c r="D206" i="21" s="1"/>
  <c r="R3" i="18"/>
  <c r="C206" i="21" s="1"/>
  <c r="V13" i="17"/>
  <c r="G199" i="21" s="1"/>
  <c r="U13" i="17"/>
  <c r="F199" i="21" s="1"/>
  <c r="T13" i="17"/>
  <c r="E199" i="21" s="1"/>
  <c r="S13" i="17"/>
  <c r="D199" i="21" s="1"/>
  <c r="R13" i="17"/>
  <c r="C199" i="21" s="1"/>
  <c r="V12" i="17"/>
  <c r="G198" i="21" s="1"/>
  <c r="U12" i="17"/>
  <c r="F198" i="21" s="1"/>
  <c r="T12" i="17"/>
  <c r="E198" i="21" s="1"/>
  <c r="S12" i="17"/>
  <c r="D198" i="21" s="1"/>
  <c r="R12" i="17"/>
  <c r="C198" i="21" s="1"/>
  <c r="V11" i="17"/>
  <c r="G197" i="21" s="1"/>
  <c r="U11" i="17"/>
  <c r="F197" i="21" s="1"/>
  <c r="T11" i="17"/>
  <c r="E197" i="21" s="1"/>
  <c r="S11" i="17"/>
  <c r="D197" i="21" s="1"/>
  <c r="R11" i="17"/>
  <c r="C197" i="21" s="1"/>
  <c r="V9" i="17"/>
  <c r="H104" i="20" s="1" a="1"/>
  <c r="U9" i="17"/>
  <c r="G104" i="20" s="1" a="1"/>
  <c r="T9" i="17"/>
  <c r="F104" i="20" s="1" a="1"/>
  <c r="S9" i="17"/>
  <c r="E104" i="20" s="1" a="1"/>
  <c r="R9" i="17"/>
  <c r="D104" i="20" s="1" a="1"/>
  <c r="V8" i="17"/>
  <c r="G195" i="21" s="1"/>
  <c r="U8" i="17"/>
  <c r="F195" i="21" s="1"/>
  <c r="T8" i="17"/>
  <c r="E195" i="21" s="1"/>
  <c r="S8" i="17"/>
  <c r="R8" i="17"/>
  <c r="V7" i="17"/>
  <c r="U7" i="17"/>
  <c r="T7" i="17"/>
  <c r="S7" i="17"/>
  <c r="R7" i="17"/>
  <c r="V6" i="17"/>
  <c r="U6" i="17"/>
  <c r="T6" i="17"/>
  <c r="S6" i="17"/>
  <c r="R6" i="17"/>
  <c r="V5" i="17"/>
  <c r="U5" i="17"/>
  <c r="T5" i="17"/>
  <c r="S5" i="17"/>
  <c r="R5" i="17"/>
  <c r="V4" i="17"/>
  <c r="U4" i="17"/>
  <c r="T4" i="17"/>
  <c r="S4" i="17"/>
  <c r="R4" i="17"/>
  <c r="V3" i="17"/>
  <c r="U3" i="17"/>
  <c r="T3" i="17"/>
  <c r="S3" i="17"/>
  <c r="R3" i="17"/>
  <c r="V12" i="15"/>
  <c r="U12" i="15"/>
  <c r="T12" i="15"/>
  <c r="S12" i="15"/>
  <c r="R12" i="15"/>
  <c r="V11" i="15"/>
  <c r="G169" i="21" s="1"/>
  <c r="U11" i="15"/>
  <c r="T11" i="15"/>
  <c r="S11" i="15"/>
  <c r="R11" i="15"/>
  <c r="V10" i="15"/>
  <c r="G168" i="21" s="1"/>
  <c r="U10" i="15"/>
  <c r="F168" i="21" s="1"/>
  <c r="T10" i="15"/>
  <c r="E168" i="21" s="1"/>
  <c r="S10" i="15"/>
  <c r="D168" i="21" s="1"/>
  <c r="R10" i="15"/>
  <c r="C168" i="21" s="1"/>
  <c r="V9" i="15"/>
  <c r="G167" i="21" s="1"/>
  <c r="U9" i="15"/>
  <c r="F167" i="21" s="1"/>
  <c r="T9" i="15"/>
  <c r="E167" i="21" s="1"/>
  <c r="S9" i="15"/>
  <c r="D167" i="21" s="1"/>
  <c r="R9" i="15"/>
  <c r="C167" i="21" s="1"/>
  <c r="V8" i="15"/>
  <c r="G166" i="21" s="1"/>
  <c r="U8" i="15"/>
  <c r="F166" i="21" s="1"/>
  <c r="T8" i="15"/>
  <c r="E166" i="21" s="1"/>
  <c r="S8" i="15"/>
  <c r="D166" i="21" s="1"/>
  <c r="R8" i="15"/>
  <c r="C166" i="21" s="1"/>
  <c r="V6" i="15"/>
  <c r="U6" i="15"/>
  <c r="T6" i="15"/>
  <c r="S6" i="15"/>
  <c r="R6" i="15"/>
  <c r="V5" i="15"/>
  <c r="G164" i="21" s="1"/>
  <c r="U5" i="15"/>
  <c r="F164" i="21" s="1"/>
  <c r="T5" i="15"/>
  <c r="E164" i="21" s="1"/>
  <c r="S5" i="15"/>
  <c r="D164" i="21" s="1"/>
  <c r="R5" i="15"/>
  <c r="C164" i="21" s="1"/>
  <c r="V3" i="15"/>
  <c r="U3" i="15"/>
  <c r="T3" i="15"/>
  <c r="S3" i="15"/>
  <c r="R3" i="15"/>
  <c r="V3" i="14"/>
  <c r="G156" i="21" s="1"/>
  <c r="U3" i="14"/>
  <c r="F156" i="21" s="1"/>
  <c r="T3" i="14"/>
  <c r="E156" i="21" s="1"/>
  <c r="S3" i="14"/>
  <c r="D156" i="21" s="1"/>
  <c r="R3" i="14"/>
  <c r="C156" i="21" s="1"/>
  <c r="V10" i="13"/>
  <c r="U10" i="13"/>
  <c r="T10" i="13"/>
  <c r="S10" i="13"/>
  <c r="R10" i="13"/>
  <c r="V9" i="13"/>
  <c r="U9" i="13"/>
  <c r="T9" i="13"/>
  <c r="S9" i="13"/>
  <c r="R9" i="13"/>
  <c r="V8" i="13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U4" i="12"/>
  <c r="T4" i="12"/>
  <c r="S4" i="12"/>
  <c r="R4" i="12"/>
  <c r="V3" i="12"/>
  <c r="U3" i="12"/>
  <c r="T3" i="12"/>
  <c r="S3" i="12"/>
  <c r="R3" i="12"/>
  <c r="V4" i="11"/>
  <c r="U4" i="11"/>
  <c r="T4" i="11"/>
  <c r="S4" i="11"/>
  <c r="R4" i="11"/>
  <c r="V3" i="11"/>
  <c r="G126" i="21" s="1"/>
  <c r="U3" i="11"/>
  <c r="F126" i="21" s="1"/>
  <c r="T3" i="11"/>
  <c r="E126" i="21" s="1"/>
  <c r="S3" i="11"/>
  <c r="D126" i="21" s="1"/>
  <c r="R3" i="11"/>
  <c r="C126" i="21" s="1"/>
  <c r="V7" i="10"/>
  <c r="H82" i="20" s="1"/>
  <c r="G119" i="21" s="1"/>
  <c r="U7" i="10"/>
  <c r="G82" i="20" s="1"/>
  <c r="F119" i="21" s="1"/>
  <c r="T7" i="10"/>
  <c r="F82" i="20" s="1"/>
  <c r="E119" i="21" s="1"/>
  <c r="S7" i="10"/>
  <c r="E82" i="20" s="1"/>
  <c r="D119" i="21" s="1"/>
  <c r="R7" i="10"/>
  <c r="D82" i="20" s="1"/>
  <c r="C119" i="21" s="1"/>
  <c r="M6" i="10"/>
  <c r="V5" i="10"/>
  <c r="H80" i="20" s="1"/>
  <c r="G118" i="21" s="1"/>
  <c r="U5" i="10"/>
  <c r="G80" i="20" s="1"/>
  <c r="F118" i="21" s="1"/>
  <c r="T5" i="10"/>
  <c r="F80" i="20" s="1"/>
  <c r="E118" i="21" s="1"/>
  <c r="S5" i="10"/>
  <c r="E80" i="20" s="1"/>
  <c r="D118" i="21" s="1"/>
  <c r="R5" i="10"/>
  <c r="D80" i="20" s="1"/>
  <c r="C118" i="21" s="1"/>
  <c r="M4" i="10"/>
  <c r="V3" i="10"/>
  <c r="H78" i="20" s="1"/>
  <c r="G117" i="21" s="1"/>
  <c r="U3" i="10"/>
  <c r="G78" i="20" s="1"/>
  <c r="F117" i="21" s="1"/>
  <c r="T3" i="10"/>
  <c r="F78" i="20" s="1"/>
  <c r="E117" i="21" s="1"/>
  <c r="S3" i="10"/>
  <c r="E78" i="20" s="1"/>
  <c r="D117" i="21" s="1"/>
  <c r="R3" i="10"/>
  <c r="D78" i="20" s="1"/>
  <c r="C117" i="21" s="1"/>
  <c r="V18" i="9"/>
  <c r="G111" i="21" s="1"/>
  <c r="U18" i="9"/>
  <c r="F111" i="21" s="1"/>
  <c r="T18" i="9"/>
  <c r="E111" i="21" s="1"/>
  <c r="S18" i="9"/>
  <c r="D111" i="21" s="1"/>
  <c r="R18" i="9"/>
  <c r="C111" i="21" s="1"/>
  <c r="V17" i="9"/>
  <c r="G110" i="21" s="1"/>
  <c r="U17" i="9"/>
  <c r="F110" i="21" s="1"/>
  <c r="T17" i="9"/>
  <c r="E110" i="21" s="1"/>
  <c r="S17" i="9"/>
  <c r="D110" i="21" s="1"/>
  <c r="R17" i="9"/>
  <c r="C110" i="21" s="1"/>
  <c r="V15" i="9"/>
  <c r="H72" i="20" s="1"/>
  <c r="G109" i="21" s="1"/>
  <c r="U15" i="9"/>
  <c r="G72" i="20" s="1"/>
  <c r="F109" i="21" s="1"/>
  <c r="T15" i="9"/>
  <c r="F72" i="20" s="1"/>
  <c r="E109" i="21" s="1"/>
  <c r="S15" i="9"/>
  <c r="E72" i="20" s="1"/>
  <c r="D109" i="21" s="1"/>
  <c r="R15" i="9"/>
  <c r="D72" i="20" s="1"/>
  <c r="C109" i="21" s="1"/>
  <c r="V14" i="9"/>
  <c r="G108" i="21" s="1"/>
  <c r="U14" i="9"/>
  <c r="F108" i="21" s="1"/>
  <c r="T14" i="9"/>
  <c r="E108" i="21" s="1"/>
  <c r="S14" i="9"/>
  <c r="D108" i="21" s="1"/>
  <c r="R14" i="9"/>
  <c r="C108" i="21" s="1"/>
  <c r="V13" i="9"/>
  <c r="G107" i="21" s="1"/>
  <c r="U13" i="9"/>
  <c r="F107" i="21" s="1"/>
  <c r="T13" i="9"/>
  <c r="E107" i="21" s="1"/>
  <c r="S13" i="9"/>
  <c r="D107" i="21" s="1"/>
  <c r="R13" i="9"/>
  <c r="C107" i="21" s="1"/>
  <c r="M12" i="9"/>
  <c r="V11" i="9"/>
  <c r="H70" i="20" s="1"/>
  <c r="G106" i="21" s="1"/>
  <c r="U11" i="9"/>
  <c r="G70" i="20" s="1"/>
  <c r="F106" i="21" s="1"/>
  <c r="T11" i="9"/>
  <c r="F70" i="20" s="1"/>
  <c r="E106" i="21" s="1"/>
  <c r="S11" i="9"/>
  <c r="E70" i="20" s="1"/>
  <c r="D106" i="21" s="1"/>
  <c r="R11" i="9"/>
  <c r="D70" i="20" s="1"/>
  <c r="C106" i="21" s="1"/>
  <c r="V9" i="9"/>
  <c r="H68" i="20" s="1"/>
  <c r="G105" i="21" s="1"/>
  <c r="U9" i="9"/>
  <c r="G68" i="20" s="1"/>
  <c r="F105" i="21" s="1"/>
  <c r="T9" i="9"/>
  <c r="F68" i="20" s="1"/>
  <c r="E105" i="21" s="1"/>
  <c r="S9" i="9"/>
  <c r="E68" i="20" s="1"/>
  <c r="D105" i="21" s="1"/>
  <c r="R9" i="9"/>
  <c r="D68" i="20" s="1"/>
  <c r="C105" i="21" s="1"/>
  <c r="M8" i="9"/>
  <c r="V7" i="9"/>
  <c r="H66" i="20" s="1"/>
  <c r="G104" i="21" s="1"/>
  <c r="U7" i="9"/>
  <c r="G66" i="20" s="1"/>
  <c r="F104" i="21" s="1"/>
  <c r="T7" i="9"/>
  <c r="F66" i="20" s="1"/>
  <c r="E104" i="21" s="1"/>
  <c r="S7" i="9"/>
  <c r="E66" i="20" s="1"/>
  <c r="D104" i="21" s="1"/>
  <c r="R7" i="9"/>
  <c r="D66" i="20" s="1"/>
  <c r="C104" i="21" s="1"/>
  <c r="M6" i="9"/>
  <c r="V5" i="9"/>
  <c r="H64" i="20" s="1"/>
  <c r="G103" i="21" s="1"/>
  <c r="U5" i="9"/>
  <c r="G64" i="20" s="1"/>
  <c r="F103" i="21" s="1"/>
  <c r="T5" i="9"/>
  <c r="F64" i="20" s="1"/>
  <c r="E103" i="21" s="1"/>
  <c r="S5" i="9"/>
  <c r="E64" i="20" s="1"/>
  <c r="D103" i="21" s="1"/>
  <c r="R5" i="9"/>
  <c r="D64" i="20" s="1"/>
  <c r="C103" i="21" s="1"/>
  <c r="V3" i="9"/>
  <c r="H62" i="20" s="1"/>
  <c r="G102" i="21" s="1"/>
  <c r="U3" i="9"/>
  <c r="G62" i="20" s="1"/>
  <c r="F102" i="21" s="1"/>
  <c r="T3" i="9"/>
  <c r="F62" i="20" s="1"/>
  <c r="E102" i="21" s="1"/>
  <c r="S3" i="9"/>
  <c r="E62" i="20" s="1"/>
  <c r="D102" i="21" s="1"/>
  <c r="R3" i="9"/>
  <c r="D62" i="20" s="1"/>
  <c r="C102" i="21" s="1"/>
  <c r="V10" i="8"/>
  <c r="G95" i="21" s="1"/>
  <c r="U10" i="8"/>
  <c r="F95" i="21" s="1"/>
  <c r="T10" i="8"/>
  <c r="E95" i="21" s="1"/>
  <c r="S10" i="8"/>
  <c r="D95" i="21" s="1"/>
  <c r="R10" i="8"/>
  <c r="C95" i="21" s="1"/>
  <c r="M9" i="8"/>
  <c r="V8" i="8"/>
  <c r="H56" i="20" s="1"/>
  <c r="G94" i="21" s="1"/>
  <c r="U8" i="8"/>
  <c r="G56" i="20" s="1"/>
  <c r="F94" i="21" s="1"/>
  <c r="T8" i="8"/>
  <c r="F56" i="20" s="1"/>
  <c r="E94" i="21" s="1"/>
  <c r="S8" i="8"/>
  <c r="E56" i="20" s="1"/>
  <c r="D94" i="21" s="1"/>
  <c r="R8" i="8"/>
  <c r="D56" i="20" s="1"/>
  <c r="C94" i="21" s="1"/>
  <c r="V6" i="8"/>
  <c r="H54" i="20" s="1"/>
  <c r="G93" i="21" s="1"/>
  <c r="U6" i="8"/>
  <c r="G54" i="20" s="1"/>
  <c r="F93" i="21" s="1"/>
  <c r="T6" i="8"/>
  <c r="F54" i="20" s="1"/>
  <c r="E93" i="21" s="1"/>
  <c r="S6" i="8"/>
  <c r="E54" i="20" s="1"/>
  <c r="D93" i="21" s="1"/>
  <c r="R6" i="8"/>
  <c r="D54" i="20" s="1"/>
  <c r="C93" i="21" s="1"/>
  <c r="V4" i="8"/>
  <c r="H52" i="20" s="1"/>
  <c r="G92" i="21" s="1"/>
  <c r="U4" i="8"/>
  <c r="G52" i="20" s="1"/>
  <c r="F92" i="21" s="1"/>
  <c r="T4" i="8"/>
  <c r="F52" i="20" s="1"/>
  <c r="E92" i="21" s="1"/>
  <c r="S4" i="8"/>
  <c r="E52" i="20" s="1"/>
  <c r="D92" i="21" s="1"/>
  <c r="R4" i="8"/>
  <c r="D52" i="20" s="1"/>
  <c r="C92" i="21" s="1"/>
  <c r="V3" i="8"/>
  <c r="G91" i="21" s="1"/>
  <c r="U3" i="8"/>
  <c r="F91" i="21" s="1"/>
  <c r="T3" i="8"/>
  <c r="E91" i="21" s="1"/>
  <c r="S3" i="8"/>
  <c r="D91" i="21" s="1"/>
  <c r="R3" i="8"/>
  <c r="C91" i="21" s="1"/>
  <c r="V8" i="7"/>
  <c r="G85" i="21" s="1"/>
  <c r="U8" i="7"/>
  <c r="F85" i="21" s="1"/>
  <c r="T8" i="7"/>
  <c r="E85" i="21" s="1"/>
  <c r="S8" i="7"/>
  <c r="D85" i="21" s="1"/>
  <c r="R8" i="7"/>
  <c r="C85" i="21" s="1"/>
  <c r="V7" i="7"/>
  <c r="G84" i="21" s="1"/>
  <c r="U7" i="7"/>
  <c r="F84" i="21" s="1"/>
  <c r="T7" i="7"/>
  <c r="E84" i="21" s="1"/>
  <c r="S7" i="7"/>
  <c r="D84" i="21" s="1"/>
  <c r="R7" i="7"/>
  <c r="C84" i="21" s="1"/>
  <c r="V6" i="7"/>
  <c r="G83" i="21" s="1"/>
  <c r="U6" i="7"/>
  <c r="F83" i="21" s="1"/>
  <c r="T6" i="7"/>
  <c r="E83" i="21" s="1"/>
  <c r="S6" i="7"/>
  <c r="D83" i="21" s="1"/>
  <c r="R6" i="7"/>
  <c r="C83" i="21" s="1"/>
  <c r="V5" i="7"/>
  <c r="G82" i="21" s="1"/>
  <c r="U5" i="7"/>
  <c r="F82" i="21" s="1"/>
  <c r="T5" i="7"/>
  <c r="E82" i="21" s="1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D74" i="21" s="1"/>
  <c r="R5" i="6"/>
  <c r="C74" i="21" s="1"/>
  <c r="V4" i="6"/>
  <c r="G73" i="21" s="1"/>
  <c r="U4" i="6"/>
  <c r="F73" i="21" s="1"/>
  <c r="T4" i="6"/>
  <c r="E73" i="21" s="1"/>
  <c r="S4" i="6"/>
  <c r="D73" i="21" s="1"/>
  <c r="R4" i="6"/>
  <c r="C73" i="21" s="1"/>
  <c r="V3" i="6"/>
  <c r="G72" i="21" s="1"/>
  <c r="U3" i="6"/>
  <c r="F72" i="21" s="1"/>
  <c r="T3" i="6"/>
  <c r="E72" i="21" s="1"/>
  <c r="S3" i="6"/>
  <c r="D72" i="21" s="1"/>
  <c r="R3" i="6"/>
  <c r="C72" i="21" s="1"/>
  <c r="V4" i="5"/>
  <c r="G66" i="21" s="1"/>
  <c r="U4" i="5"/>
  <c r="F66" i="21" s="1"/>
  <c r="T4" i="5"/>
  <c r="E66" i="21" s="1"/>
  <c r="S4" i="5"/>
  <c r="D66" i="21" s="1"/>
  <c r="R4" i="5"/>
  <c r="C66" i="21" s="1"/>
  <c r="V3" i="5"/>
  <c r="G65" i="21" s="1"/>
  <c r="U3" i="5"/>
  <c r="F65" i="21" s="1"/>
  <c r="T3" i="5"/>
  <c r="E65" i="21" s="1"/>
  <c r="S3" i="5"/>
  <c r="D65" i="21" s="1"/>
  <c r="R3" i="5"/>
  <c r="C65" i="21" s="1"/>
  <c r="V14" i="4"/>
  <c r="H46" i="20" s="1"/>
  <c r="G59" i="21" s="1"/>
  <c r="U14" i="4"/>
  <c r="G46" i="20" s="1"/>
  <c r="F59" i="21" s="1"/>
  <c r="T14" i="4"/>
  <c r="F46" i="20" s="1"/>
  <c r="E59" i="21" s="1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D44" i="20" s="1"/>
  <c r="C58" i="21" s="1"/>
  <c r="V11" i="4"/>
  <c r="U11" i="4"/>
  <c r="T11" i="4"/>
  <c r="S11" i="4"/>
  <c r="R11" i="4"/>
  <c r="V10" i="4"/>
  <c r="U10" i="4"/>
  <c r="T10" i="4"/>
  <c r="S10" i="4"/>
  <c r="R10" i="4"/>
  <c r="M9" i="4"/>
  <c r="R8" i="4" s="1"/>
  <c r="D42" i="20" s="1"/>
  <c r="C55" i="21" s="1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U3" i="4"/>
  <c r="T3" i="4"/>
  <c r="S3" i="4"/>
  <c r="R3" i="4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U29" i="1"/>
  <c r="T29" i="1"/>
  <c r="S29" i="1"/>
  <c r="R29" i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D20" i="2" l="1"/>
  <c r="B71" i="20"/>
  <c r="B70" i="20"/>
  <c r="B106" i="21" s="1"/>
  <c r="J105" i="20"/>
  <c r="J104" i="20"/>
  <c r="I196" i="21" s="1"/>
  <c r="I105" i="20"/>
  <c r="I104" i="20"/>
  <c r="H196" i="21" s="1"/>
  <c r="H105" i="20"/>
  <c r="H104" i="20"/>
  <c r="G196" i="21" s="1"/>
  <c r="G105" i="20"/>
  <c r="G104" i="20"/>
  <c r="F196" i="21" s="1"/>
  <c r="F105" i="20"/>
  <c r="F104" i="20"/>
  <c r="E196" i="21" s="1"/>
  <c r="E105" i="20"/>
  <c r="E104" i="20"/>
  <c r="D196" i="21" s="1"/>
  <c r="D105" i="20"/>
  <c r="D104" i="20"/>
  <c r="C196" i="21" s="1"/>
  <c r="B105" i="20"/>
  <c r="B104" i="20"/>
  <c r="B196" i="21" s="1"/>
  <c r="J99" i="20"/>
  <c r="J98" i="20"/>
  <c r="I181" i="21" s="1"/>
  <c r="I99" i="20"/>
  <c r="I98" i="20"/>
  <c r="H181" i="21" s="1"/>
  <c r="B99" i="20"/>
  <c r="B98" i="20"/>
  <c r="B181" i="21" s="1"/>
  <c r="J91" i="20"/>
  <c r="J90" i="20"/>
  <c r="I165" i="21" s="1"/>
  <c r="I91" i="20"/>
  <c r="I90" i="20"/>
  <c r="H165" i="21" s="1"/>
  <c r="H91" i="20"/>
  <c r="H90" i="20"/>
  <c r="G165" i="21" s="1"/>
  <c r="G91" i="20"/>
  <c r="G90" i="20"/>
  <c r="F165" i="21" s="1"/>
  <c r="F91" i="20"/>
  <c r="F90" i="20"/>
  <c r="E165" i="21" s="1"/>
  <c r="E91" i="20"/>
  <c r="E90" i="20"/>
  <c r="D165" i="21" s="1"/>
  <c r="D91" i="20"/>
  <c r="D90" i="20"/>
  <c r="C165" i="21" s="1"/>
  <c r="B91" i="20"/>
  <c r="B90" i="20"/>
  <c r="B165" i="21" s="1"/>
  <c r="H89" i="20"/>
  <c r="H88" i="20"/>
  <c r="G163" i="21" s="1"/>
  <c r="G89" i="20"/>
  <c r="G88" i="20"/>
  <c r="F163" i="21" s="1"/>
  <c r="F89" i="20"/>
  <c r="F88" i="20"/>
  <c r="E163" i="21" s="1"/>
  <c r="E89" i="20"/>
  <c r="E88" i="20"/>
  <c r="D163" i="21" s="1"/>
  <c r="D89" i="20"/>
  <c r="D88" i="20"/>
  <c r="C163" i="21" s="1"/>
  <c r="B89" i="20"/>
  <c r="B88" i="20"/>
  <c r="B163" i="21" s="1"/>
  <c r="B69" i="20"/>
  <c r="B68" i="20"/>
  <c r="B105" i="21" s="1"/>
  <c r="B67" i="20"/>
  <c r="B66" i="20"/>
  <c r="B104" i="21" s="1"/>
  <c r="B65" i="20"/>
  <c r="B64" i="20"/>
  <c r="B103" i="21" s="1"/>
  <c r="B63" i="20"/>
  <c r="B62" i="20"/>
  <c r="B102" i="21" s="1"/>
  <c r="H11" i="21"/>
  <c r="H10" i="21"/>
  <c r="J89" i="20"/>
  <c r="J88" i="20"/>
  <c r="I163" i="21" s="1"/>
  <c r="I88" i="20"/>
  <c r="H163" i="21" s="1"/>
  <c r="I89" i="20"/>
  <c r="H22" i="20"/>
  <c r="G27" i="21"/>
  <c r="G22" i="20"/>
  <c r="F27" i="21"/>
  <c r="F22" i="20"/>
  <c r="E27" i="21"/>
  <c r="D27" i="21"/>
  <c r="E22" i="20"/>
  <c r="C27" i="21"/>
  <c r="D22" i="20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9" i="20"/>
  <c r="D98" i="20"/>
  <c r="C181" i="21" s="1"/>
  <c r="H96" i="20" a="1"/>
  <c r="H96" i="20" s="1"/>
  <c r="G177" i="21"/>
  <c r="F177" i="21"/>
  <c r="G96" i="20" a="1"/>
  <c r="G96" i="20" s="1"/>
  <c r="E177" i="21"/>
  <c r="F96" i="20" a="1"/>
  <c r="F96" i="20" s="1"/>
  <c r="D177" i="21"/>
  <c r="E96" i="20" a="1"/>
  <c r="E96" i="20" s="1"/>
  <c r="C177" i="21"/>
  <c r="D96" i="20" a="1"/>
  <c r="D9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<sst xmlns="http://schemas.openxmlformats.org/spreadsheetml/2006/main" count="2083" uniqueCount="786">
  <si>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</si>
  <si>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</si>
  <si>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</si>
  <si>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</si>
  <si>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</si>
  <si>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</si>
  <si>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</si>
  <si>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</si>
  <si>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</si>
  <si>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</si>
  <si>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</si>
  <si>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</si>
  <si>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</si>
  <si>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</si>
  <si>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</si>
  <si>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</si>
  <si>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</si>
  <si>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</si>
  <si>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</si>
  <si>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</si>
  <si>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</si>
  <si>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</si>
  <si>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</si>
  <si>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</si>
  <si>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</si>
  <si>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</si>
  <si>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</si>
  <si>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</si>
  <si>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</si>
  <si>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</si>
  <si>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</si>
  <si>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En la Facultad de Ingeniería, involucrar a 8 estudiantes en actividades comunitarias, proyectos de intervención social y programas extracurriculares orientados a la construcción de paz de manera acumulada entre 2027 y 2030.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</si>
  <si>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</si>
  <si>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</si>
  <si>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</si>
  <si>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</si>
  <si>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</si>
  <si>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</si>
  <si>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En la Facultad de Ingeniería, lograr que 100% de los espacios académicos, realicen actividades culturales con temáticas de igualdad de género y cultura de paz, para 2030.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</si>
  <si>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</si>
  <si>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</si>
  <si>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</si>
  <si>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En la Facultad de Ingeniería, realizar una campaña anuales para difundir los protocolos institucionales de atención y prevención de violencias a toda la comunidad universitaria cada año de 2027 a 2030.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</si>
  <si>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</si>
  <si>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</si>
  <si>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</si>
  <si>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</si>
  <si>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</si>
  <si>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</si>
  <si>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</si>
  <si>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</si>
  <si>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</si>
  <si>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</si>
  <si>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</si>
  <si>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</si>
  <si>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</si>
  <si>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</si>
  <si>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</si>
  <si>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</si>
  <si>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</si>
  <si>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</si>
  <si>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</si>
  <si>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</si>
  <si>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</si>
  <si>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</si>
  <si>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</si>
  <si>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</si>
  <si>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</si>
  <si>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</si>
  <si>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</si>
  <si>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En la Facultad de Ingeniería, incorporar contenidos temáticos o actividades académicas sobre los criterios transversales del SEAES, en un plan de estudios reestructurado, de manera acumulada entre 2027 y 2030.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</si>
  <si>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</si>
  <si>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</si>
  <si>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</si>
  <si>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</si>
  <si>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En la Facultad de Ingeniería, contar con el acervo de 3 unidades de aprendizaje de estudios profesionales apegadas a las referencias documentales básicas de manera acumulada entre 2027 y 2030.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</si>
  <si>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</si>
  <si>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</si>
  <si>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</si>
  <si>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En la Facultad de Ingeniería, lograr que 80% de los programas educativos de estudios profesionales evaluables cuenten con reconocimiento por su excelencia, para 2030.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</si>
  <si>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</si>
  <si>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</si>
  <si>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</si>
  <si>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</si>
  <si>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</si>
  <si>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En la Facultad de Ingeniería, lograr que 92.91% de la matrícula en programas educativos de estudios profesionales evaluables, curse en programas educativos reconocidos por su excelencia, para 2030.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</si>
  <si>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</si>
  <si>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</si>
  <si>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</si>
  <si>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</si>
  <si>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</si>
  <si>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</si>
  <si>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</si>
  <si>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En la Facultad de Ingeniería, lograr que 71.57% de los sustentantes que presentan el EGEL obtengan testimonios de desempeño sobresaliente o satisfactorio, para 2030.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</si>
  <si>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</si>
  <si>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</si>
  <si>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</si>
  <si>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</si>
  <si>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</si>
  <si>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En la Facultad de Ingeniería, implementar un programa de preparación para EGEL cada año de 2027 a 2030.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</si>
  <si>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</si>
  <si>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</si>
  <si>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</si>
  <si>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En la Facultad de Ingeniería, lograr que 10 estudiantes de estudios profesionales participen en movilidad intrainstitucional de manera acumulada entre 2027 y 2030.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</si>
  <si>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</si>
  <si>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</si>
  <si>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</si>
  <si>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</si>
  <si>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</si>
  <si>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</si>
  <si>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</si>
  <si>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</si>
  <si>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</si>
  <si>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En la Facultad de Ingeniería, lograr que 19 estudiantes de estudios profesionales participen en movilidad nacional e internacional de manera acumulada entre 2027 y 2030.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</si>
  <si>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</si>
  <si>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</si>
  <si>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</si>
  <si>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En la Facultad de Ingeniería, 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</si>
  <si>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</si>
  <si>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</si>
  <si>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</si>
  <si>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En la Facultad de Ingeniería, contar con 2 manuales de prácticas apegados a los indicadores del Sistema para Evaluar la Calidad de Medios Educativos cada año de 2027 a 2030.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</si>
  <si>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</si>
  <si>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</si>
  <si>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</si>
  <si>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En la Facultad de Ingeniería, lograr que 80% de las GEI disponibles en SEDUCA sean utilizadas, para 2030.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</si>
  <si>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</si>
  <si>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</si>
  <si>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</si>
  <si>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</si>
  <si>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</si>
  <si>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En la Facultad de Ingeniería, incrementar a 946 el número de estudiantes de estudios profesionales en la renovada plataforma seduca, a más tardar en 2029.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</si>
  <si>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</si>
  <si>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</si>
  <si>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</si>
  <si>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En la Facultad de Ingeniería, desarrollar 9 actividades académicas de educación continua cada año de 2027 a 2030.</t>
  </si>
  <si>
    <t>Desarrollar actividades académicas de educación continua</t>
  </si>
  <si>
    <t>Certificar en una segunda lengua a 720 estudiantes de estudios profesionales anualmente</t>
  </si>
  <si>
    <t>ACT-PRDI-NS-2205</t>
  </si>
  <si>
    <t>En la Facultad de Ingeniería, certificar en una segunda lengua a 14 estudiantes de estudios profesionales cada año de 2027 a 2030.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</si>
  <si>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</si>
  <si>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</si>
  <si>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</si>
  <si>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</si>
  <si>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</si>
  <si>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</si>
  <si>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</si>
  <si>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</si>
  <si>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</si>
  <si>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</si>
  <si>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</si>
  <si>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</si>
  <si>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</si>
  <si>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</si>
  <si>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</si>
  <si>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En la Facultad de Ingeniería, implementar semestralmente 2 programas de fomento a la titulación entre 2027 y 2030.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</si>
  <si>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</si>
  <si>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</si>
  <si>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</si>
  <si>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</si>
  <si>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</si>
  <si>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</si>
  <si>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</si>
  <si>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</si>
  <si>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</si>
  <si>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</si>
  <si>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</si>
  <si>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</si>
  <si>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</si>
  <si>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</si>
  <si>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</si>
  <si>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</si>
  <si>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</si>
  <si>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En la Facultad de Ingeniería, otorgar cada año de 2027 a 2030 691 becas, apoyos o estímulos institucionales a estudiantes de Estudios Profesionales.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</si>
  <si>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</si>
  <si>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</si>
  <si>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</si>
  <si>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En la Facultad de Ingeniería, lograr que 97.99% del total de estudiantes activos de Estudios Profesionales cuenten con servicios de salud para 2030.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</si>
  <si>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</si>
  <si>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</si>
  <si>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</si>
  <si>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</si>
  <si>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</si>
  <si>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</si>
  <si>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</si>
  <si>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</si>
  <si>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</si>
  <si>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</si>
  <si>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</si>
  <si>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</si>
  <si>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</si>
  <si>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En la Facultad de Ingeniería, realizar un evento de promoción y difusión en apoyo al desarrollo profesional para el empleo y la inserción laboral, de manera acumulada entre 2027 y 2030.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</si>
  <si>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</si>
  <si>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</si>
  <si>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</si>
  <si>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</si>
  <si>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</si>
  <si>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En la Facultad de Ingeniería, realizar una intervención de impacto anual en espacios académicos para fortalecer la vinculación colaborativa entre egresados y estudiantes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</si>
  <si>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</si>
  <si>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</si>
  <si>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</si>
  <si>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</si>
  <si>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</si>
  <si>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</si>
  <si>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</si>
  <si>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</si>
  <si>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</si>
  <si>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</si>
  <si>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</si>
  <si>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</si>
  <si>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</si>
  <si>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</si>
  <si>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</si>
  <si>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</si>
  <si>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</si>
  <si>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</si>
  <si>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</si>
  <si>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</si>
  <si>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</si>
  <si>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</si>
  <si>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</si>
  <si>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</si>
  <si>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</si>
  <si>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</si>
  <si>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</si>
  <si>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</si>
  <si>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</si>
  <si>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En la Facultad de Ingeniería, contar con 5 estudiantes de estudios avanzados participantes en estancias cortas o movilidad académica, a más tardar en 2029.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</si>
  <si>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</si>
  <si>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</si>
  <si>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</si>
  <si>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</si>
  <si>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En la Facultad de Ingeniería, contar 80 alumnos en estudios avanzados, a más tardar en 2029.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</si>
  <si>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</si>
  <si>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</si>
  <si>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</si>
  <si>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</si>
  <si>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</si>
  <si>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En la Facultad de Ingeniería, ofertar 1 nuevo programa de estudios avanzados o diplomado superior en los CU y UAP vinculado con entidades de gobierno o industria, cada año de 2027 a 2030.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</si>
  <si>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</si>
  <si>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</si>
  <si>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</si>
  <si>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En la Facultad de Ingeniería, registrar un protocolo de investigación de alumnos de estudios avanzados con temáticas vinculadas a la Agenda Estratégica de Investigación, cada año de 2027 a 2030.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</si>
  <si>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</si>
  <si>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</si>
  <si>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</si>
  <si>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En la Facultad de Ingeniería, generar protocolos de acción para incrementar la tasa de graduación y la eficiencia terminal en un espacio académicos, en 2026 entre 2027 y 2030.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</si>
  <si>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</si>
  <si>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</si>
  <si>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</si>
  <si>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En la Facultad de Ingeniería, incrementar a 22 graduados de estudios avanzados, a más tardar en 2029.</t>
  </si>
  <si>
    <t>Incrementar graduados de estudios avanzados</t>
  </si>
  <si>
    <t>Incrementar a 17.56% la graduación de estudios avanzados por la opción de trabajo terminal de grado, a 2029</t>
  </si>
  <si>
    <t>IND-PRDI-365</t>
  </si>
  <si>
    <t>En la Facultad de Ingeniería, incrementar a 18.18% la graduación de estudios avanzados por la opción de trabajo terminal de grado, para 2030.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</si>
  <si>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</si>
  <si>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</si>
  <si>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</si>
  <si>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</si>
  <si>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</si>
  <si>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</si>
  <si>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</si>
  <si>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</si>
  <si>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</si>
  <si>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</si>
  <si>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</si>
  <si>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</si>
  <si>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</si>
  <si>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</si>
  <si>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</si>
  <si>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</si>
  <si>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</si>
  <si>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</si>
  <si>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</si>
  <si>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</si>
  <si>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En la Facultad de Ingeniería, mantener el 49.3% de los PTC con participación en redes con pares extranjeros, cada año de 2027 a 2030.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</si>
  <si>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</si>
  <si>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</si>
  <si>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</si>
  <si>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</si>
  <si>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</si>
  <si>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En la Facultad de Ingeniería, mantener 49.3% de los PTC que participan en redes nacionales, cada año de 2027 a 2030.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</si>
  <si>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</si>
  <si>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</si>
  <si>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</si>
  <si>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</si>
  <si>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</si>
  <si>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</si>
  <si>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En la Facultad de Ingeniería, atender las necesidades prioritarias de mantenimiento, equipamiento y medidas de seguridad de 3 laboratorios de investigación, a más tardar en 2029.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</si>
  <si>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</si>
  <si>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</si>
  <si>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</si>
  <si>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En la Facultad de Ingeniería, promover la participación en una convocatoria externa de proyectos de investigación, cada año de 2027 a 2030.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</si>
  <si>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</si>
  <si>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</si>
  <si>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</si>
  <si>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En la Facultad de Ingeniería, contar con 20% de los proyectos de investigación en DT e innovación que cuenten con un plan de transferencia, innovación o impacto social documentado, para 2030.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</si>
  <si>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</si>
  <si>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</si>
  <si>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</si>
  <si>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</si>
  <si>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</si>
  <si>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En la Facultad de Ingeniería, contar con 53.66% de producción científica con sentido social, cada año de 2027 a 2030.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</si>
  <si>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</si>
  <si>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</si>
  <si>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</si>
  <si>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</si>
  <si>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</si>
  <si>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</si>
  <si>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</si>
  <si>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</si>
  <si>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</si>
  <si>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En la Facultad de Ingeniería, contar con 5 expedientes, registros y patentes ante el IMPI, a más tardar en 2029.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</si>
  <si>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</si>
  <si>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</si>
  <si>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</si>
  <si>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</si>
  <si>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En la Facultad de Ingeniería, capacitar a 2 miembros de la comunidad universitaria en materia de propiedad intelectual y gestión de activos de conocimiento, cada año de 2027 a 2030.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</si>
  <si>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</si>
  <si>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</si>
  <si>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</si>
  <si>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</si>
  <si>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</si>
  <si>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</si>
  <si>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</si>
  <si>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En la Facultad de Ingeniería, realizar un programa de sostenibilidad y fortalecimiento del Acceso Abierto no comercial para las revistas científicas editadas en la Universidad, cada año de 2027 a 2030.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</si>
  <si>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</si>
  <si>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</si>
  <si>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</si>
  <si>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</si>
  <si>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En la Facultad de Ingeniería, capacitar a 19 miembros de la comunidad universitaria en Ciencia Abierta, cada año de 2027 a 2030.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</si>
  <si>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</si>
  <si>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</si>
  <si>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</si>
  <si>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En la Facultad de Ingeniería, realizar una evaluación de la calidad, criterios y políticas de Acceso Abierto Diamante de las publicaciones periódicas científicas institucionales, cada año de 2027 a 2030.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</si>
  <si>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</si>
  <si>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</si>
  <si>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</si>
  <si>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</si>
  <si>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</si>
  <si>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</si>
  <si>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</si>
  <si>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En la Facultad de Ingeniería, abrir 16 talleres culturales cada año de 2027 a 2030 en beneficio de la colectividad universitaria de nivel superior.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</si>
  <si>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</si>
  <si>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</si>
  <si>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</si>
  <si>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</si>
  <si>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En la Facultad de Ingeniería, realizar 16 presentaciones artísticas cada año de 2027 a 2030.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</si>
  <si>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</si>
  <si>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</si>
  <si>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</si>
  <si>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En la Facultad de Ingeniería, organizar un programa de fortalecimiento al talento audiovisual para desarrollar la creatividad cultural de los universitarios, de manera acumulada entre 2027 y 2030.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</si>
  <si>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</si>
  <si>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</si>
  <si>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</si>
  <si>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</si>
  <si>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</si>
  <si>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En la Facultad de Ingeniería, organizar un programa audiovisuales vanguardistas que fomenten la innovación cultural de manera acumulada entre 2027 y 2030.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</si>
  <si>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</si>
  <si>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</si>
  <si>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</si>
  <si>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En la Facultad de Ingeniería, realizar, un programa artísticos que contribuyan al fortalecimiento cultural de la comunidad universitaria cada año de 2027 a 2030.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</si>
  <si>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</si>
  <si>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</si>
  <si>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</si>
  <si>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En la Facultad de Ingeniería, realizar 1 festival cultural que reúna a los talentos de distintos talleres y espacios académicos cada año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</si>
  <si>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</si>
  <si>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</si>
  <si>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</si>
  <si>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</si>
  <si>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</si>
  <si>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</si>
  <si>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</si>
  <si>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En la Facultad de Ingeniería, organizar cada año de 2027 a 2030 un evento regionales que promuevan el bienestar, el autocuidado y la actividad física responsable.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</si>
  <si>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</si>
  <si>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</si>
  <si>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</si>
  <si>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</si>
  <si>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En la Facultad de Ingeniería, mantener cada año de 2027 a 2030 la participación de 40.97% del personal académico en actividades de cultura física.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</si>
  <si>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</si>
  <si>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</si>
  <si>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</si>
  <si>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</si>
  <si>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</si>
  <si>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En la Facultad de Ingeniería, lograr que 30% del personal administrativo participe en actividades de cultura física, cada año de 2027 a 2030.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</si>
  <si>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</si>
  <si>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</si>
  <si>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</si>
  <si>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</si>
  <si>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</si>
  <si>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En la Facultad de Ingeniería, lograr cada año de 2027 a 2030 que 50% de estudiantes del nivel superior participen en actividades de cultura física.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</si>
  <si>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</si>
  <si>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</si>
  <si>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</si>
  <si>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</si>
  <si>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</si>
  <si>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</si>
  <si>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</si>
  <si>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En la Facultad de Ingeniería, contar con la participación cada año de 2027 a 2030 de 6 deportistas universitarios para impulsar su talento competitivo a nivel estatal, nacional e internacional.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</si>
  <si>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</si>
  <si>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</si>
  <si>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</si>
  <si>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</si>
  <si>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</si>
  <si>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</si>
  <si>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</si>
  <si>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En la Facultad de Ingeniería, lograr para 2030 que 64.93% del personal académico de nivel superior participe en actividades de formación.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</si>
  <si>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</si>
  <si>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</si>
  <si>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</si>
  <si>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</si>
  <si>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</si>
  <si>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</si>
  <si>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En la Facultad de Ingeniería, actualizar cada año de 2027 a 2030 a 25% del personal académico del nivel superior en conocimientos propios de la disciplina que enseñan.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</si>
  <si>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</si>
  <si>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</si>
  <si>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</si>
  <si>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</si>
  <si>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</si>
  <si>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En la Facultad de Ingeniería, lograr que 50% de personal académico de nivel superior se capacite en el desarrollo de competencias didácticas y digitales para 2030.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</si>
  <si>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</si>
  <si>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</si>
  <si>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</si>
  <si>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</si>
  <si>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En la Facultad de Ingeniería, capacitar a 100% del personal académico en el nuevo modelo educativo durante la administración para 2030.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</si>
  <si>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</si>
  <si>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</si>
  <si>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</si>
  <si>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</si>
  <si>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</si>
  <si>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En la Facultad de Ingeniería, brindar capacitación en temas transversales a 25% del personal académico de nivel superior cada año de 2027 a 2030.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</si>
  <si>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</si>
  <si>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</si>
  <si>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</si>
  <si>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</si>
  <si>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</si>
  <si>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</si>
  <si>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En la Facultad de Ingeniería, lograr la certificación internacional en una segunda lengua en nivel C1 de cuatro habilidades de 7 profesores de lengua de estudios profesionales de manera acumulada entre 2027 y 2030.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</si>
  <si>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</si>
  <si>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</si>
  <si>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</si>
  <si>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</si>
  <si>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</si>
  <si>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En la Facultad de Ingeniería, contar con 13 PTC en el SNII a más tardar en 2029.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</si>
  <si>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</si>
  <si>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</si>
  <si>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</si>
  <si>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</si>
  <si>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En la Facultad de Ingeniería, alcanzar 74.65% del profesorado de tiempo completo (PTC) con Perfil PRODEP, para 2030.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</si>
  <si>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</si>
  <si>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</si>
  <si>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</si>
  <si>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</si>
  <si>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</si>
  <si>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En la Facultad de Ingeniería, lograr una persona participante del personal académico de Estudios Avanzados en actividades de internacionalización (seminarios, coil, cátedras), de manera acumulada entre 2027 y 2030.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</si>
  <si>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</si>
  <si>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</si>
  <si>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</si>
  <si>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En la Facultad de Ingeniería, lograr que 6 académicos e investigadores participen en estancias internacionales o de movilidad de manera acumulada entre 2027 y 2030.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</si>
  <si>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</si>
  <si>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</si>
  <si>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</si>
  <si>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</si>
  <si>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</si>
  <si>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</si>
  <si>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</si>
  <si>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En la Facultad de Ingeniería, capacitar a 80% de los integrantes del personal administrativo en competencias básicas y técnicas para 2030.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</si>
  <si>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</si>
  <si>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</si>
  <si>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</si>
  <si>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</si>
  <si>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</si>
  <si>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</si>
  <si>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En la Facultad de Ingeniería, capacitar 35% del personal administrativo en competencias transversales, equidad de género, ética y cultura de paz para 2030.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</si>
  <si>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</si>
  <si>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</si>
  <si>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</si>
  <si>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</si>
  <si>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En la Facultad de Ingeniería, capacitar a 20.11% del personal universitario en Tecnologías de la Información y Comunicación, cada año de 2027 a 2030.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</si>
  <si>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</si>
  <si>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</si>
  <si>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</si>
  <si>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</si>
  <si>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</si>
  <si>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</si>
  <si>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</si>
  <si>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</si>
  <si>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</si>
  <si>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En la Facultad de Ingeniería, armonizar 2 manuales de organización de espacios universitarios a 2029 cada año de 2027 a 2030.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</si>
  <si>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</si>
  <si>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</si>
  <si>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</si>
  <si>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En la Facultad de Ingeniería, armonizar un manual de procedimientos de espacios universitarios a 2029 cada año de 2027 a 2030.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</si>
  <si>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</si>
  <si>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</si>
  <si>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</si>
  <si>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</si>
  <si>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</si>
  <si>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</si>
  <si>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</si>
  <si>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En la Facultad de Ingeniería, desarrollar 3 guías de estudio independiente (GEI) cada año de 2027 a 2030.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</si>
  <si>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</si>
  <si>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</si>
  <si>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</si>
  <si>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</si>
  <si>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</si>
  <si>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</si>
  <si>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En la Facultad de Ingeniería, contar con 100% de los espacios académicos con mantenimiento preventivo a equipos de salas de cómputo, cada año de 2027 a 2030.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</si>
  <si>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</si>
  <si>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</si>
  <si>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</si>
  <si>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</si>
  <si>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</si>
  <si>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</si>
  <si>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</si>
  <si>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En la Facultad de Ingeniería, realizar cada año de 2027 a 2030 una campaña de protección universitaria en materia de autoprotección y reacción ante emergencias para la comunidad universitaria de nivel superior.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</si>
  <si>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</si>
  <si>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</si>
  <si>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</si>
  <si>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</si>
  <si>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En la Facultad de Ingeniería, realizar cada año de 2027 a 2030 1 simulacro de acuerdo con la convocatoria nacional.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</si>
  <si>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</si>
  <si>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</si>
  <si>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</si>
  <si>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</si>
  <si>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</si>
  <si>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En la Facultad de Ingeniería, efectuar cada año de 2027 a 2030 una campaña del protocolo de atención integral a víctimas en todas las áreas universitarias.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</si>
  <si>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</si>
  <si>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</si>
  <si>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</si>
  <si>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En la Facultad de Ingeniería, difundir cada año de 2027 a 2030 una campaña de los Protocolos de Seguridad y Protección Civil.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</si>
  <si>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</si>
  <si>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</si>
  <si>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</si>
  <si>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En la Facultad de Ingeniería, realizar 1 curso cada año de 2027 a 2030 dirigido al personal de Protección Universitaria sobre Derechos Humanos y perspectiva de Género.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</si>
  <si>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</si>
  <si>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</si>
  <si>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</si>
  <si>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</si>
  <si>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</si>
  <si>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En la Facultad de Ingeniería, atender cada año de 2027 a 2030 a 273 asistentes a conferencias, foros y charlas, relacionados con la pertenencia universitaria.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</si>
  <si>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</si>
  <si>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</si>
  <si>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</si>
  <si>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En la Facultad de Ingeniería, contar cada año de 2027 a 2030 con 155 asistentes a visitas guiadas.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</si>
  <si>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</si>
  <si>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</si>
  <si>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</si>
  <si>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En la Facultad de Ingeniería, lograr que 100% de los espacios universitarios con cronista cuente con una nueva crónica sobre la historia de su espacio, para 2030.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</si>
  <si>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</si>
  <si>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</si>
  <si>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</si>
  <si>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</si>
  <si>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</si>
  <si>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</si>
  <si>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</si>
  <si>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En la Facultad de Ingeniería, implementar cada año de 2027 a 2030 un programa institucional que fortalezca la generación de ingresos extraordinarios.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</si>
  <si>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</si>
  <si>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</si>
  <si>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</si>
  <si>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</si>
  <si>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</si>
  <si>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</si>
  <si>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</si>
  <si>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En la Facultad de Ingeniería, sensibilizar durante la administración a 40.01% de estudiantado de estudios profesionales en temas de inclusión a grupos históricamente vulnerados para 2030.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</si>
  <si>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</si>
  <si>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</si>
  <si>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</si>
  <si>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</si>
  <si>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</si>
  <si>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</si>
  <si>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</si>
  <si>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</si>
  <si>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</si>
  <si>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</si>
  <si>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</si>
  <si>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</si>
  <si>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</si>
  <si>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</si>
  <si>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En la Facultad de Ingeniería, incrementar a 5% los proyectos de investigación en materia de cultura de paz y estudios de género respecto al total de proyectos de investigación, para 2030.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</si>
  <si>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</si>
  <si>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</si>
  <si>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</si>
  <si>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</si>
  <si>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</si>
  <si>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En la Facultad de Ingeniería, implementar un evento socioculturales con temáticas de inclusión y vulnerabilidad cada año de 2027 a 2030.</t>
  </si>
  <si>
    <t>Implementar eventos socioculturales con temáticas de inclusión y vulnerabilidad</t>
  </si>
  <si>
    <t>Realizar 1 actividad anual sobre equidad social y de género</t>
  </si>
  <si>
    <t>ACT-PRDI-NS-3087</t>
  </si>
  <si>
    <t>En la Facultad de Ingeniería, realizar una actividad cada año de 2027 a 2030 sobre equidad social y de género.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</si>
  <si>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</si>
  <si>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</si>
  <si>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</si>
  <si>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</si>
  <si>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</si>
  <si>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En la Facultad de Ingeniería, implementar un programa de sensibilización en temas de corresponsabilidad y autocuidado cada año de 2027 a 2030.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</si>
  <si>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</si>
  <si>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</si>
  <si>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</si>
  <si>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En la Facultad de Ingeniería, realizar cada año de 2027 a 2030 un taller articulados que fortalezcan el Programa Universitario de Bienestar Integral.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</si>
  <si>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</si>
  <si>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</si>
  <si>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</si>
  <si>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</si>
  <si>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En la Facultad de Ingeniería, certificar cada año de 2027 a 2030 a 10% del personal académico, administrativo de confianza y directivo en materia de bienestar integral.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</si>
  <si>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</si>
  <si>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</si>
  <si>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</si>
  <si>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</si>
  <si>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</si>
  <si>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</si>
  <si>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</si>
  <si>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En la Facultad de Ingeniería, coordinar un evento de emprendimiento con los responsables del Programa Emprendedor de todos los espacios académicos cada año de 2027 a 2030.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</si>
  <si>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</si>
  <si>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</si>
  <si>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</si>
  <si>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</si>
  <si>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</si>
  <si>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</si>
  <si>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</si>
  <si>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</si>
  <si>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</si>
  <si>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</si>
  <si>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En la Facultad de Ingeniería, capacitar a 5 universitarios y público en general en temas relacionados con la economía social y solidaria cada año de 2027 a 2030.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</si>
  <si>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</si>
  <si>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</si>
  <si>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</si>
  <si>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En la Facultad de Ingeniería, atender un proyecto de economía social y solidaria en el territorio mexiquense de manera acumulada entre 2027 y 2030.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</si>
  <si>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</si>
  <si>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</si>
  <si>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</si>
  <si>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En la Facultad de Ingeniería, ejecutar una colaboración de impacto social con organizaciones locales o sectores productivos de mediano y largo plazo de manera acumulada entre 2027 y 2030.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</si>
  <si>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</si>
  <si>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</si>
  <si>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</si>
  <si>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</si>
  <si>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</si>
  <si>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</si>
  <si>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</si>
  <si>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</si>
  <si>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</si>
  <si>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En la Facultad de Ingeniería, incrementar 5% al año la participación de universitarios en el Programa de Competencias Laborales para 2030.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</si>
  <si>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</si>
  <si>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</si>
  <si>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</si>
  <si>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</si>
  <si>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</si>
  <si>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</si>
  <si>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En la Facultad de Ingeniería, mantener una colaboración con empresas, instituciones y organizaciones para el Catálogo de descuentos universitarios cada año de 2027 a 2030.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</si>
  <si>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</si>
  <si>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</si>
  <si>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</si>
  <si>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</si>
  <si>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</si>
  <si>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En la Facultad de Ingeniería, aperturar cada año de 2027 a 2030 un grupo de lenguas originarias en algún espacio universitario, CELE o extensión de CELE.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</si>
  <si>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</si>
  <si>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</si>
  <si>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</si>
  <si>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</si>
  <si>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</si>
  <si>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En la Facultad de Ingeniería, lograr que 100% de los espacios académicos cuenten con servicios de Atención Psicológica para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</si>
  <si>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</si>
  <si>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</si>
  <si>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</si>
  <si>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</si>
  <si>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</si>
  <si>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</si>
  <si>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</si>
  <si>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En la Facultad de Ingeniería, realizar una campaña anuales que promuevan los valores universitarios de cercanía, inclusión y progresismo tanto en medios impresos como digitales cada año de 2027 a 2030.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</si>
  <si>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</si>
  <si>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</si>
  <si>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</si>
  <si>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</si>
  <si>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</si>
  <si>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</si>
  <si>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</si>
  <si>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</si>
  <si>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En la Facultad de Ingeniería, establecer un programa de reducción del uso de unicel y desechables entre 2027 y 2030.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</si>
  <si>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</si>
  <si>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</si>
  <si>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</si>
  <si>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</si>
  <si>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</si>
  <si>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</si>
  <si>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</si>
  <si>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</si>
  <si>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En la Facultad de Ingeniería, realizar cada año de 2027 a 2030 una campaña institucional de reforestación que incluya las 4 regiones con presencia universitaria.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</si>
  <si>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</si>
  <si>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</si>
  <si>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</si>
  <si>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En la Facultad de Ingeniería, operar cada año de 2027 a 2030 un programa de mantenimiento y fortalecimiento de huertos universitarios.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</si>
  <si>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</si>
  <si>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</si>
  <si>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</si>
  <si>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En la Facultad de Ingeniería, lograr que 100% de los espacios académicos operen el Plan Institucional de Manejo de Residuos Sólidos Urbanos a más tardar en 2029.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</si>
  <si>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</si>
  <si>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</si>
  <si>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</si>
  <si>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En la Facultad de Ingeniería, promover en un espacio académicos el proceso de compostaje de los residuos orgánicos de poda y jardinería a más tardar en 2029.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</si>
  <si>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</si>
  <si>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</si>
  <si>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</si>
  <si>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</si>
  <si>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</si>
  <si>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En la Facultad de Ingeniería, capacitar cada año de 2027 a 2030 a 32 estudiantes de nivel superior en temas de sustentabilidad.</t>
  </si>
  <si>
    <t>Capacitar a estudiantes de nivel superior en temas de sustentabilidad</t>
  </si>
  <si>
    <t>Capacitar a 1 034 integrantes del personal docente en temas de sustentabilidad a 2029</t>
  </si>
  <si>
    <t>ACT-PRDI-NS-2392</t>
  </si>
  <si>
    <t>En la Facultad de Ingeniería, capacitar a 19 integrantes del personal docente en temas de sustentabilidad a más tardar en 2029.</t>
  </si>
  <si>
    <t>Capacitar a académicos en temas de sustentabilidad</t>
  </si>
  <si>
    <t>Capacitar a 2 115 integrantes del personal administrativo en temas de sustentabilidad a 2029</t>
  </si>
  <si>
    <t>ACT-PRDI-NS-2391</t>
  </si>
  <si>
    <t>En la Facultad de Ingeniería, capacitar a 39 integrantes del personal administrativo en temas de sustentabilidad a más tardar en 2029.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</si>
  <si>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</si>
  <si>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</si>
  <si>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</si>
  <si>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</si>
  <si>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</si>
  <si>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En la Facultad de Ingeniería, implementar un programa de cuidado y ahorro de agua en 100% de los espacios universitarios a más tardar en 2029.</t>
  </si>
  <si>
    <t xml:space="preserve"> Implementar un programa de cuidado y ahorro de agua</t>
  </si>
  <si>
    <t>Ejecutar anualmente 1 programa institucional de eficiencia energética</t>
  </si>
  <si>
    <t>ACT-PRDI-NS-3170</t>
  </si>
  <si>
    <t>En la Facultad de Ingeniería, ejecutar cada año de 2027 a 2030 un programa institucional de eficiencia energética.</t>
  </si>
  <si>
    <t>Ejecutar el programa institucional de eficiencia energética</t>
  </si>
  <si>
    <t>Efectuar anualmente 1 programa institucional de reducción de uso de papel</t>
  </si>
  <si>
    <t>ACT-PRDI-NS-3171</t>
  </si>
  <si>
    <t>En la Facultad de Ingeniería, efectuar cada año de 2027 a 2030 un programa institucional de reducción de uso de papel.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</si>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</sst>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1" width="11.44140625" style="10" customWidth="1"/>
    <col min="42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8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40">
        <v>3</v>
      </c>
      <c r="B5" s="140" t="s">
        <v>64</v>
      </c>
      <c r="C5" s="162" t="s">
        <v>65</v>
      </c>
      <c r="D5" s="149" t="s">
        <v>66</v>
      </c>
      <c r="E5" s="159" t="s">
        <v>67</v>
      </c>
      <c r="F5" s="140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40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40">
        <v>4</v>
      </c>
      <c r="B7" s="140" t="s">
        <v>64</v>
      </c>
      <c r="C7" s="162" t="s">
        <v>65</v>
      </c>
      <c r="D7" s="149" t="s">
        <v>66</v>
      </c>
      <c r="E7" s="159" t="s">
        <v>67</v>
      </c>
      <c r="F7" s="140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40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40">
        <v>5</v>
      </c>
      <c r="B9" s="140" t="s">
        <v>64</v>
      </c>
      <c r="C9" s="162" t="s">
        <v>65</v>
      </c>
      <c r="D9" s="149" t="s">
        <v>89</v>
      </c>
      <c r="E9" s="159" t="s">
        <v>90</v>
      </c>
      <c r="F9" s="140">
        <v>9</v>
      </c>
      <c r="G9" s="159" t="s">
        <v>91</v>
      </c>
      <c r="H9" s="140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40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40">
        <v>8</v>
      </c>
      <c r="B13" s="140" t="s">
        <v>64</v>
      </c>
      <c r="C13" s="162" t="s">
        <v>65</v>
      </c>
      <c r="D13" s="149" t="s">
        <v>89</v>
      </c>
      <c r="E13" s="159" t="s">
        <v>90</v>
      </c>
      <c r="F13" s="140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40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40">
        <v>12</v>
      </c>
      <c r="B18" s="140" t="s">
        <v>64</v>
      </c>
      <c r="C18" s="162" t="s">
        <v>65</v>
      </c>
      <c r="D18" s="149" t="s">
        <v>89</v>
      </c>
      <c r="E18" s="159" t="s">
        <v>90</v>
      </c>
      <c r="F18" s="140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40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40">
        <v>18</v>
      </c>
      <c r="B24" s="140" t="s">
        <v>64</v>
      </c>
      <c r="C24" s="159" t="s">
        <v>65</v>
      </c>
      <c r="D24" s="149" t="s">
        <v>141</v>
      </c>
      <c r="E24" s="159" t="s">
        <v>142</v>
      </c>
      <c r="F24" s="140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40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40">
        <v>20</v>
      </c>
      <c r="B27" s="140" t="s">
        <v>64</v>
      </c>
      <c r="C27" s="162" t="s">
        <v>65</v>
      </c>
      <c r="D27" s="149" t="s">
        <v>141</v>
      </c>
      <c r="E27" s="159" t="s">
        <v>142</v>
      </c>
      <c r="F27" s="140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40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9" t="s">
        <v>142</v>
      </c>
      <c r="F29" s="160">
        <v>46</v>
      </c>
      <c r="G29" s="169" t="s">
        <v>163</v>
      </c>
      <c r="H29" s="177" t="s">
        <v>164</v>
      </c>
      <c r="I29" s="184" t="s">
        <v>165</v>
      </c>
      <c r="J29" s="178" t="s">
        <v>49</v>
      </c>
      <c r="K29" s="169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40">
        <v>23</v>
      </c>
      <c r="B34" s="140" t="s">
        <v>64</v>
      </c>
      <c r="C34" s="162" t="s">
        <v>65</v>
      </c>
      <c r="D34" s="149" t="s">
        <v>141</v>
      </c>
      <c r="E34" s="159" t="s">
        <v>142</v>
      </c>
      <c r="F34" s="140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40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S5:S6"/>
    <mergeCell ref="F27:F28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U27:U28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W34:W35"/>
    <mergeCell ref="X27:X28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X34:X35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R34:R35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S7:S8"/>
    <mergeCell ref="E27:E28"/>
    <mergeCell ref="D9:D10"/>
    <mergeCell ref="F9:F10"/>
    <mergeCell ref="I34:I35"/>
    <mergeCell ref="G9:G10"/>
    <mergeCell ref="I9:I10"/>
    <mergeCell ref="G27:G28"/>
    <mergeCell ref="V34:V35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H29:H32"/>
    <mergeCell ref="F24:F25"/>
    <mergeCell ref="C5:C6"/>
    <mergeCell ref="E5:E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K27:K28"/>
    <mergeCell ref="B13:B14"/>
    <mergeCell ref="H1:H2"/>
    <mergeCell ref="J1:J2"/>
    <mergeCell ref="R1:V1"/>
    <mergeCell ref="K1:K2"/>
    <mergeCell ref="A9:A10"/>
    <mergeCell ref="D1:D2"/>
    <mergeCell ref="F1:F2"/>
    <mergeCell ref="B18:B19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40">
        <v>7</v>
      </c>
      <c r="B9" s="140" t="s">
        <v>221</v>
      </c>
      <c r="C9" s="186" t="s">
        <v>222</v>
      </c>
      <c r="D9" s="149" t="s">
        <v>234</v>
      </c>
      <c r="E9" s="186" t="s">
        <v>235</v>
      </c>
      <c r="F9" s="140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40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40">
        <v>2</v>
      </c>
      <c r="B4" s="140" t="s">
        <v>258</v>
      </c>
      <c r="C4" s="159" t="s">
        <v>259</v>
      </c>
      <c r="D4" s="149" t="s">
        <v>260</v>
      </c>
      <c r="E4" s="159" t="s">
        <v>261</v>
      </c>
      <c r="F4" s="140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36" t="str">
        <f>IF(M5,M4/M5*100,"")</f>
        <v/>
      </c>
      <c r="S4" s="136">
        <f>IF(N5,N4/N5*100,"")</f>
        <v>100</v>
      </c>
      <c r="T4" s="136">
        <f>IF(O5,O4/O5*100,"")</f>
        <v>100</v>
      </c>
      <c r="U4" s="136">
        <f>IF(P5,P4/P5*100,"")</f>
        <v>100</v>
      </c>
      <c r="V4" s="136">
        <f>IF(Q5,Q4/Q5*100,"")</f>
        <v>100</v>
      </c>
      <c r="W4" s="140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40">
        <v>3</v>
      </c>
      <c r="B6" s="140" t="s">
        <v>258</v>
      </c>
      <c r="C6" s="159" t="s">
        <v>259</v>
      </c>
      <c r="D6" s="149" t="s">
        <v>260</v>
      </c>
      <c r="E6" s="159" t="s">
        <v>261</v>
      </c>
      <c r="F6" s="140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36" t="str">
        <f>IF(M7,M6/M7*100,"")</f>
        <v/>
      </c>
      <c r="S6" s="136">
        <f>IF(N7,N6/N7*100,"")</f>
        <v>47.142857142857139</v>
      </c>
      <c r="T6" s="136">
        <f>IF(O7,O6/O7*100,"")</f>
        <v>48.571428571428569</v>
      </c>
      <c r="U6" s="136">
        <f>IF(P7,P6/P7*100,"")</f>
        <v>49.295774647887328</v>
      </c>
      <c r="V6" s="136">
        <f>IF(Q7,Q6/Q7*100,"")</f>
        <v>49.295774647887328</v>
      </c>
      <c r="W6" s="140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40">
        <v>4</v>
      </c>
      <c r="B8" s="140" t="s">
        <v>258</v>
      </c>
      <c r="C8" s="159" t="s">
        <v>259</v>
      </c>
      <c r="D8" s="149" t="s">
        <v>260</v>
      </c>
      <c r="E8" s="159" t="s">
        <v>261</v>
      </c>
      <c r="F8" s="140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36" t="str">
        <f>IF(M9,M8/M9*100,"")</f>
        <v/>
      </c>
      <c r="S8" s="136">
        <f>IF(N9,N8/N9*100,"")</f>
        <v>47.142857142857139</v>
      </c>
      <c r="T8" s="136">
        <f>IF(O9,O8/O9*100,"")</f>
        <v>48.571428571428569</v>
      </c>
      <c r="U8" s="136">
        <f>IF(P9,P8/P9*100,"")</f>
        <v>49.295774647887328</v>
      </c>
      <c r="V8" s="136">
        <f>IF(Q9,Q8/Q9*100,"")</f>
        <v>49.295774647887328</v>
      </c>
      <c r="W8" s="140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40">
        <v>7</v>
      </c>
      <c r="B12" s="140" t="s">
        <v>258</v>
      </c>
      <c r="C12" s="159" t="s">
        <v>259</v>
      </c>
      <c r="D12" s="149" t="s">
        <v>284</v>
      </c>
      <c r="E12" s="159" t="s">
        <v>285</v>
      </c>
      <c r="F12" s="140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36" t="str">
        <f>IF(M13,M12/M13*100,"")</f>
        <v/>
      </c>
      <c r="S12" s="136">
        <f>IF(N13,N12/N13*100,"")</f>
        <v>20</v>
      </c>
      <c r="T12" s="136">
        <f>IF(O13,O12/O13*100,"")</f>
        <v>20</v>
      </c>
      <c r="U12" s="136">
        <f>IF(P13,P12/P13*100,"")</f>
        <v>20</v>
      </c>
      <c r="V12" s="136">
        <f>IF(Q13,Q12/Q13*100,"")</f>
        <v>20</v>
      </c>
      <c r="W12" s="140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40">
        <v>8</v>
      </c>
      <c r="B14" s="140" t="s">
        <v>258</v>
      </c>
      <c r="C14" s="159" t="s">
        <v>259</v>
      </c>
      <c r="D14" s="149" t="s">
        <v>284</v>
      </c>
      <c r="E14" s="159" t="s">
        <v>285</v>
      </c>
      <c r="F14" s="140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36" t="str">
        <f>IF(M15,M14/M15*100,"")</f>
        <v/>
      </c>
      <c r="S14" s="136">
        <f>IF(N15,N14/N15*100,"")</f>
        <v>50</v>
      </c>
      <c r="T14" s="136">
        <f>IF(O15,O14/O15*100,"")</f>
        <v>52.5</v>
      </c>
      <c r="U14" s="136">
        <f>IF(P15,P14/P15*100,"")</f>
        <v>52.5</v>
      </c>
      <c r="V14" s="136">
        <f>IF(Q15,Q14/Q15*100,"")</f>
        <v>53.658536585365859</v>
      </c>
      <c r="W14" s="140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40">
        <v>2</v>
      </c>
      <c r="B4" s="140" t="s">
        <v>367</v>
      </c>
      <c r="C4" s="159" t="s">
        <v>368</v>
      </c>
      <c r="D4" s="149" t="s">
        <v>369</v>
      </c>
      <c r="E4" s="159" t="s">
        <v>370</v>
      </c>
      <c r="F4" s="140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36" t="str">
        <f>IF(M5,M4/M5*100,"")</f>
        <v/>
      </c>
      <c r="S4" s="136">
        <f>IF(N5,N4/N5*100,"")</f>
        <v>39.08450704225352</v>
      </c>
      <c r="T4" s="136">
        <f>IF(O5,O4/O5*100,"")</f>
        <v>39.649122807017548</v>
      </c>
      <c r="U4" s="136">
        <f>IF(P5,P4/P5*100,"")</f>
        <v>40.418118466898953</v>
      </c>
      <c r="V4" s="136">
        <f>IF(Q5,Q4/Q5*100,"")</f>
        <v>40.972222222222221</v>
      </c>
      <c r="W4" s="140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40">
        <v>3</v>
      </c>
      <c r="B6" s="140" t="s">
        <v>367</v>
      </c>
      <c r="C6" s="159" t="s">
        <v>368</v>
      </c>
      <c r="D6" s="149" t="s">
        <v>369</v>
      </c>
      <c r="E6" s="159" t="s">
        <v>370</v>
      </c>
      <c r="F6" s="140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36" t="str">
        <f>IF(M7,M6/M7*100,"")</f>
        <v/>
      </c>
      <c r="S6" s="136">
        <f>IF(N7,N6/N7*100,"")</f>
        <v>29.11392405063291</v>
      </c>
      <c r="T6" s="136">
        <f>IF(O7,O6/O7*100,"")</f>
        <v>29.11392405063291</v>
      </c>
      <c r="U6" s="136">
        <f>IF(P7,P6/P7*100,"")</f>
        <v>30</v>
      </c>
      <c r="V6" s="136">
        <f>IF(Q7,Q6/Q7*100,"")</f>
        <v>30</v>
      </c>
      <c r="W6" s="140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40">
        <v>4</v>
      </c>
      <c r="B8" s="140" t="s">
        <v>367</v>
      </c>
      <c r="C8" s="159" t="s">
        <v>368</v>
      </c>
      <c r="D8" s="149" t="s">
        <v>369</v>
      </c>
      <c r="E8" s="192" t="s">
        <v>370</v>
      </c>
      <c r="F8" s="136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36" t="str">
        <f>IF(M9,M8/M9*100,"")</f>
        <v/>
      </c>
      <c r="S8" s="136">
        <f>IF(N9,N8/N9*100,"")</f>
        <v>47.507527601204416</v>
      </c>
      <c r="T8" s="136">
        <f>IF(O9,O8/O9*100,"")</f>
        <v>48.335552596537951</v>
      </c>
      <c r="U8" s="136">
        <f>IF(P9,P8/P9*100,"")</f>
        <v>49.155349453461412</v>
      </c>
      <c r="V8" s="136">
        <f>IF(Q9,Q8/Q9*100,"")</f>
        <v>50</v>
      </c>
      <c r="W8" s="136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X8:X9"/>
    <mergeCell ref="I6:I7"/>
    <mergeCell ref="V8:V9"/>
    <mergeCell ref="K6:K7"/>
    <mergeCell ref="D1:D2"/>
    <mergeCell ref="F1:F2"/>
    <mergeCell ref="H1:H2"/>
    <mergeCell ref="D6:D7"/>
    <mergeCell ref="J1:J2"/>
    <mergeCell ref="F6:F7"/>
    <mergeCell ref="A4:A5"/>
    <mergeCell ref="S4:S5"/>
    <mergeCell ref="G1:G2"/>
    <mergeCell ref="T6:T7"/>
    <mergeCell ref="U4:U5"/>
    <mergeCell ref="I1:I2"/>
    <mergeCell ref="U6:U7"/>
    <mergeCell ref="B4:B5"/>
    <mergeCell ref="F4:F5"/>
    <mergeCell ref="H4:H5"/>
    <mergeCell ref="C6:C7"/>
    <mergeCell ref="A1:A2"/>
    <mergeCell ref="W8:W9"/>
    <mergeCell ref="G4:G5"/>
    <mergeCell ref="I4:I5"/>
    <mergeCell ref="K4:K5"/>
    <mergeCell ref="D8:D9"/>
    <mergeCell ref="H8:H9"/>
    <mergeCell ref="J8:J9"/>
    <mergeCell ref="W4:W5"/>
    <mergeCell ref="R8:R9"/>
    <mergeCell ref="A8:A9"/>
    <mergeCell ref="C8:C9"/>
    <mergeCell ref="I8:I9"/>
    <mergeCell ref="U8:U9"/>
    <mergeCell ref="K8:K9"/>
    <mergeCell ref="A6:A7"/>
    <mergeCell ref="M1:Q1"/>
    <mergeCell ref="V6:V7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X4:X5"/>
    <mergeCell ref="B8:B9"/>
    <mergeCell ref="J6:J7"/>
    <mergeCell ref="C1:C2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S8:S9"/>
    <mergeCell ref="R6:R7"/>
    <mergeCell ref="T8:T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400</v>
      </c>
      <c r="C3" s="159" t="s">
        <v>401</v>
      </c>
      <c r="D3" s="149" t="s">
        <v>402</v>
      </c>
      <c r="E3" s="159" t="s">
        <v>403</v>
      </c>
      <c r="F3" s="140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36" t="str">
        <f>IF(M4,M3/M4*100,"")</f>
        <v/>
      </c>
      <c r="S3" s="136">
        <f>IF(N4,N3/N4*100,"")</f>
        <v>61.619718309859152</v>
      </c>
      <c r="T3" s="136">
        <f>IF(O4,O3/O4*100,"")</f>
        <v>62.807017543859644</v>
      </c>
      <c r="U3" s="136">
        <f>IF(P4,P3/P4*100,"")</f>
        <v>63.763066202090592</v>
      </c>
      <c r="V3" s="136">
        <f>IF(Q4,Q3/Q4*100,"")</f>
        <v>64.930555555555557</v>
      </c>
      <c r="W3" s="140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40">
        <v>2</v>
      </c>
      <c r="B5" s="140" t="s">
        <v>400</v>
      </c>
      <c r="C5" s="159" t="s">
        <v>401</v>
      </c>
      <c r="D5" s="149" t="s">
        <v>402</v>
      </c>
      <c r="E5" s="159" t="s">
        <v>403</v>
      </c>
      <c r="F5" s="140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36" t="str">
        <f>IF(M6,M5/M6*100,"")</f>
        <v/>
      </c>
      <c r="S5" s="136">
        <f>IF(N6,N5/N6*100,"")</f>
        <v>23.591549295774648</v>
      </c>
      <c r="T5" s="136">
        <f>IF(O6,O5/O6*100,"")</f>
        <v>24.210526315789473</v>
      </c>
      <c r="U5" s="136">
        <f>IF(P6,P5/P6*100,"")</f>
        <v>24.738675958188153</v>
      </c>
      <c r="V5" s="136">
        <f>IF(Q6,Q5/Q6*100,"")</f>
        <v>25</v>
      </c>
      <c r="W5" s="140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40">
        <v>3</v>
      </c>
      <c r="B7" s="140" t="s">
        <v>400</v>
      </c>
      <c r="C7" s="159" t="s">
        <v>401</v>
      </c>
      <c r="D7" s="149" t="s">
        <v>402</v>
      </c>
      <c r="E7" s="159" t="s">
        <v>403</v>
      </c>
      <c r="F7" s="140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36" t="str">
        <f>IF(M8,M7/M8*100,"")</f>
        <v/>
      </c>
      <c r="S7" s="136">
        <f>IF(N8,N7/N8*100,"")</f>
        <v>47.535211267605632</v>
      </c>
      <c r="T7" s="136">
        <f>IF(O8,O7/O8*100,"")</f>
        <v>48.421052631578945</v>
      </c>
      <c r="U7" s="136">
        <f>IF(P8,P7/P8*100,"")</f>
        <v>49.128919860627178</v>
      </c>
      <c r="V7" s="136">
        <f>IF(Q8,Q7/Q8*100,"")</f>
        <v>50</v>
      </c>
      <c r="W7" s="140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40">
        <v>4</v>
      </c>
      <c r="B9" s="140" t="s">
        <v>400</v>
      </c>
      <c r="C9" s="159" t="s">
        <v>401</v>
      </c>
      <c r="D9" s="149" t="s">
        <v>402</v>
      </c>
      <c r="E9" s="159" t="s">
        <v>403</v>
      </c>
      <c r="F9" s="140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36" t="str">
        <f>IF(M10,M9/M10*100,"")</f>
        <v/>
      </c>
      <c r="S9" s="136">
        <f>IF(N10,N9/N10*100,"")</f>
        <v>96.126760563380287</v>
      </c>
      <c r="T9" s="136">
        <f>IF(O10,O9/O10*100,"")</f>
        <v>97.192982456140356</v>
      </c>
      <c r="U9" s="136">
        <f>IF(P10,P9/P10*100,"")</f>
        <v>98.606271777003485</v>
      </c>
      <c r="V9" s="136">
        <f>IF(Q10,Q9/Q10*100,"")</f>
        <v>100</v>
      </c>
      <c r="W9" s="140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40">
        <v>5</v>
      </c>
      <c r="B11" s="140" t="s">
        <v>400</v>
      </c>
      <c r="C11" s="159" t="s">
        <v>401</v>
      </c>
      <c r="D11" s="149" t="s">
        <v>402</v>
      </c>
      <c r="E11" s="159" t="s">
        <v>403</v>
      </c>
      <c r="F11" s="140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36" t="str">
        <f>IF(M12,M11/M12*100,"")</f>
        <v/>
      </c>
      <c r="S11" s="136">
        <f>IF(N12,N11/N12*100,"")</f>
        <v>23.591549295774648</v>
      </c>
      <c r="T11" s="136">
        <f>IF(O12,O11/O12*100,"")</f>
        <v>24.210526315789473</v>
      </c>
      <c r="U11" s="136">
        <f>IF(P12,P11/P12*100,"")</f>
        <v>24.738675958188153</v>
      </c>
      <c r="V11" s="136">
        <f>IF(Q12,Q11/Q12*100,"")</f>
        <v>25</v>
      </c>
      <c r="W11" s="140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40">
        <v>8</v>
      </c>
      <c r="B15" s="140" t="s">
        <v>400</v>
      </c>
      <c r="C15" s="159" t="s">
        <v>401</v>
      </c>
      <c r="D15" s="149" t="s">
        <v>439</v>
      </c>
      <c r="E15" s="159" t="s">
        <v>440</v>
      </c>
      <c r="F15" s="140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36" t="str">
        <f>IF(M16,M15/M16*100,"")</f>
        <v/>
      </c>
      <c r="S15" s="136">
        <f>IF(N16,N15/N16*100,"")</f>
        <v>71.428571428571431</v>
      </c>
      <c r="T15" s="136">
        <f>IF(O16,O15/O16*100,"")</f>
        <v>72.857142857142847</v>
      </c>
      <c r="U15" s="136">
        <f>IF(P16,P15/P16*100,"")</f>
        <v>73.239436619718319</v>
      </c>
      <c r="V15" s="136">
        <f>IF(Q16,Q15/Q16*100,"")</f>
        <v>74.647887323943664</v>
      </c>
      <c r="W15" s="140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S5:S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460</v>
      </c>
      <c r="C3" s="141" t="s">
        <v>461</v>
      </c>
      <c r="D3" s="149" t="s">
        <v>462</v>
      </c>
      <c r="E3" s="159" t="s">
        <v>463</v>
      </c>
      <c r="F3" s="140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36" t="str">
        <f>IF(M4,M3/M4*100,"")</f>
        <v/>
      </c>
      <c r="S3" s="136">
        <f>IF(N4,N3/N4*100,"")</f>
        <v>75.949367088607602</v>
      </c>
      <c r="T3" s="136">
        <f>IF(O4,O3/O4*100,"")</f>
        <v>77.215189873417728</v>
      </c>
      <c r="U3" s="136">
        <f>IF(P4,P3/P4*100,"")</f>
        <v>78.75</v>
      </c>
      <c r="V3" s="136">
        <f>IF(Q4,Q3/Q4*100,"")</f>
        <v>80</v>
      </c>
      <c r="W3" s="140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40">
        <v>2</v>
      </c>
      <c r="B5" s="140" t="s">
        <v>460</v>
      </c>
      <c r="C5" s="141" t="s">
        <v>461</v>
      </c>
      <c r="D5" s="149" t="s">
        <v>462</v>
      </c>
      <c r="E5" s="159" t="s">
        <v>463</v>
      </c>
      <c r="F5" s="140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36" t="str">
        <f>IF(M6,M5/M6*100,"")</f>
        <v/>
      </c>
      <c r="S5" s="136">
        <f>IF(N6,N5/N6*100,"")</f>
        <v>32.911392405063289</v>
      </c>
      <c r="T5" s="136">
        <f>IF(O6,O5/O6*100,"")</f>
        <v>34.177215189873415</v>
      </c>
      <c r="U5" s="136">
        <f>IF(P6,P5/P6*100,"")</f>
        <v>35</v>
      </c>
      <c r="V5" s="136">
        <f>IF(Q6,Q5/Q6*100,"")</f>
        <v>35</v>
      </c>
      <c r="W5" s="140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40">
        <v>3</v>
      </c>
      <c r="B7" s="140" t="s">
        <v>460</v>
      </c>
      <c r="C7" s="162" t="s">
        <v>461</v>
      </c>
      <c r="D7" s="149" t="s">
        <v>462</v>
      </c>
      <c r="E7" s="159" t="s">
        <v>463</v>
      </c>
      <c r="F7" s="140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36" t="str">
        <f>IF(M8,M7/M8*100,"")</f>
        <v/>
      </c>
      <c r="S7" s="136">
        <f>IF(N8,N7/N8*100,"")</f>
        <v>19.008264462809919</v>
      </c>
      <c r="T7" s="136">
        <f>IF(O8,O7/O8*100,"")</f>
        <v>19.452054794520549</v>
      </c>
      <c r="U7" s="136">
        <f>IF(P8,P7/P8*100,"")</f>
        <v>19.618528610354225</v>
      </c>
      <c r="V7" s="136">
        <f>IF(Q8,Q7/Q8*100,"")</f>
        <v>20.108695652173914</v>
      </c>
      <c r="W7" s="140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C5:C6"/>
    <mergeCell ref="F7:F8"/>
    <mergeCell ref="F1:F2"/>
    <mergeCell ref="H1:H2"/>
    <mergeCell ref="J1:J2"/>
    <mergeCell ref="K5:K6"/>
    <mergeCell ref="A5:A6"/>
    <mergeCell ref="G5:G6"/>
    <mergeCell ref="S5:S6"/>
    <mergeCell ref="X1:X2"/>
    <mergeCell ref="U5:U6"/>
    <mergeCell ref="T3:T4"/>
    <mergeCell ref="R3:R4"/>
    <mergeCell ref="J3:J4"/>
    <mergeCell ref="G1:G2"/>
    <mergeCell ref="H3:H4"/>
    <mergeCell ref="I1:I2"/>
    <mergeCell ref="A1:A2"/>
    <mergeCell ref="B5:B6"/>
    <mergeCell ref="D5:D6"/>
    <mergeCell ref="C1:C2"/>
    <mergeCell ref="V5:V6"/>
    <mergeCell ref="A7:A8"/>
    <mergeCell ref="S7:S8"/>
    <mergeCell ref="M1:Q1"/>
    <mergeCell ref="T5:T6"/>
    <mergeCell ref="U7:U8"/>
    <mergeCell ref="A3:A4"/>
    <mergeCell ref="G3:G4"/>
    <mergeCell ref="D7:D8"/>
    <mergeCell ref="I3:I4"/>
    <mergeCell ref="U3:U4"/>
    <mergeCell ref="D3:D4"/>
    <mergeCell ref="B1:B2"/>
    <mergeCell ref="H7:H8"/>
    <mergeCell ref="J7:J8"/>
    <mergeCell ref="L1:L2"/>
    <mergeCell ref="I5:I6"/>
    <mergeCell ref="X7:X8"/>
    <mergeCell ref="G7:G8"/>
    <mergeCell ref="X3:X4"/>
    <mergeCell ref="I7:I8"/>
    <mergeCell ref="E1:E2"/>
    <mergeCell ref="K1:K2"/>
    <mergeCell ref="F5:F6"/>
    <mergeCell ref="F3:F4"/>
    <mergeCell ref="W1:W2"/>
    <mergeCell ref="W7:W8"/>
    <mergeCell ref="W3:W4"/>
    <mergeCell ref="X5:X6"/>
    <mergeCell ref="T7:T8"/>
    <mergeCell ref="V7:V8"/>
    <mergeCell ref="K7:K8"/>
    <mergeCell ref="E7:E8"/>
    <mergeCell ref="R1:V1"/>
    <mergeCell ref="E5:E6"/>
    <mergeCell ref="W5:W6"/>
    <mergeCell ref="B3:B4"/>
    <mergeCell ref="R7:R8"/>
    <mergeCell ref="C7:C8"/>
    <mergeCell ref="R5:R6"/>
    <mergeCell ref="H5:H6"/>
    <mergeCell ref="J5:J6"/>
    <mergeCell ref="K3:K4"/>
    <mergeCell ref="C3:C4"/>
    <mergeCell ref="V3:V4"/>
    <mergeCell ref="E3:E4"/>
    <mergeCell ref="B7:B8"/>
    <mergeCell ref="S3:S4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B1:B2"/>
    <mergeCell ref="G1:G2"/>
    <mergeCell ref="D1:D2"/>
    <mergeCell ref="K1:K2"/>
    <mergeCell ref="I1:I2"/>
    <mergeCell ref="E1:E2"/>
    <mergeCell ref="J1:J2"/>
    <mergeCell ref="F1:F2"/>
    <mergeCell ref="W1:W2"/>
    <mergeCell ref="R1:V1"/>
    <mergeCell ref="X1:X2"/>
    <mergeCell ref="H1:H2"/>
    <mergeCell ref="C1:C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40">
        <v>1</v>
      </c>
      <c r="B3" s="140" t="s">
        <v>558</v>
      </c>
      <c r="C3" s="159" t="s">
        <v>559</v>
      </c>
      <c r="D3" s="149" t="s">
        <v>560</v>
      </c>
      <c r="E3" s="159" t="s">
        <v>561</v>
      </c>
      <c r="F3" s="140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36" t="str">
        <f>IF(M4,M3/M4*100,"")</f>
        <v/>
      </c>
      <c r="S3" s="136">
        <f>IF(N4,N3/N4*100,"")</f>
        <v>38.006022080963533</v>
      </c>
      <c r="T3" s="136">
        <f>IF(O4,O3/O4*100,"")</f>
        <v>38.681757656458053</v>
      </c>
      <c r="U3" s="136">
        <f>IF(P4,P3/P4*100,"")</f>
        <v>39.317654852600199</v>
      </c>
      <c r="V3" s="136">
        <f>IF(Q4,Q3/Q4*100,"")</f>
        <v>40.013183915622939</v>
      </c>
      <c r="W3" s="136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40">
        <v>3</v>
      </c>
      <c r="B6" s="140" t="s">
        <v>558</v>
      </c>
      <c r="C6" s="159" t="s">
        <v>559</v>
      </c>
      <c r="D6" s="149" t="s">
        <v>575</v>
      </c>
      <c r="E6" s="159" t="s">
        <v>576</v>
      </c>
      <c r="F6" s="140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36" t="str">
        <f>IF(M7,M6/M7*100,"")</f>
        <v/>
      </c>
      <c r="S6" s="136">
        <f>IF(N7,N6/N7*100,"")</f>
        <v>5</v>
      </c>
      <c r="T6" s="136">
        <f>IF(O7,O6/O7*100,"")</f>
        <v>5</v>
      </c>
      <c r="U6" s="136">
        <f>IF(P7,P6/P7*100,"")</f>
        <v>5</v>
      </c>
      <c r="V6" s="136">
        <f>IF(Q7,Q6/Q7*100,"")</f>
        <v>5</v>
      </c>
      <c r="W6" s="140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D6:D7"/>
    <mergeCell ref="J1:J2"/>
    <mergeCell ref="W6:W7"/>
    <mergeCell ref="A1:A2"/>
    <mergeCell ref="A6:A7"/>
    <mergeCell ref="F6:F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L1:L2"/>
    <mergeCell ref="X3:X4"/>
    <mergeCell ref="C1:C2"/>
    <mergeCell ref="E1:E2"/>
    <mergeCell ref="K1:K2"/>
    <mergeCell ref="R6:R7"/>
    <mergeCell ref="S6:S7"/>
    <mergeCell ref="X1:X2"/>
    <mergeCell ref="H3:H4"/>
    <mergeCell ref="R3:R4"/>
    <mergeCell ref="T3:T4"/>
    <mergeCell ref="J3:J4"/>
    <mergeCell ref="G1:G2"/>
    <mergeCell ref="T6:T7"/>
    <mergeCell ref="I1:I2"/>
    <mergeCell ref="U6:U7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40">
        <v>5</v>
      </c>
      <c r="B7" s="140" t="s">
        <v>17</v>
      </c>
      <c r="C7" s="141" t="s">
        <v>18</v>
      </c>
      <c r="D7" s="149" t="s">
        <v>44</v>
      </c>
      <c r="E7" s="141" t="s">
        <v>45</v>
      </c>
      <c r="F7" s="140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36" t="str">
        <f>IF(M8,M7/M8*100,"")</f>
        <v/>
      </c>
      <c r="S7" s="136">
        <f>IF(N8,N7/N8*100,"")</f>
        <v>38.007159904534603</v>
      </c>
      <c r="T7" s="136">
        <f>IF(O8,O7/O8*100,"")</f>
        <v>38.676165034134755</v>
      </c>
      <c r="U7" s="136">
        <f>IF(P8,P7/P8*100,"")</f>
        <v>39.338452451269937</v>
      </c>
      <c r="V7" s="136">
        <f>IF(Q8,Q7/Q8*100,"")</f>
        <v>39.994122832794595</v>
      </c>
      <c r="W7" s="140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40">
        <v>7</v>
      </c>
      <c r="B9" s="140" t="s">
        <v>606</v>
      </c>
      <c r="C9" s="186" t="s">
        <v>607</v>
      </c>
      <c r="D9" s="149" t="s">
        <v>637</v>
      </c>
      <c r="E9" s="159" t="s">
        <v>638</v>
      </c>
      <c r="F9" s="140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36" t="str">
        <f>IF(M10,((M9/M10)-1)*100,"")</f>
        <v/>
      </c>
      <c r="S9" s="136">
        <f>IF(N10,((N9/N10)-1)*100,"")</f>
        <v>3.8805970149253799</v>
      </c>
      <c r="T9" s="136">
        <f>IF(O10,((O9/O10)-1)*100,"")</f>
        <v>4.31034482758621</v>
      </c>
      <c r="U9" s="136">
        <f>IF(P10,((P9/P10)-1)*100,"")</f>
        <v>4.6831955922864932</v>
      </c>
      <c r="V9" s="136">
        <f>IF(Q10,((Q9/Q10)-1)*100,"")</f>
        <v>5.0000000000000044</v>
      </c>
      <c r="W9" s="140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J1:J2"/>
    <mergeCell ref="W1:W2"/>
    <mergeCell ref="R1:V1"/>
    <mergeCell ref="X1:X2"/>
    <mergeCell ref="L1:L2"/>
    <mergeCell ref="H1:H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En la Facultad de Ingeniería, lograr que 80% de los programas educativos de estudios profesionales evaluables cuenten con reconocimiento por su excelencia, para 2030.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En la Facultad de Ingeniería, lograr que 92.91% de la matrícula en programas educativos de estudios profesionales evaluables, curse en programas educativos reconocidos por su excelencia, para 2030.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En la Facultad de Ingeniería, lograr que 71.57% de los sustentantes que presentan el EGEL obtengan testimonios de desempeño sobresaliente o satisfactorio, para 2030.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En la Facultad de Ingeniería, lograr que 80% de las GEI disponibles en SEDUCA sean utilizadas, para 2030.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En la Facultad de Ingeniería, lograr que 97.99% del total de estudiantes activos de Estudios Profesionales cuenten con servicios de salud para 2030.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En la Facultad de Ingeniería, incrementar a 18.18% la graduación de estudios avanzados por la opción de trabajo terminal de grado, para 2030.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En la Facultad de Ingeniería, mantener el 49.3% de los PTC con participación en redes con pares extranjeros, cada año de 2027 a 2030.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En la Facultad de Ingeniería, mantener 49.3% de los PTC que participan en redes nacionales, cada año de 2027 a 2030.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En la Facultad de Ingeniería, contar con 20% de los proyectos de investigación en DT e innovación que cuenten con un plan de transferencia, innovación o impacto social documentado, para 2030.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En la Facultad de Ingeniería, contar con 53.66% de producción científica con sentido social, cada año de 2027 a 2030.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En la Facultad de Ingeniería, mantener cada año de 2027 a 2030 la participación de 40.97% del personal académico en actividades de cultura física.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En la Facultad de Ingeniería, lograr que 30% del personal administrativo participe en actividades de cultura física, cada año de 2027 a 2030.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En la Facultad de Ingeniería, lograr cada año de 2027 a 2030 que 50% de estudiantes del nivel superior participen en actividades de cultura física.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En la Facultad de Ingeniería, lograr para 2030 que 64.93% del personal académico de nivel superior participe en actividades de formación.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En la Facultad de Ingeniería, actualizar cada año de 2027 a 2030 a 25% del personal académico del nivel superior en conocimientos propios de la disciplina que enseñan.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En la Facultad de Ingeniería, lograr que 50% de personal académico de nivel superior se capacite en el desarrollo de competencias didácticas y digitales para 2030.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En la Facultad de Ingeniería, capacitar a 100% del personal académico en el nuevo modelo educativo durante la administración para 2030.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En la Facultad de Ingeniería, brindar capacitación en temas transversales a 25% del personal académico de nivel superior cada año de 2027 a 2030.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En la Facultad de Ingeniería, alcanzar 74.65% del profesorado de tiempo completo (PTC) con Perfil PRODEP, para 2030.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En la Facultad de Ingeniería, capacitar a 80% de los integrantes del personal administrativo en competencias básicas y técnicas para 2030.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En la Facultad de Ingeniería, capacitar 35% del personal administrativo en competencias transversales, equidad de género, ética y cultura de paz para 2030.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En la Facultad de Ingeniería, capacitar a 20.11% del personal universitario en Tecnologías de la Información y Comunicación, cada año de 2027 a 2030.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En la Facultad de Ingeniería, sensibilizar durante la administración a 40.01% de estudiantado de estudios profesionales en temas de inclusión a grupos históricamente vulnerados para 2030.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En la Facultad de Ingeniería, incrementar a 5% los proyectos de investigación en materia de cultura de paz y estudios de género respecto al total de proyectos de investigación, para 2030.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En la Facultad de Ingeniería, lograr la participación de 39.99% de la comunidad universitaria en actividades y programas que promuevan la convivencia pacífica, la inclusión y el respeto, durante la administración para 2030.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En la Facultad de Ingeniería, incrementar 5% al año la participación de universitarios en el Programa de Competencias Laborales para 2030.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4:J4"/>
    <mergeCell ref="J6:J7"/>
    <mergeCell ref="A36:A3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4" width="11.44140625" style="33" customWidth="1"/>
    <col min="15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En la Facultad de Ingeniería, incorporar contenidos temáticos o actividades académicas sobre los criterios transversales del SEAES, en un plan de estudios reestructurado, de manera acumulada entre 2027 y 2030.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En la Facultad de Ingeniería, contar con el acervo de 3 unidades de aprendizaje de estudios profesionales apegadas a las referencias documentales básicas de manera acumulada entre 2027 y 2030.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En la Facultad de Ingeniería, lograr que 80% de los programas educativos de estudios profesionales evaluables cuenten con reconocimiento por su excelencia, para 2030.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En la Facultad de Ingeniería, lograr que 92.91% de la matrícula en programas educativos de estudios profesionales evaluables, curse en programas educativos reconocidos por su excelencia, para 2030.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En la Facultad de Ingeniería, lograr que 71.57% de los sustentantes que presentan el EGEL obtengan testimonios de desempeño sobresaliente o satisfactorio, para 2030.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En la Facultad de Ingeniería, implementar un programa de preparación para EGEL cada año de 2027 a 2030.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En la Facultad de Ingeniería, lograr que 10 estudiantes de estudios profesionales participen en movilidad intrainstitucional de manera acumulada entre 2027 y 2030.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En la Facultad de Ingeniería, lograr que 19 estudiantes de estudios profesionales participen en movilidad nacional e internacional de manera acumulada entre 2027 y 2030.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En la Facultad de Ingeniería, 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En la Facultad de Ingeniería, contar con 2 manuales de prácticas apegados a los indicadores del Sistema para Evaluar la Calidad de Medios Educativos cada año de 2027 a 2030.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En la Facultad de Ingeniería, lograr que 80% de las GEI disponibles en SEDUCA sean utilizadas, para 2030.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En la Facultad de Ingeniería, incrementar a 946 el número de estudiantes de estudios profesionales en la renovada plataforma seduca, a más tardar en 2029.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En la Facultad de Ingeniería, desarrollar 9 actividades académicas de educación continua cada año de 2027 a 2030.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En la Facultad de Ingeniería, certificar en una segunda lengua a 14 estudiantes de estudios profesionales cada año de 2027 a 2030.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En la Facultad de Ingeniería, implementar semestralmente 2 programas de fomento a la titulación entre 2027 y 2030.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En la Facultad de Ingeniería, otorgar cada año de 2027 a 2030 691 becas, apoyos o estímulos institucionales a estudiantes de Estudios Profesionales.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En la Facultad de Ingeniería, lograr que 97.99% del total de estudiantes activos de Estudios Profesionales cuenten con servicios de salud para 2030.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En la Facultad de Ingeniería, lograr la participación de 588 estudiantes y personas egresadas en los sectores gubernamental, productivo y social, mediante las prácticas o estancias profesionales, de manera acumulada entre 2027 y 2030.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En la Facultad de Ingeniería, lograr la participación de 10 estudiantes de estudios profesionales en cursos, talleres o actividades de capacitación de empleabilidad, realizadas en conjunto con instituciones externas, cada año de 2027 a 2030.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En la Facultad de Ingeniería, realizar un evento de promoción y difusión en apoyo al desarrollo profesional para el empleo y la inserción laboral, de manera acumulada entre 2027 y 2030.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En la Facultad de Ingeniería, realizar una intervención de impacto anual en espacios académicos para fortalecer la vinculación colaborativa entre egresados y estudiantes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En la Facultad de Ingeniería, contar con 5 estudiantes de estudios avanzados participantes en estancias cortas o movilidad académica, a más tardar en 2029.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En la Facultad de Ingeniería, contar 80 alumnos en estudios avanzados, a más tardar en 2029.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En la Facultad de Ingeniería, ofertar 1 nuevo programa de estudios avanzados o diplomado superior en los CU y UAP vinculado con entidades de gobierno o industria, cada año de 2027 a 2030.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En la Facultad de Ingeniería, registrar un protocolo de investigación de alumnos de estudios avanzados con temáticas vinculadas a la Agenda Estratégica de Investigación, cada año de 2027 a 2030.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En la Facultad de Ingeniería, generar protocolos de acción para incrementar la tasa de graduación y la eficiencia terminal en un espacio académicos, en 2026 entre 2027 y 2030.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En la Facultad de Ingeniería, incrementar a 22 graduados de estudios avanzados, a más tardar en 2029.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En la Facultad de Ingeniería, incrementar a 18.18% la graduación de estudios avanzados por la opción de trabajo terminal de grado, para 2030.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En la Facultad de Ingeniería, mantener el 49.3% de los PTC con participación en redes con pares extranjeros, cada año de 2027 a 2030.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En la Facultad de Ingeniería, mantener 49.3% de los PTC que participan en redes nacionales, cada año de 2027 a 2030.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En la Facultad de Ingeniería, atender las necesidades prioritarias de mantenimiento, equipamiento y medidas de seguridad de 3 laboratorios de investigación, a más tardar en 2029.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En la Facultad de Ingeniería, promover la participación en una convocatoria externa de proyectos de investigación, cada año de 2027 a 2030.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En la Facultad de Ingeniería, contar con 20% de los proyectos de investigación en DT e innovación que cuenten con un plan de transferencia, innovación o impacto social documentado, para 2030.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En la Facultad de Ingeniería, contar con 53.66% de producción científica con sentido social, cada año de 2027 a 2030.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En la Facultad de Ingeniería, contar con 5 expedientes, registros y patentes ante el IMPI, a más tardar en 2029.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En la Facultad de Ingeniería, capacitar a 2 miembros de la comunidad universitaria en materia de propiedad intelectual y gestión de activos de conocimiento, cada año de 2027 a 2030.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En la Facultad de Ingeniería, realizar un programa de sostenibilidad y fortalecimiento del Acceso Abierto no comercial para las revistas científicas editadas en la Universidad, cada año de 2027 a 2030.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En la Facultad de Ingeniería, capacitar a 19 miembros de la comunidad universitaria en Ciencia Abierta, cada año de 2027 a 2030.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En la Facultad de Ingeniería, realizar una evaluación de la calidad, criterios y políticas de Acceso Abierto Diamante de las publicaciones periódicas científicas institucionales, cada año de 2027 a 2030.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En la Facultad de Ingeniería, abrir 16 talleres culturales cada año de 2027 a 2030 en beneficio de la colectividad universitaria de nivel superior.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En la Facultad de Ingeniería, realizar 16 presentaciones artísticas cada año de 2027 a 2030.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En la Facultad de Ingeniería, organizar un programa de fortalecimiento al talento audiovisual para desarrollar la creatividad cultural de los universitarios, de manera acumulada entre 2027 y 2030.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En la Facultad de Ingeniería, organizar un programa audiovisuales vanguardistas que fomenten la innovación cultural de manera acumulada entre 2027 y 2030.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En la Facultad de Ingeniería, realizar, un programa artísticos que contribuyan al fortalecimiento cultural de la comunidad universitaria cada año de 2027 a 2030.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En la Facultad de Ingeniería, realizar 1 festival cultural que reúna a los talentos de distintos talleres y espacios académicos cada año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En la Facultad de Ingeniería, organizar cada año de 2027 a 2030 un evento regionales que promuevan el bienestar, el autocuidado y la actividad física responsable.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En la Facultad de Ingeniería, mantener cada año de 2027 a 2030 la participación de 40.97% del personal académico en actividades de cultura física.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En la Facultad de Ingeniería, lograr que 30% del personal administrativo participe en actividades de cultura física, cada año de 2027 a 2030.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En la Facultad de Ingeniería, lograr cada año de 2027 a 2030 que 50% de estudiantes del nivel superior participen en actividades de cultura física.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En la Facultad de Ingeniería, contar con la participación cada año de 2027 a 2030 de 6 deportistas universitarios para impulsar su talento competitivo a nivel estatal, nacional e internacional.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En la Facultad de Ingeniería, lograr para 2030 que 64.93% del personal académico de nivel superior participe en actividades de formación.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En la Facultad de Ingeniería, actualizar cada año de 2027 a 2030 a 25% del personal académico del nivel superior en conocimientos propios de la disciplina que enseñan.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En la Facultad de Ingeniería, lograr que 50% de personal académico de nivel superior se capacite en el desarrollo de competencias didácticas y digitales para 2030.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En la Facultad de Ingeniería, capacitar a 100% del personal académico en el nuevo modelo educativo durante la administración para 2030.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En la Facultad de Ingeniería, brindar capacitación en temas transversales a 25% del personal académico de nivel superior cada año de 2027 a 2030.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En la Facultad de Ingeniería, lograr la certificación internacional en una segunda lengua en nivel C1 de cuatro habilidades de 7 profesores de lengua de estudios profesionales de manera acumulada entre 2027 y 2030.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En la Facultad de Ingeniería, contar con 13 PTC en el SNII a más tardar en 2029.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En la Facultad de Ingeniería, alcanzar 74.65% del profesorado de tiempo completo (PTC) con Perfil PRODEP, para 2030.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En la Facultad de Ingeniería, lograr una persona participante del personal académico de Estudios Avanzados en actividades de internacionalización (seminarios, coil, cátedras), de manera acumulada entre 2027 y 2030.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En la Facultad de Ingeniería, lograr que 6 académicos e investigadores participen en estancias internacionales o de movilidad de manera acumulada entre 2027 y 2030.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En la Facultad de Ingeniería, capacitar a 80% de los integrantes del personal administrativo en competencias básicas y técnicas para 2030.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En la Facultad de Ingeniería, capacitar 35% del personal administrativo en competencias transversales, equidad de género, ética y cultura de paz para 2030.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En la Facultad de Ingeniería, capacitar a 20.11% del personal universitario en Tecnologías de la Información y Comunicación, cada año de 2027 a 2030.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En la Facultad de Ingeniería, armonizar 2 manuales de organización de espacios universitarios a 2029 cada año de 2027 a 2030.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En la Facultad de Ingeniería, armonizar un manual de procedimientos de espacios universitarios a 2029 cada año de 2027 a 2030.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En la Facultad de Ingeniería, desarrollar 3 guías de estudio independiente (GEI) cada año de 2027 a 2030.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En la Facultad de Ingeniería, contar con 100% de los espacios académicos con mantenimiento preventivo a equipos de salas de cómputo, cada año de 2027 a 2030.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En la Facultad de Ingeniería, realizar cada año de 2027 a 2030 una campaña de protección universitaria en materia de autoprotección y reacción ante emergencias para la comunidad universitaria de nivel superior.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En la Facultad de Ingeniería, realizar cada año de 2027 a 2030 1 simulacro de acuerdo con la convocatoria nacional.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En la Facultad de Ingeniería, efectuar cada año de 2027 a 2030 una campaña del protocolo de atención integral a víctimas en todas las áreas universitarias.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En la Facultad de Ingeniería, difundir cada año de 2027 a 2030 una campaña de los Protocolos de Seguridad y Protección Civil.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En la Facultad de Ingeniería, realizar 1 curso cada año de 2027 a 2030 dirigido al personal de Protección Universitaria sobre Derechos Humanos y perspectiva de Género.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En la Facultad de Ingeniería, atender cada año de 2027 a 2030 a 273 asistentes a conferencias, foros y charlas, relacionados con la pertenencia universitaria.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En la Facultad de Ingeniería, contar cada año de 2027 a 2030 con 155 asistentes a visitas guiadas.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En la Facultad de Ingeniería, lograr que 100% de los espacios universitarios con cronista cuente con una nueva crónica sobre la historia de su espacio, para 2030.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En la Facultad de Ingeniería, implementar cada año de 2027 a 2030 un programa institucional que fortalezca la generación de ingresos extraordinarios.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En la Facultad de Ingeniería, sensibilizar durante la administración a 40.01% de estudiantado de estudios profesionales en temas de inclusión a grupos históricamente vulnerados para 2030.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En la Facultad de Ingeniería, difundir un material de divulgación (guías, cartillas y manuales) orientados a promover el respeto y reconocimiento de las identidades entre la comunidad universitaria cada año de 2027 a 2030.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En la Facultad de Ingeniería, incrementar a 5% los proyectos de investigación en materia de cultura de paz y estudios de género respecto al total de proyectos de investigación, para 2030.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En la Facultad de Ingeniería, implementar un evento socioculturales con temáticas de inclusión y vulnerabilidad cada año de 2027 a 2030.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En la Facultad de Ingeniería, realizar una actividad cada año de 2027 a 2030 sobre equidad social y de género.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En la Facultad de Ingeniería, implementar un programa de sensibilización en temas de corresponsabilidad y autocuidado cada año de 2027 a 2030.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En la Facultad de Ingeniería, realizar cada año de 2027 a 2030 un taller articulados que fortalezcan el Programa Universitario de Bienestar Integral.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En la Facultad de Ingeniería, certificar cada año de 2027 a 2030 a 10% del personal académico, administrativo de confianza y directivo en materia de bienestar integral.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En la Facultad de Ingeniería, certificar anualmente a 10.03% del personal académico, administrativo de confianza y directivo, en competencias básicas de mediación, gestión pacífica de conflictos y atención a las violencias entre 2027 y 2030.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En la Facultad de Ingeniería, involucrar a 8 estudiantes en actividades comunitarias, proyectos de intervención social y programas extracurriculares orientados a la construcción de paz de manera acumulada entre 2027 y 2030.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En la Facultad de Ingeniería, lograr que 100% de los espacios académicos, realicen actividades culturales con temáticas de igualdad de género y cultura de paz, para 2030.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En la Facultad de Ingeniería, realizar una campaña anuales para difundir los protocolos institucionales de atención y prevención de violencias a toda la comunidad universitaria cada año de 2027 a 2030.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En la Facultad de Ingeniería, lograr la participación de 39.99% de la comunidad universitaria en actividades y programas que promuevan la convivencia pacífica, la inclusión y el respeto, durante la administración para 2030.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En la Facultad de Ingeniería, realizar 1 jornada cada año de 2027 a 2030 sobre los 16 días de activismo con diversas actividades (conferencias, talleres, capacitaciones) presenciales y virtuales en los diversos espacios de la universidad.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En la Facultad de Ingeniería, publicar un contenido anuales en las redes sociales oficiales sobre temas que promuevan la igualdad sustantiva, la prevención de las violencias, la inclusión, el cuidado y la cultura de paz cada año de 2027 a 2030.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En la Facultad de Ingeniería, coordinar un evento de emprendimiento con los responsables del Programa Emprendedor de todos los espacios académicos cada año de 2027 a 2030.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En la Facultad de Ingeniería, realizar una plática o un taller para desarrollar proyectos de negocio, innovación y desarrollo tecnológico, dirigidos a la comunidad universitaria y abiertos a la sociedad en general cada año de 2027 a 2030.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En la Facultad de Ingeniería, capacitar a 5 universitarios y público en general en temas relacionados con la economía social y solidaria cada año de 2027 a 2030.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En la Facultad de Ingeniería, atender un proyecto de economía social y solidaria en el territorio mexiquense de manera acumulada entre 2027 y 2030.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En la Facultad de Ingeniería, ejecutar una colaboración de impacto social con organizaciones locales o sectores productivos de mediano y largo plazo de manera acumulada entre 2027 y 2030.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En la Facultad de Ingeniería, lograr la participación de un espacio académicos en servicios comunitarios de beneficio social y proyectos de Brigadas Universitarias Multidisciplinarias (BUM TUAEMEX) cada año de 2027 a 2030.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En la Facultad de Ingeniería, incrementar 5% al año la participación de universitarios en el Programa de Competencias Laborales para 2030.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En la Facultad de Ingeniería, mantener una colaboración con empresas, instituciones y organizaciones para el Catálogo de descuentos universitarios cada año de 2027 a 2030.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En la Facultad de Ingeniería, aperturar cada año de 2027 a 2030 un grupo de lenguas originarias en algún espacio universitario, CELE o extensión de CELE.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En la Facultad de Ingeniería, lograr que 100% de los espacios académicos cuenten con servicios de Atención Psicológica para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En la Facultad de Ingeniería, realizar una campaña anuales que promuevan los valores universitarios de cercanía, inclusión y progresismo tanto en medios impresos como digitales cada año de 2027 a 2030.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En la Facultad de Ingeniería, establecer un programa de reducción del uso de unicel y desechables entre 2027 y 2030.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En la Facultad de Ingeniería, operar cada año de 2027 a 2030 una campaña de acopio de residuos de aceite vegetal-comestible generado en las cafeterías de los espacios académicos y cocinas de la Licenciatura en Gastronomía.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En la Facultad de Ingeniería, realizar cada año de 2027 a 2030 una campaña institucional de reforestación que incluya las 4 regiones con presencia universitaria.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En la Facultad de Ingeniería, operar cada año de 2027 a 2030 un programa de mantenimiento y fortalecimiento de huertos universitarios.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En la Facultad de Ingeniería, lograr que 100% de los espacios académicos operen el Plan Institucional de Manejo de Residuos Sólidos Urbanos a más tardar en 2029.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En la Facultad de Ingeniería, promover en un espacio académicos el proceso de compostaje de los residuos orgánicos de poda y jardinería a más tardar en 2029.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En la Facultad de Ingeniería, capacitar cada año de 2027 a 2030 a 32 estudiantes de nivel superior en temas de sustentabilidad.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En la Facultad de Ingeniería, capacitar a 19 integrantes del personal docente en temas de sustentabilidad a más tardar en 2029.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En la Facultad de Ingeniería, capacitar a 39 integrantes del personal administrativo en temas de sustentabilidad a más tardar en 2029.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En la Facultad de Ingeniería, implementar un programa de cuidado y ahorro de agua en 100% de los espacios universitarios a más tardar en 2029.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En la Facultad de Ingeniería, ejecutar cada año de 2027 a 2030 un programa institucional de eficiencia energética.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En la Facultad de Ingeniería, efectuar cada año de 2027 a 2030 un programa institucional de reducción de uso de papel.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C154:C155"/>
    <mergeCell ref="I89:I90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2026-09-23T23:24:07Z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