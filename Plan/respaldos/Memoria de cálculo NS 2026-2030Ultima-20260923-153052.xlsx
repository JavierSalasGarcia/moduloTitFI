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plataformaFI\Plan\"/>
    </mc:Choice>
  </mc:AlternateContent>
  <xr:revisionPtr revIDLastSave="0" documentId="13_ncr:1_{795B8851-FD63-47E2-B953-C8D0BBCCA73C}" xr6:coauthVersionLast="47" xr6:coauthVersionMax="47" xr10:uidLastSave="{00000000-0000-0000-0000-000000000000}"/>
  <bookViews>
    <workbookView xWindow="-25560" yWindow="1605" windowWidth="21600" windowHeight="11235" tabRatio="732" firstSheet="13" activeTab="15" xr2:uid="{00000000-000D-0000-FFFF-FFFF00000000}"/>
  </bookViews>
  <sheets>
    <sheet name="2 EstudiantadoEstProf" sheetId="1" r:id="rId1"/>
    <sheet name="Hoja1" sheetId="2" state="hidden" r:id="rId2"/>
    <sheet name="3 Est avanzados excelencia" sheetId="3" r:id="rId3"/>
    <sheet name="4 Investigación abierta" sheetId="4" r:id="rId4"/>
    <sheet name="5 Innovación, desarrollo tec" sheetId="5" r:id="rId5"/>
    <sheet name="6 Dif y divulga de la ciencia" sheetId="6" r:id="rId6"/>
    <sheet name="7 Cultura desarrollo integral" sheetId="7" r:id="rId7"/>
    <sheet name="8 Deporte universitario" sheetId="8" r:id="rId8"/>
    <sheet name="9 Fortalecimiento docente" sheetId="9" r:id="rId9"/>
    <sheet name="10 Dignificación las y los trab" sheetId="10" r:id="rId10"/>
    <sheet name="11 Gestión administrativa" sheetId="11" r:id="rId11"/>
    <sheet name="12 Fortalecimiento tecnológico" sheetId="12" r:id="rId12"/>
    <sheet name="13 Gobernanza" sheetId="13" r:id="rId13"/>
    <sheet name="16 Manejo recursos universitari" sheetId="14" r:id="rId14"/>
    <sheet name="18 Reconocimiento de la diversi" sheetId="15" r:id="rId15"/>
    <sheet name="19 Constr cultura de paz " sheetId="16" r:id="rId16"/>
    <sheet name="20 Retribución social " sheetId="17" r:id="rId17"/>
    <sheet name="21 Comunicación universitaria" sheetId="18" r:id="rId18"/>
    <sheet name="22 Sostenibilidad ambiental " sheetId="19" r:id="rId19"/>
    <sheet name="Indicadores x proyec" sheetId="20" state="hidden" r:id="rId20"/>
    <sheet name="Apertura programática" sheetId="21" r:id="rId21"/>
    <sheet name="Metas adicionales" sheetId="22" r:id="rId22"/>
  </sheets>
  <definedNames>
    <definedName name="_xlnm._FilterDatabase" localSheetId="16" hidden="1">'20 Retribución social '!$A$1:$X$13</definedName>
    <definedName name="_xlnm._FilterDatabase" localSheetId="21" hidden="1">'Metas adicionales'!$A$2:$Q$63</definedName>
    <definedName name="_Toc82616607" localSheetId="0">'2 EstudiantadoEstProf'!#REF!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3" i="22" l="1"/>
  <c r="N63" i="22"/>
  <c r="M63" i="22"/>
  <c r="L63" i="22"/>
  <c r="K63" i="22"/>
  <c r="O62" i="22"/>
  <c r="N62" i="22"/>
  <c r="M62" i="22"/>
  <c r="L62" i="22"/>
  <c r="K62" i="22"/>
  <c r="O61" i="22"/>
  <c r="N61" i="22"/>
  <c r="M61" i="22"/>
  <c r="L61" i="22"/>
  <c r="K61" i="22"/>
  <c r="O60" i="22"/>
  <c r="N60" i="22"/>
  <c r="M60" i="22"/>
  <c r="L60" i="22"/>
  <c r="K60" i="22"/>
  <c r="O59" i="22"/>
  <c r="N59" i="22"/>
  <c r="M59" i="22"/>
  <c r="L59" i="22"/>
  <c r="K59" i="22"/>
  <c r="O58" i="22"/>
  <c r="N58" i="22"/>
  <c r="M58" i="22"/>
  <c r="L58" i="22"/>
  <c r="K58" i="22"/>
  <c r="O57" i="22"/>
  <c r="N57" i="22"/>
  <c r="M57" i="22"/>
  <c r="L57" i="22"/>
  <c r="K57" i="22"/>
  <c r="O56" i="22"/>
  <c r="N56" i="22"/>
  <c r="M56" i="22"/>
  <c r="L56" i="22"/>
  <c r="K56" i="22"/>
  <c r="O55" i="22"/>
  <c r="N55" i="22"/>
  <c r="M55" i="22"/>
  <c r="L55" i="22"/>
  <c r="K55" i="22"/>
  <c r="O54" i="22"/>
  <c r="N54" i="22"/>
  <c r="M54" i="22"/>
  <c r="L54" i="22"/>
  <c r="K54" i="22"/>
  <c r="O53" i="22"/>
  <c r="N53" i="22"/>
  <c r="M53" i="22"/>
  <c r="L53" i="22"/>
  <c r="K53" i="22"/>
  <c r="O52" i="22"/>
  <c r="N52" i="22"/>
  <c r="M52" i="22"/>
  <c r="L52" i="22"/>
  <c r="K52" i="22"/>
  <c r="O51" i="22"/>
  <c r="N51" i="22"/>
  <c r="M51" i="22"/>
  <c r="L51" i="22"/>
  <c r="K51" i="22"/>
  <c r="O50" i="22"/>
  <c r="N50" i="22"/>
  <c r="M50" i="22"/>
  <c r="L50" i="22"/>
  <c r="K50" i="22"/>
  <c r="O49" i="22"/>
  <c r="N49" i="22"/>
  <c r="M49" i="22"/>
  <c r="L49" i="22"/>
  <c r="K49" i="22"/>
  <c r="O48" i="22"/>
  <c r="N48" i="22"/>
  <c r="M48" i="22"/>
  <c r="L48" i="22"/>
  <c r="K48" i="22"/>
  <c r="O47" i="22"/>
  <c r="N47" i="22"/>
  <c r="M47" i="22"/>
  <c r="L47" i="22"/>
  <c r="K47" i="22"/>
  <c r="O46" i="22"/>
  <c r="N46" i="22"/>
  <c r="M46" i="22"/>
  <c r="L46" i="22"/>
  <c r="K46" i="22"/>
  <c r="O45" i="22"/>
  <c r="N45" i="22"/>
  <c r="M45" i="22"/>
  <c r="L45" i="22"/>
  <c r="K45" i="22"/>
  <c r="O44" i="22"/>
  <c r="N44" i="22"/>
  <c r="M44" i="22"/>
  <c r="L44" i="22"/>
  <c r="K44" i="22"/>
  <c r="O43" i="22"/>
  <c r="N43" i="22"/>
  <c r="M43" i="22"/>
  <c r="L43" i="22"/>
  <c r="K43" i="22"/>
  <c r="O42" i="22"/>
  <c r="N42" i="22"/>
  <c r="M42" i="22"/>
  <c r="L42" i="22"/>
  <c r="K42" i="22"/>
  <c r="O41" i="22"/>
  <c r="N41" i="22"/>
  <c r="M41" i="22"/>
  <c r="L41" i="22"/>
  <c r="K41" i="22"/>
  <c r="O40" i="22"/>
  <c r="N40" i="22"/>
  <c r="M40" i="22"/>
  <c r="L40" i="22"/>
  <c r="K40" i="22"/>
  <c r="O39" i="22"/>
  <c r="N39" i="22"/>
  <c r="M39" i="22"/>
  <c r="L39" i="22"/>
  <c r="K39" i="22"/>
  <c r="O38" i="22"/>
  <c r="N38" i="22"/>
  <c r="M38" i="22"/>
  <c r="L38" i="22"/>
  <c r="K38" i="22"/>
  <c r="O37" i="22"/>
  <c r="N37" i="22"/>
  <c r="M37" i="22"/>
  <c r="L37" i="22"/>
  <c r="K37" i="22"/>
  <c r="O36" i="22"/>
  <c r="N36" i="22"/>
  <c r="M36" i="22"/>
  <c r="L36" i="22"/>
  <c r="K36" i="22"/>
  <c r="O35" i="22"/>
  <c r="N35" i="22"/>
  <c r="M35" i="22"/>
  <c r="L35" i="22"/>
  <c r="K35" i="22"/>
  <c r="O34" i="22"/>
  <c r="N34" i="22"/>
  <c r="M34" i="22"/>
  <c r="L34" i="22"/>
  <c r="K34" i="22"/>
  <c r="O33" i="22"/>
  <c r="N33" i="22"/>
  <c r="M33" i="22"/>
  <c r="L33" i="22"/>
  <c r="K33" i="22"/>
  <c r="O32" i="22"/>
  <c r="N32" i="22"/>
  <c r="M32" i="22"/>
  <c r="L32" i="22"/>
  <c r="K32" i="22"/>
  <c r="O31" i="22"/>
  <c r="N31" i="22"/>
  <c r="M31" i="22"/>
  <c r="L31" i="22"/>
  <c r="K31" i="22"/>
  <c r="O30" i="22"/>
  <c r="N30" i="22"/>
  <c r="M30" i="22"/>
  <c r="L30" i="22"/>
  <c r="K30" i="22"/>
  <c r="O29" i="22"/>
  <c r="N29" i="22"/>
  <c r="M29" i="22"/>
  <c r="L29" i="22"/>
  <c r="K29" i="22"/>
  <c r="O28" i="22"/>
  <c r="N28" i="22"/>
  <c r="M28" i="22"/>
  <c r="L28" i="22"/>
  <c r="K28" i="22"/>
  <c r="O27" i="22"/>
  <c r="N27" i="22"/>
  <c r="M27" i="22"/>
  <c r="L27" i="22"/>
  <c r="K27" i="22"/>
  <c r="O26" i="22"/>
  <c r="N26" i="22"/>
  <c r="M26" i="22"/>
  <c r="L26" i="22"/>
  <c r="K26" i="22"/>
  <c r="O25" i="22"/>
  <c r="N25" i="22"/>
  <c r="M25" i="22"/>
  <c r="L25" i="22"/>
  <c r="K25" i="22"/>
  <c r="O24" i="22"/>
  <c r="N24" i="22"/>
  <c r="M24" i="22"/>
  <c r="L24" i="22"/>
  <c r="K24" i="22"/>
  <c r="O23" i="22"/>
  <c r="N23" i="22"/>
  <c r="M23" i="22"/>
  <c r="L23" i="22"/>
  <c r="K23" i="22"/>
  <c r="O22" i="22"/>
  <c r="N22" i="22"/>
  <c r="M22" i="22"/>
  <c r="L22" i="22"/>
  <c r="K22" i="22"/>
  <c r="O21" i="22"/>
  <c r="N21" i="22"/>
  <c r="M21" i="22"/>
  <c r="L21" i="22"/>
  <c r="K21" i="22"/>
  <c r="O20" i="22"/>
  <c r="N20" i="22"/>
  <c r="M20" i="22"/>
  <c r="L20" i="22"/>
  <c r="K20" i="22"/>
  <c r="O19" i="22"/>
  <c r="N19" i="22"/>
  <c r="M19" i="22"/>
  <c r="L19" i="22"/>
  <c r="K19" i="22"/>
  <c r="O18" i="22"/>
  <c r="N18" i="22"/>
  <c r="M18" i="22"/>
  <c r="L18" i="22"/>
  <c r="K18" i="22"/>
  <c r="O17" i="22"/>
  <c r="N17" i="22"/>
  <c r="M17" i="22"/>
  <c r="L17" i="22"/>
  <c r="K17" i="22"/>
  <c r="O16" i="22"/>
  <c r="N16" i="22"/>
  <c r="M16" i="22"/>
  <c r="L16" i="22"/>
  <c r="K16" i="22"/>
  <c r="O15" i="22"/>
  <c r="N15" i="22"/>
  <c r="M15" i="22"/>
  <c r="L15" i="22"/>
  <c r="K15" i="22"/>
  <c r="O14" i="22"/>
  <c r="N14" i="22"/>
  <c r="M14" i="22"/>
  <c r="L14" i="22"/>
  <c r="K14" i="22"/>
  <c r="O13" i="22"/>
  <c r="N13" i="22"/>
  <c r="M13" i="22"/>
  <c r="L13" i="22"/>
  <c r="K13" i="22"/>
  <c r="O12" i="22"/>
  <c r="N12" i="22"/>
  <c r="M12" i="22"/>
  <c r="L12" i="22"/>
  <c r="K12" i="22"/>
  <c r="O11" i="22"/>
  <c r="N11" i="22"/>
  <c r="M11" i="22"/>
  <c r="L11" i="22"/>
  <c r="K11" i="22"/>
  <c r="O10" i="22"/>
  <c r="N10" i="22"/>
  <c r="M10" i="22"/>
  <c r="L10" i="22"/>
  <c r="K10" i="22"/>
  <c r="O9" i="22"/>
  <c r="N9" i="22"/>
  <c r="M9" i="22"/>
  <c r="L9" i="22"/>
  <c r="K9" i="22"/>
  <c r="O8" i="22"/>
  <c r="N8" i="22"/>
  <c r="M8" i="22"/>
  <c r="L8" i="22"/>
  <c r="K8" i="22"/>
  <c r="O7" i="22"/>
  <c r="N7" i="22"/>
  <c r="M7" i="22"/>
  <c r="L7" i="22"/>
  <c r="K7" i="22"/>
  <c r="O6" i="22"/>
  <c r="N6" i="22"/>
  <c r="M6" i="22"/>
  <c r="L6" i="22"/>
  <c r="K6" i="22"/>
  <c r="O5" i="22"/>
  <c r="N5" i="22"/>
  <c r="M5" i="22"/>
  <c r="L5" i="22"/>
  <c r="K5" i="22"/>
  <c r="O4" i="22"/>
  <c r="N4" i="22"/>
  <c r="M4" i="22"/>
  <c r="L4" i="22"/>
  <c r="K4" i="22"/>
  <c r="O3" i="22"/>
  <c r="N3" i="22"/>
  <c r="M3" i="22"/>
  <c r="L3" i="22"/>
  <c r="K3" i="22"/>
  <c r="I224" i="21"/>
  <c r="H224" i="21"/>
  <c r="B224" i="21"/>
  <c r="I223" i="21"/>
  <c r="H223" i="21"/>
  <c r="B223" i="21"/>
  <c r="I222" i="21"/>
  <c r="H222" i="21"/>
  <c r="B222" i="21"/>
  <c r="I221" i="21"/>
  <c r="H221" i="21"/>
  <c r="B221" i="21"/>
  <c r="I220" i="21"/>
  <c r="H220" i="21"/>
  <c r="B220" i="21"/>
  <c r="I219" i="21"/>
  <c r="H219" i="21"/>
  <c r="B219" i="21"/>
  <c r="I218" i="21"/>
  <c r="H218" i="21"/>
  <c r="B218" i="21"/>
  <c r="I217" i="21"/>
  <c r="H217" i="21"/>
  <c r="B217" i="21"/>
  <c r="I216" i="21"/>
  <c r="H216" i="21"/>
  <c r="B216" i="21"/>
  <c r="I215" i="21"/>
  <c r="H215" i="21"/>
  <c r="B215" i="21"/>
  <c r="I214" i="21"/>
  <c r="H214" i="21"/>
  <c r="B214" i="21"/>
  <c r="I213" i="21"/>
  <c r="H213" i="21"/>
  <c r="B213" i="21"/>
  <c r="G211" i="21"/>
  <c r="I206" i="21"/>
  <c r="H206" i="21"/>
  <c r="B206" i="21"/>
  <c r="G204" i="21"/>
  <c r="I199" i="21"/>
  <c r="H199" i="21"/>
  <c r="B199" i="21"/>
  <c r="I198" i="21"/>
  <c r="H198" i="21"/>
  <c r="B198" i="21"/>
  <c r="I197" i="21"/>
  <c r="H197" i="21"/>
  <c r="B197" i="21"/>
  <c r="I195" i="21"/>
  <c r="H195" i="21"/>
  <c r="B195" i="21"/>
  <c r="I194" i="21"/>
  <c r="H194" i="21"/>
  <c r="B194" i="21"/>
  <c r="I193" i="21"/>
  <c r="H193" i="21"/>
  <c r="B193" i="21"/>
  <c r="I192" i="21"/>
  <c r="H192" i="21"/>
  <c r="B192" i="21"/>
  <c r="I191" i="21"/>
  <c r="H191" i="21"/>
  <c r="B191" i="21"/>
  <c r="I190" i="21"/>
  <c r="H190" i="21"/>
  <c r="B190" i="21"/>
  <c r="G188" i="21"/>
  <c r="I183" i="21"/>
  <c r="H183" i="21"/>
  <c r="B183" i="21"/>
  <c r="I182" i="21"/>
  <c r="H182" i="21"/>
  <c r="B182" i="21"/>
  <c r="I180" i="21"/>
  <c r="H180" i="21"/>
  <c r="B180" i="21"/>
  <c r="I179" i="21"/>
  <c r="H179" i="21"/>
  <c r="B179" i="21"/>
  <c r="I178" i="21"/>
  <c r="H178" i="21"/>
  <c r="B178" i="21"/>
  <c r="I177" i="21"/>
  <c r="H177" i="21"/>
  <c r="G175" i="21"/>
  <c r="I170" i="21"/>
  <c r="H170" i="21"/>
  <c r="B170" i="21"/>
  <c r="I169" i="21"/>
  <c r="H169" i="21"/>
  <c r="B169" i="21"/>
  <c r="I168" i="21"/>
  <c r="H168" i="21"/>
  <c r="B168" i="21"/>
  <c r="I167" i="21"/>
  <c r="H167" i="21"/>
  <c r="B167" i="21"/>
  <c r="I166" i="21"/>
  <c r="H166" i="21"/>
  <c r="B166" i="21"/>
  <c r="I164" i="21"/>
  <c r="H164" i="21"/>
  <c r="B164" i="21"/>
  <c r="G161" i="21"/>
  <c r="I156" i="21"/>
  <c r="H156" i="21"/>
  <c r="B156" i="21"/>
  <c r="G154" i="21"/>
  <c r="I149" i="21"/>
  <c r="H149" i="21"/>
  <c r="B149" i="21"/>
  <c r="I148" i="21"/>
  <c r="H148" i="21"/>
  <c r="B148" i="21"/>
  <c r="I147" i="21"/>
  <c r="H147" i="21"/>
  <c r="B147" i="21"/>
  <c r="I146" i="21"/>
  <c r="H146" i="21"/>
  <c r="B146" i="21"/>
  <c r="I145" i="21"/>
  <c r="H145" i="21"/>
  <c r="B145" i="21"/>
  <c r="I144" i="21"/>
  <c r="H144" i="21"/>
  <c r="B144" i="21"/>
  <c r="I143" i="21"/>
  <c r="H143" i="21"/>
  <c r="B143" i="21"/>
  <c r="I142" i="21"/>
  <c r="H142" i="21"/>
  <c r="E142" i="21"/>
  <c r="D142" i="21"/>
  <c r="C142" i="21"/>
  <c r="B142" i="21"/>
  <c r="G140" i="21"/>
  <c r="I135" i="21"/>
  <c r="H135" i="21"/>
  <c r="G135" i="21"/>
  <c r="F135" i="21"/>
  <c r="E135" i="21"/>
  <c r="D135" i="21"/>
  <c r="C135" i="21"/>
  <c r="B135" i="21"/>
  <c r="I134" i="21"/>
  <c r="H134" i="21"/>
  <c r="G134" i="21"/>
  <c r="F134" i="21"/>
  <c r="E134" i="21"/>
  <c r="D134" i="21"/>
  <c r="C134" i="21"/>
  <c r="B134" i="21"/>
  <c r="G132" i="21"/>
  <c r="I127" i="21"/>
  <c r="H127" i="21"/>
  <c r="G127" i="21"/>
  <c r="F127" i="21"/>
  <c r="E127" i="21"/>
  <c r="D127" i="21"/>
  <c r="C127" i="21"/>
  <c r="B127" i="21"/>
  <c r="I126" i="21"/>
  <c r="H126" i="21"/>
  <c r="G126" i="21"/>
  <c r="F126" i="21"/>
  <c r="E126" i="21"/>
  <c r="D126" i="21"/>
  <c r="C126" i="21"/>
  <c r="B126" i="21"/>
  <c r="G124" i="21"/>
  <c r="I119" i="21"/>
  <c r="H119" i="21"/>
  <c r="G119" i="21"/>
  <c r="F119" i="21"/>
  <c r="E119" i="21"/>
  <c r="G115" i="21"/>
  <c r="I111" i="21"/>
  <c r="H111" i="21"/>
  <c r="G111" i="21"/>
  <c r="F111" i="21"/>
  <c r="E111" i="21"/>
  <c r="D111" i="21"/>
  <c r="C111" i="21"/>
  <c r="B111" i="21"/>
  <c r="I110" i="21"/>
  <c r="H110" i="21"/>
  <c r="G110" i="21"/>
  <c r="F110" i="21"/>
  <c r="E110" i="21"/>
  <c r="D110" i="21"/>
  <c r="C110" i="21"/>
  <c r="B110" i="21"/>
  <c r="I108" i="21"/>
  <c r="H108" i="21"/>
  <c r="G108" i="21"/>
  <c r="F108" i="21"/>
  <c r="E108" i="21"/>
  <c r="D108" i="21"/>
  <c r="C108" i="21"/>
  <c r="B108" i="21"/>
  <c r="I107" i="21"/>
  <c r="H107" i="21"/>
  <c r="G107" i="21"/>
  <c r="F107" i="21"/>
  <c r="E107" i="21"/>
  <c r="D107" i="21"/>
  <c r="B107" i="21"/>
  <c r="G100" i="21"/>
  <c r="I95" i="21"/>
  <c r="H95" i="21"/>
  <c r="B95" i="21"/>
  <c r="I91" i="21"/>
  <c r="H91" i="21"/>
  <c r="B91" i="21"/>
  <c r="G89" i="21"/>
  <c r="I85" i="21"/>
  <c r="H85" i="21"/>
  <c r="B85" i="21"/>
  <c r="I84" i="21"/>
  <c r="H84" i="21"/>
  <c r="B84" i="21"/>
  <c r="I83" i="21"/>
  <c r="H83" i="21"/>
  <c r="B83" i="21"/>
  <c r="I82" i="21"/>
  <c r="H82" i="21"/>
  <c r="B82" i="21"/>
  <c r="I81" i="21"/>
  <c r="H81" i="21"/>
  <c r="B81" i="21"/>
  <c r="I80" i="21"/>
  <c r="H80" i="21"/>
  <c r="B80" i="21"/>
  <c r="G78" i="21"/>
  <c r="I74" i="21"/>
  <c r="H74" i="21"/>
  <c r="D74" i="21"/>
  <c r="C74" i="21"/>
  <c r="B74" i="21"/>
  <c r="I73" i="21"/>
  <c r="H73" i="21"/>
  <c r="G73" i="21"/>
  <c r="F73" i="21"/>
  <c r="E73" i="21"/>
  <c r="D73" i="21"/>
  <c r="C73" i="21"/>
  <c r="B73" i="21"/>
  <c r="I72" i="21"/>
  <c r="H72" i="21"/>
  <c r="G72" i="21"/>
  <c r="F72" i="21"/>
  <c r="E72" i="21"/>
  <c r="D72" i="21"/>
  <c r="C72" i="21"/>
  <c r="B72" i="21"/>
  <c r="G70" i="21"/>
  <c r="I66" i="21"/>
  <c r="H66" i="21"/>
  <c r="G66" i="21"/>
  <c r="F66" i="21"/>
  <c r="E66" i="21"/>
  <c r="D66" i="21"/>
  <c r="C66" i="21"/>
  <c r="B66" i="21"/>
  <c r="I65" i="21"/>
  <c r="H65" i="21"/>
  <c r="G65" i="21"/>
  <c r="F65" i="21"/>
  <c r="E65" i="21"/>
  <c r="D65" i="21"/>
  <c r="C65" i="21"/>
  <c r="B65" i="21"/>
  <c r="G63" i="21"/>
  <c r="B59" i="21"/>
  <c r="I58" i="21"/>
  <c r="H58" i="21"/>
  <c r="B58" i="21"/>
  <c r="I57" i="21"/>
  <c r="H57" i="21"/>
  <c r="G57" i="21"/>
  <c r="F57" i="21"/>
  <c r="E57" i="21"/>
  <c r="D57" i="21"/>
  <c r="C57" i="21"/>
  <c r="B57" i="21"/>
  <c r="I56" i="21"/>
  <c r="H56" i="21"/>
  <c r="G56" i="21"/>
  <c r="F56" i="21"/>
  <c r="E56" i="21"/>
  <c r="D56" i="21"/>
  <c r="C56" i="21"/>
  <c r="B56" i="21"/>
  <c r="I55" i="21"/>
  <c r="H55" i="21"/>
  <c r="B55" i="21"/>
  <c r="I54" i="21"/>
  <c r="H54" i="21"/>
  <c r="I52" i="21"/>
  <c r="H52" i="21"/>
  <c r="B52" i="21"/>
  <c r="G50" i="21"/>
  <c r="I44" i="21"/>
  <c r="H44" i="21"/>
  <c r="B44" i="21"/>
  <c r="I43" i="21"/>
  <c r="H43" i="21"/>
  <c r="B43" i="21"/>
  <c r="I42" i="21"/>
  <c r="H42" i="21"/>
  <c r="B42" i="21"/>
  <c r="I41" i="21"/>
  <c r="H41" i="21"/>
  <c r="B41" i="21"/>
  <c r="I40" i="21"/>
  <c r="H40" i="21"/>
  <c r="B40" i="21"/>
  <c r="I39" i="21"/>
  <c r="H39" i="21"/>
  <c r="B39" i="21"/>
  <c r="G37" i="21"/>
  <c r="I33" i="21"/>
  <c r="H33" i="21"/>
  <c r="B33" i="21"/>
  <c r="I32" i="21"/>
  <c r="H32" i="21"/>
  <c r="B32" i="21"/>
  <c r="I31" i="21"/>
  <c r="H31" i="21"/>
  <c r="B31" i="21"/>
  <c r="I30" i="21"/>
  <c r="H30" i="21"/>
  <c r="B30" i="21"/>
  <c r="I28" i="21"/>
  <c r="H28" i="21"/>
  <c r="B28" i="21"/>
  <c r="I25" i="21"/>
  <c r="H25" i="21"/>
  <c r="B25" i="21"/>
  <c r="I23" i="21"/>
  <c r="H23" i="21"/>
  <c r="B23" i="21"/>
  <c r="I22" i="21"/>
  <c r="H22" i="21"/>
  <c r="B22" i="21"/>
  <c r="I21" i="21"/>
  <c r="H21" i="21"/>
  <c r="B21" i="21"/>
  <c r="I20" i="21"/>
  <c r="H20" i="21"/>
  <c r="B20" i="21"/>
  <c r="I18" i="21"/>
  <c r="H18" i="21"/>
  <c r="B18" i="21"/>
  <c r="I17" i="21"/>
  <c r="H17" i="21"/>
  <c r="B17" i="21"/>
  <c r="I16" i="21"/>
  <c r="H16" i="21"/>
  <c r="B16" i="21"/>
  <c r="I15" i="21"/>
  <c r="H15" i="21"/>
  <c r="B15" i="21"/>
  <c r="I14" i="21"/>
  <c r="H14" i="21"/>
  <c r="B14" i="21"/>
  <c r="I13" i="21"/>
  <c r="H13" i="21"/>
  <c r="B13" i="21"/>
  <c r="I9" i="21"/>
  <c r="H9" i="21"/>
  <c r="B9" i="21"/>
  <c r="I8" i="21"/>
  <c r="H8" i="21"/>
  <c r="B8" i="21"/>
  <c r="G6" i="21"/>
  <c r="J104" i="20" a="1"/>
  <c r="J105" i="20" s="1"/>
  <c r="J104" i="20"/>
  <c r="I196" i="21" s="1"/>
  <c r="I104" i="20" a="1"/>
  <c r="I105" i="20" s="1"/>
  <c r="I104" i="20"/>
  <c r="H196" i="21" s="1"/>
  <c r="C104" i="20" a="1"/>
  <c r="C104" i="20"/>
  <c r="B104" i="20" a="1"/>
  <c r="B105" i="20" s="1"/>
  <c r="B104" i="20"/>
  <c r="B196" i="21" s="1"/>
  <c r="J98" i="20" a="1"/>
  <c r="J99" i="20" s="1"/>
  <c r="J98" i="20"/>
  <c r="I181" i="21" s="1"/>
  <c r="I98" i="20" a="1"/>
  <c r="C98" i="20" a="1"/>
  <c r="C98" i="20" s="1"/>
  <c r="B98" i="20" a="1"/>
  <c r="J96" i="20" a="1"/>
  <c r="J96" i="20"/>
  <c r="I96" i="20" a="1"/>
  <c r="I96" i="20"/>
  <c r="C96" i="20" a="1"/>
  <c r="C96" i="20"/>
  <c r="B96" i="20" a="1"/>
  <c r="B96" i="20"/>
  <c r="B177" i="21" s="1"/>
  <c r="J90" i="20" a="1"/>
  <c r="J91" i="20" s="1"/>
  <c r="J90" i="20"/>
  <c r="I165" i="21" s="1"/>
  <c r="I90" i="20" a="1"/>
  <c r="I91" i="20" s="1"/>
  <c r="I90" i="20"/>
  <c r="H165" i="21" s="1"/>
  <c r="C90" i="20" a="1"/>
  <c r="C90" i="20"/>
  <c r="B90" i="20" a="1"/>
  <c r="B91" i="20" s="1"/>
  <c r="B90" i="20"/>
  <c r="B165" i="21" s="1"/>
  <c r="J88" i="20" a="1"/>
  <c r="I88" i="20" a="1"/>
  <c r="C88" i="20" a="1"/>
  <c r="C88" i="20"/>
  <c r="B88" i="20" a="1"/>
  <c r="B89" i="20" s="1"/>
  <c r="B88" i="20"/>
  <c r="B163" i="21" s="1"/>
  <c r="J82" i="20"/>
  <c r="I82" i="20"/>
  <c r="H82" i="20"/>
  <c r="G82" i="20"/>
  <c r="F82" i="20"/>
  <c r="E82" i="20"/>
  <c r="D119" i="21" s="1"/>
  <c r="D82" i="20"/>
  <c r="C119" i="21" s="1"/>
  <c r="C82" i="20"/>
  <c r="B82" i="20"/>
  <c r="B119" i="21" s="1"/>
  <c r="J80" i="20"/>
  <c r="I118" i="21" s="1"/>
  <c r="I80" i="20"/>
  <c r="H118" i="21" s="1"/>
  <c r="H80" i="20"/>
  <c r="G118" i="21" s="1"/>
  <c r="G80" i="20"/>
  <c r="F118" i="21" s="1"/>
  <c r="F80" i="20"/>
  <c r="E118" i="21" s="1"/>
  <c r="E80" i="20"/>
  <c r="D118" i="21" s="1"/>
  <c r="D80" i="20"/>
  <c r="C118" i="21" s="1"/>
  <c r="C80" i="20"/>
  <c r="B80" i="20"/>
  <c r="B118" i="21" s="1"/>
  <c r="J78" i="20"/>
  <c r="I117" i="21" s="1"/>
  <c r="I78" i="20"/>
  <c r="H117" i="21" s="1"/>
  <c r="E78" i="20"/>
  <c r="D117" i="21" s="1"/>
  <c r="D78" i="20"/>
  <c r="C117" i="21" s="1"/>
  <c r="C78" i="20"/>
  <c r="B78" i="20"/>
  <c r="B117" i="21" s="1"/>
  <c r="J72" i="20"/>
  <c r="I109" i="21" s="1"/>
  <c r="I72" i="20"/>
  <c r="H109" i="21" s="1"/>
  <c r="H72" i="20"/>
  <c r="G109" i="21" s="1"/>
  <c r="G72" i="20"/>
  <c r="F109" i="21" s="1"/>
  <c r="F72" i="20"/>
  <c r="E109" i="21" s="1"/>
  <c r="E72" i="20"/>
  <c r="D109" i="21" s="1"/>
  <c r="D72" i="20"/>
  <c r="C109" i="21" s="1"/>
  <c r="C72" i="20"/>
  <c r="B72" i="20"/>
  <c r="B109" i="21" s="1"/>
  <c r="J70" i="20"/>
  <c r="I106" i="21" s="1"/>
  <c r="I70" i="20"/>
  <c r="H106" i="21" s="1"/>
  <c r="H70" i="20"/>
  <c r="G106" i="21" s="1"/>
  <c r="G70" i="20"/>
  <c r="F106" i="21" s="1"/>
  <c r="F70" i="20"/>
  <c r="E106" i="21" s="1"/>
  <c r="E70" i="20"/>
  <c r="D106" i="21" s="1"/>
  <c r="D70" i="20"/>
  <c r="C106" i="21" s="1"/>
  <c r="C70" i="20"/>
  <c r="B70" i="20" a="1"/>
  <c r="J68" i="20"/>
  <c r="I105" i="21" s="1"/>
  <c r="I68" i="20"/>
  <c r="H105" i="21" s="1"/>
  <c r="H68" i="20"/>
  <c r="G105" i="21" s="1"/>
  <c r="G68" i="20"/>
  <c r="F105" i="21" s="1"/>
  <c r="F68" i="20"/>
  <c r="E105" i="21" s="1"/>
  <c r="C68" i="20"/>
  <c r="B68" i="20" a="1"/>
  <c r="J66" i="20"/>
  <c r="I104" i="21" s="1"/>
  <c r="I66" i="20"/>
  <c r="H104" i="21" s="1"/>
  <c r="C66" i="20"/>
  <c r="B66" i="20" a="1"/>
  <c r="B67" i="20" s="1"/>
  <c r="B66" i="20"/>
  <c r="B104" i="21" s="1"/>
  <c r="J64" i="20"/>
  <c r="I103" i="21" s="1"/>
  <c r="I64" i="20"/>
  <c r="H103" i="21" s="1"/>
  <c r="C64" i="20"/>
  <c r="B64" i="20" a="1"/>
  <c r="B65" i="20" s="1"/>
  <c r="B64" i="20"/>
  <c r="B103" i="21" s="1"/>
  <c r="J62" i="20"/>
  <c r="I102" i="21" s="1"/>
  <c r="I62" i="20"/>
  <c r="H102" i="21" s="1"/>
  <c r="C62" i="20"/>
  <c r="B62" i="20" a="1"/>
  <c r="B63" i="20" s="1"/>
  <c r="B62" i="20"/>
  <c r="B102" i="21" s="1"/>
  <c r="J56" i="20"/>
  <c r="I94" i="21" s="1"/>
  <c r="I56" i="20"/>
  <c r="H94" i="21" s="1"/>
  <c r="C56" i="20"/>
  <c r="B56" i="20"/>
  <c r="B94" i="21" s="1"/>
  <c r="J54" i="20"/>
  <c r="I93" i="21" s="1"/>
  <c r="I54" i="20"/>
  <c r="H93" i="21" s="1"/>
  <c r="C54" i="20"/>
  <c r="B54" i="20"/>
  <c r="B93" i="21" s="1"/>
  <c r="J52" i="20"/>
  <c r="I92" i="21" s="1"/>
  <c r="I52" i="20"/>
  <c r="H92" i="21" s="1"/>
  <c r="C52" i="20"/>
  <c r="B52" i="20"/>
  <c r="B92" i="21" s="1"/>
  <c r="J46" i="20"/>
  <c r="I59" i="21" s="1"/>
  <c r="I46" i="20"/>
  <c r="H59" i="21" s="1"/>
  <c r="H46" i="20"/>
  <c r="G59" i="21" s="1"/>
  <c r="G46" i="20"/>
  <c r="F59" i="21" s="1"/>
  <c r="F46" i="20"/>
  <c r="E59" i="21" s="1"/>
  <c r="E46" i="20"/>
  <c r="D59" i="21" s="1"/>
  <c r="D46" i="20"/>
  <c r="C59" i="21" s="1"/>
  <c r="C46" i="20"/>
  <c r="B46" i="20"/>
  <c r="J44" i="20"/>
  <c r="I44" i="20"/>
  <c r="C44" i="20"/>
  <c r="B44" i="20"/>
  <c r="J42" i="20"/>
  <c r="I42" i="20"/>
  <c r="C42" i="20"/>
  <c r="B42" i="20"/>
  <c r="J40" i="20"/>
  <c r="I40" i="20"/>
  <c r="C40" i="20"/>
  <c r="B40" i="20"/>
  <c r="B54" i="21" s="1"/>
  <c r="J38" i="20"/>
  <c r="I53" i="21" s="1"/>
  <c r="I38" i="20"/>
  <c r="H53" i="21" s="1"/>
  <c r="C38" i="20"/>
  <c r="B38" i="20"/>
  <c r="B53" i="21" s="1"/>
  <c r="J32" i="20"/>
  <c r="I45" i="21" s="1"/>
  <c r="I32" i="20"/>
  <c r="H45" i="21" s="1"/>
  <c r="C32" i="20"/>
  <c r="B32" i="20"/>
  <c r="B45" i="21" s="1"/>
  <c r="J26" i="20"/>
  <c r="I29" i="21" s="1"/>
  <c r="I26" i="20"/>
  <c r="H29" i="21" s="1"/>
  <c r="C26" i="20"/>
  <c r="B26" i="20"/>
  <c r="B29" i="21" s="1"/>
  <c r="J22" i="20"/>
  <c r="I27" i="21" s="1"/>
  <c r="I22" i="20"/>
  <c r="H27" i="21" s="1"/>
  <c r="C22" i="20"/>
  <c r="B22" i="20"/>
  <c r="B27" i="21" s="1"/>
  <c r="J20" i="20"/>
  <c r="I26" i="21" s="1"/>
  <c r="I20" i="20"/>
  <c r="H26" i="21" s="1"/>
  <c r="C20" i="20"/>
  <c r="B20" i="20"/>
  <c r="B26" i="21" s="1"/>
  <c r="J18" i="20"/>
  <c r="I24" i="21" s="1"/>
  <c r="I18" i="20"/>
  <c r="H24" i="21" s="1"/>
  <c r="C18" i="20"/>
  <c r="B18" i="20"/>
  <c r="B24" i="21" s="1"/>
  <c r="J16" i="20"/>
  <c r="I19" i="21" s="1"/>
  <c r="I16" i="20"/>
  <c r="H19" i="21" s="1"/>
  <c r="C16" i="20"/>
  <c r="B16" i="20"/>
  <c r="B19" i="21" s="1"/>
  <c r="J14" i="20"/>
  <c r="I14" i="20"/>
  <c r="C14" i="20"/>
  <c r="B14" i="20"/>
  <c r="J12" i="20"/>
  <c r="I12" i="21" s="1"/>
  <c r="I12" i="20"/>
  <c r="H12" i="21" s="1"/>
  <c r="C12" i="20"/>
  <c r="B12" i="20"/>
  <c r="B12" i="21" s="1"/>
  <c r="J10" i="20"/>
  <c r="I11" i="21" s="1"/>
  <c r="I10" i="20"/>
  <c r="C10" i="20"/>
  <c r="B10" i="20"/>
  <c r="B11" i="21" s="1"/>
  <c r="J8" i="20"/>
  <c r="I10" i="21" s="1"/>
  <c r="I8" i="20"/>
  <c r="C8" i="20"/>
  <c r="B8" i="20"/>
  <c r="B10" i="21" s="1"/>
  <c r="V14" i="19"/>
  <c r="G224" i="21" s="1"/>
  <c r="U14" i="19"/>
  <c r="F224" i="21" s="1"/>
  <c r="T14" i="19"/>
  <c r="E224" i="21" s="1"/>
  <c r="S14" i="19"/>
  <c r="D224" i="21" s="1"/>
  <c r="R14" i="19"/>
  <c r="C224" i="21" s="1"/>
  <c r="V13" i="19"/>
  <c r="G223" i="21" s="1"/>
  <c r="U13" i="19"/>
  <c r="F223" i="21" s="1"/>
  <c r="T13" i="19"/>
  <c r="E223" i="21" s="1"/>
  <c r="S13" i="19"/>
  <c r="D223" i="21" s="1"/>
  <c r="R13" i="19"/>
  <c r="C223" i="21" s="1"/>
  <c r="V12" i="19"/>
  <c r="G222" i="21" s="1"/>
  <c r="U12" i="19"/>
  <c r="F222" i="21" s="1"/>
  <c r="T12" i="19"/>
  <c r="E222" i="21" s="1"/>
  <c r="S12" i="19"/>
  <c r="D222" i="21" s="1"/>
  <c r="R12" i="19"/>
  <c r="C222" i="21" s="1"/>
  <c r="V11" i="19"/>
  <c r="G221" i="21" s="1"/>
  <c r="U11" i="19"/>
  <c r="F221" i="21" s="1"/>
  <c r="T11" i="19"/>
  <c r="E221" i="21" s="1"/>
  <c r="S11" i="19"/>
  <c r="D221" i="21" s="1"/>
  <c r="R11" i="19"/>
  <c r="C221" i="21" s="1"/>
  <c r="V10" i="19"/>
  <c r="G220" i="21" s="1"/>
  <c r="U10" i="19"/>
  <c r="F220" i="21" s="1"/>
  <c r="T10" i="19"/>
  <c r="E220" i="21" s="1"/>
  <c r="S10" i="19"/>
  <c r="D220" i="21" s="1"/>
  <c r="R10" i="19"/>
  <c r="C220" i="21" s="1"/>
  <c r="V9" i="19"/>
  <c r="G219" i="21" s="1"/>
  <c r="U9" i="19"/>
  <c r="F219" i="21" s="1"/>
  <c r="T9" i="19"/>
  <c r="E219" i="21" s="1"/>
  <c r="S9" i="19"/>
  <c r="D219" i="21" s="1"/>
  <c r="R9" i="19"/>
  <c r="C219" i="21" s="1"/>
  <c r="V8" i="19"/>
  <c r="G218" i="21" s="1"/>
  <c r="U8" i="19"/>
  <c r="F218" i="21" s="1"/>
  <c r="T8" i="19"/>
  <c r="E218" i="21" s="1"/>
  <c r="S8" i="19"/>
  <c r="D218" i="21" s="1"/>
  <c r="R8" i="19"/>
  <c r="C218" i="21" s="1"/>
  <c r="V7" i="19"/>
  <c r="G217" i="21" s="1"/>
  <c r="U7" i="19"/>
  <c r="F217" i="21" s="1"/>
  <c r="T7" i="19"/>
  <c r="E217" i="21" s="1"/>
  <c r="S7" i="19"/>
  <c r="D217" i="21" s="1"/>
  <c r="R7" i="19"/>
  <c r="C217" i="21" s="1"/>
  <c r="V6" i="19"/>
  <c r="G216" i="21" s="1"/>
  <c r="U6" i="19"/>
  <c r="F216" i="21" s="1"/>
  <c r="T6" i="19"/>
  <c r="E216" i="21" s="1"/>
  <c r="S6" i="19"/>
  <c r="D216" i="21" s="1"/>
  <c r="R6" i="19"/>
  <c r="C216" i="21" s="1"/>
  <c r="V5" i="19"/>
  <c r="G215" i="21" s="1"/>
  <c r="U5" i="19"/>
  <c r="F215" i="21" s="1"/>
  <c r="T5" i="19"/>
  <c r="E215" i="21" s="1"/>
  <c r="S5" i="19"/>
  <c r="D215" i="21" s="1"/>
  <c r="R5" i="19"/>
  <c r="C215" i="21" s="1"/>
  <c r="V4" i="19"/>
  <c r="G214" i="21" s="1"/>
  <c r="U4" i="19"/>
  <c r="F214" i="21" s="1"/>
  <c r="T4" i="19"/>
  <c r="E214" i="21" s="1"/>
  <c r="S4" i="19"/>
  <c r="D214" i="21" s="1"/>
  <c r="R4" i="19"/>
  <c r="C214" i="21" s="1"/>
  <c r="V3" i="19"/>
  <c r="G213" i="21" s="1"/>
  <c r="U3" i="19"/>
  <c r="F213" i="21" s="1"/>
  <c r="T3" i="19"/>
  <c r="E213" i="21" s="1"/>
  <c r="S3" i="19"/>
  <c r="D213" i="21" s="1"/>
  <c r="R3" i="19"/>
  <c r="C213" i="21" s="1"/>
  <c r="V3" i="18"/>
  <c r="G206" i="21" s="1"/>
  <c r="U3" i="18"/>
  <c r="F206" i="21" s="1"/>
  <c r="T3" i="18"/>
  <c r="E206" i="21" s="1"/>
  <c r="S3" i="18"/>
  <c r="D206" i="21" s="1"/>
  <c r="R3" i="18"/>
  <c r="C206" i="21" s="1"/>
  <c r="V13" i="17"/>
  <c r="G199" i="21" s="1"/>
  <c r="U13" i="17"/>
  <c r="F199" i="21" s="1"/>
  <c r="T13" i="17"/>
  <c r="E199" i="21" s="1"/>
  <c r="S13" i="17"/>
  <c r="D199" i="21" s="1"/>
  <c r="R13" i="17"/>
  <c r="C199" i="21" s="1"/>
  <c r="V12" i="17"/>
  <c r="G198" i="21" s="1"/>
  <c r="U12" i="17"/>
  <c r="F198" i="21" s="1"/>
  <c r="T12" i="17"/>
  <c r="E198" i="21" s="1"/>
  <c r="S12" i="17"/>
  <c r="D198" i="21" s="1"/>
  <c r="R12" i="17"/>
  <c r="C198" i="21" s="1"/>
  <c r="V11" i="17"/>
  <c r="G197" i="21" s="1"/>
  <c r="U11" i="17"/>
  <c r="F197" i="21" s="1"/>
  <c r="T11" i="17"/>
  <c r="E197" i="21" s="1"/>
  <c r="S11" i="17"/>
  <c r="D197" i="21" s="1"/>
  <c r="R11" i="17"/>
  <c r="C197" i="21" s="1"/>
  <c r="V9" i="17"/>
  <c r="H104" i="20" s="1" a="1"/>
  <c r="U9" i="17"/>
  <c r="G104" i="20" s="1" a="1"/>
  <c r="T9" i="17"/>
  <c r="F104" i="20" s="1" a="1"/>
  <c r="S9" i="17"/>
  <c r="E104" i="20" s="1" a="1"/>
  <c r="R9" i="17"/>
  <c r="D104" i="20" s="1" a="1"/>
  <c r="V8" i="17"/>
  <c r="G195" i="21" s="1"/>
  <c r="U8" i="17"/>
  <c r="F195" i="21" s="1"/>
  <c r="T8" i="17"/>
  <c r="E195" i="21" s="1"/>
  <c r="S8" i="17"/>
  <c r="D195" i="21" s="1"/>
  <c r="R8" i="17"/>
  <c r="C195" i="21" s="1"/>
  <c r="V7" i="17"/>
  <c r="G194" i="21" s="1"/>
  <c r="U7" i="17"/>
  <c r="F194" i="21" s="1"/>
  <c r="T7" i="17"/>
  <c r="E194" i="21" s="1"/>
  <c r="S7" i="17"/>
  <c r="D194" i="21" s="1"/>
  <c r="R7" i="17"/>
  <c r="C194" i="21" s="1"/>
  <c r="V6" i="17"/>
  <c r="G193" i="21" s="1"/>
  <c r="U6" i="17"/>
  <c r="F193" i="21" s="1"/>
  <c r="T6" i="17"/>
  <c r="E193" i="21" s="1"/>
  <c r="S6" i="17"/>
  <c r="D193" i="21" s="1"/>
  <c r="R6" i="17"/>
  <c r="C193" i="21" s="1"/>
  <c r="V5" i="17"/>
  <c r="G192" i="21" s="1"/>
  <c r="U5" i="17"/>
  <c r="F192" i="21" s="1"/>
  <c r="T5" i="17"/>
  <c r="E192" i="21" s="1"/>
  <c r="S5" i="17"/>
  <c r="D192" i="21" s="1"/>
  <c r="R5" i="17"/>
  <c r="C192" i="21" s="1"/>
  <c r="V4" i="17"/>
  <c r="G191" i="21" s="1"/>
  <c r="U4" i="17"/>
  <c r="F191" i="21" s="1"/>
  <c r="T4" i="17"/>
  <c r="E191" i="21" s="1"/>
  <c r="S4" i="17"/>
  <c r="D191" i="21" s="1"/>
  <c r="R4" i="17"/>
  <c r="C191" i="21" s="1"/>
  <c r="V3" i="17"/>
  <c r="G190" i="21" s="1"/>
  <c r="U3" i="17"/>
  <c r="F190" i="21" s="1"/>
  <c r="T3" i="17"/>
  <c r="E190" i="21" s="1"/>
  <c r="S3" i="17"/>
  <c r="D190" i="21" s="1"/>
  <c r="R3" i="17"/>
  <c r="C190" i="21" s="1"/>
  <c r="V12" i="15"/>
  <c r="G170" i="21" s="1"/>
  <c r="U12" i="15"/>
  <c r="F170" i="21" s="1"/>
  <c r="T12" i="15"/>
  <c r="E170" i="21" s="1"/>
  <c r="S12" i="15"/>
  <c r="D170" i="21" s="1"/>
  <c r="R12" i="15"/>
  <c r="C170" i="21" s="1"/>
  <c r="V11" i="15"/>
  <c r="G169" i="21" s="1"/>
  <c r="U11" i="15"/>
  <c r="F169" i="21" s="1"/>
  <c r="T11" i="15"/>
  <c r="E169" i="21" s="1"/>
  <c r="S11" i="15"/>
  <c r="D169" i="21" s="1"/>
  <c r="R11" i="15"/>
  <c r="C169" i="21" s="1"/>
  <c r="V10" i="15"/>
  <c r="G168" i="21" s="1"/>
  <c r="U10" i="15"/>
  <c r="F168" i="21" s="1"/>
  <c r="T10" i="15"/>
  <c r="E168" i="21" s="1"/>
  <c r="S10" i="15"/>
  <c r="D168" i="21" s="1"/>
  <c r="R10" i="15"/>
  <c r="C168" i="21" s="1"/>
  <c r="V9" i="15"/>
  <c r="G167" i="21" s="1"/>
  <c r="U9" i="15"/>
  <c r="F167" i="21" s="1"/>
  <c r="T9" i="15"/>
  <c r="E167" i="21" s="1"/>
  <c r="S9" i="15"/>
  <c r="D167" i="21" s="1"/>
  <c r="R9" i="15"/>
  <c r="C167" i="21" s="1"/>
  <c r="V8" i="15"/>
  <c r="G166" i="21" s="1"/>
  <c r="U8" i="15"/>
  <c r="F166" i="21" s="1"/>
  <c r="T8" i="15"/>
  <c r="E166" i="21" s="1"/>
  <c r="S8" i="15"/>
  <c r="D166" i="21" s="1"/>
  <c r="R8" i="15"/>
  <c r="C166" i="21" s="1"/>
  <c r="V6" i="15"/>
  <c r="H90" i="20" s="1" a="1"/>
  <c r="U6" i="15"/>
  <c r="G90" i="20" s="1" a="1"/>
  <c r="T6" i="15"/>
  <c r="F90" i="20" s="1" a="1"/>
  <c r="S6" i="15"/>
  <c r="E90" i="20" s="1" a="1"/>
  <c r="R6" i="15"/>
  <c r="D90" i="20" s="1" a="1"/>
  <c r="V5" i="15"/>
  <c r="G164" i="21" s="1"/>
  <c r="U5" i="15"/>
  <c r="F164" i="21" s="1"/>
  <c r="T5" i="15"/>
  <c r="E164" i="21" s="1"/>
  <c r="S5" i="15"/>
  <c r="D164" i="21" s="1"/>
  <c r="R5" i="15"/>
  <c r="C164" i="21" s="1"/>
  <c r="V3" i="15"/>
  <c r="H88" i="20" s="1" a="1"/>
  <c r="U3" i="15"/>
  <c r="G88" i="20" s="1" a="1"/>
  <c r="T3" i="15"/>
  <c r="F88" i="20" s="1" a="1"/>
  <c r="S3" i="15"/>
  <c r="E88" i="20" s="1" a="1"/>
  <c r="R3" i="15"/>
  <c r="D88" i="20" s="1" a="1"/>
  <c r="V3" i="14"/>
  <c r="G156" i="21" s="1"/>
  <c r="U3" i="14"/>
  <c r="F156" i="21" s="1"/>
  <c r="T3" i="14"/>
  <c r="E156" i="21" s="1"/>
  <c r="S3" i="14"/>
  <c r="D156" i="21" s="1"/>
  <c r="R3" i="14"/>
  <c r="C156" i="21" s="1"/>
  <c r="V10" i="13"/>
  <c r="G149" i="21" s="1"/>
  <c r="U10" i="13"/>
  <c r="F149" i="21" s="1"/>
  <c r="T10" i="13"/>
  <c r="E149" i="21" s="1"/>
  <c r="S10" i="13"/>
  <c r="D149" i="21" s="1"/>
  <c r="R10" i="13"/>
  <c r="C149" i="21" s="1"/>
  <c r="V9" i="13"/>
  <c r="G148" i="21" s="1"/>
  <c r="U9" i="13"/>
  <c r="F148" i="21" s="1"/>
  <c r="T9" i="13"/>
  <c r="E148" i="21" s="1"/>
  <c r="S9" i="13"/>
  <c r="D148" i="21" s="1"/>
  <c r="R9" i="13"/>
  <c r="C148" i="21" s="1"/>
  <c r="V8" i="13"/>
  <c r="G147" i="21" s="1"/>
  <c r="U8" i="13"/>
  <c r="F147" i="21" s="1"/>
  <c r="T8" i="13"/>
  <c r="E147" i="21" s="1"/>
  <c r="S8" i="13"/>
  <c r="D147" i="21" s="1"/>
  <c r="R8" i="13"/>
  <c r="C147" i="21" s="1"/>
  <c r="V7" i="13"/>
  <c r="G146" i="21" s="1"/>
  <c r="U7" i="13"/>
  <c r="F146" i="21" s="1"/>
  <c r="T7" i="13"/>
  <c r="E146" i="21" s="1"/>
  <c r="S7" i="13"/>
  <c r="D146" i="21" s="1"/>
  <c r="R7" i="13"/>
  <c r="C146" i="21" s="1"/>
  <c r="V6" i="13"/>
  <c r="G145" i="21" s="1"/>
  <c r="U6" i="13"/>
  <c r="F145" i="21" s="1"/>
  <c r="T6" i="13"/>
  <c r="E145" i="21" s="1"/>
  <c r="S6" i="13"/>
  <c r="D145" i="21" s="1"/>
  <c r="R6" i="13"/>
  <c r="C145" i="21" s="1"/>
  <c r="V5" i="13"/>
  <c r="G144" i="21" s="1"/>
  <c r="U5" i="13"/>
  <c r="F144" i="21" s="1"/>
  <c r="T5" i="13"/>
  <c r="E144" i="21" s="1"/>
  <c r="S5" i="13"/>
  <c r="D144" i="21" s="1"/>
  <c r="R5" i="13"/>
  <c r="C144" i="21" s="1"/>
  <c r="V4" i="13"/>
  <c r="G143" i="21" s="1"/>
  <c r="U4" i="13"/>
  <c r="F143" i="21" s="1"/>
  <c r="T4" i="13"/>
  <c r="E143" i="21" s="1"/>
  <c r="S4" i="13"/>
  <c r="D143" i="21" s="1"/>
  <c r="R4" i="13"/>
  <c r="C143" i="21" s="1"/>
  <c r="V3" i="13"/>
  <c r="G142" i="21" s="1"/>
  <c r="U3" i="13"/>
  <c r="F142" i="21" s="1"/>
  <c r="T3" i="13"/>
  <c r="S3" i="13"/>
  <c r="R3" i="13"/>
  <c r="V4" i="12"/>
  <c r="U4" i="12"/>
  <c r="T4" i="12"/>
  <c r="S4" i="12"/>
  <c r="R4" i="12"/>
  <c r="V3" i="12"/>
  <c r="U3" i="12"/>
  <c r="T3" i="12"/>
  <c r="S3" i="12"/>
  <c r="R3" i="12"/>
  <c r="V4" i="11"/>
  <c r="U4" i="11"/>
  <c r="T4" i="11"/>
  <c r="S4" i="11"/>
  <c r="R4" i="11"/>
  <c r="V3" i="11"/>
  <c r="U3" i="11"/>
  <c r="T3" i="11"/>
  <c r="S3" i="11"/>
  <c r="R3" i="11"/>
  <c r="V7" i="10"/>
  <c r="U7" i="10"/>
  <c r="T7" i="10"/>
  <c r="S7" i="10"/>
  <c r="R7" i="10"/>
  <c r="Q6" i="10"/>
  <c r="P6" i="10"/>
  <c r="O6" i="10"/>
  <c r="N6" i="10"/>
  <c r="M6" i="10"/>
  <c r="V5" i="10"/>
  <c r="U5" i="10"/>
  <c r="T5" i="10"/>
  <c r="S5" i="10"/>
  <c r="R5" i="10"/>
  <c r="Q4" i="10"/>
  <c r="V3" i="10" s="1"/>
  <c r="H78" i="20" s="1"/>
  <c r="G117" i="21" s="1"/>
  <c r="P4" i="10"/>
  <c r="U3" i="10" s="1"/>
  <c r="G78" i="20" s="1"/>
  <c r="F117" i="21" s="1"/>
  <c r="O4" i="10"/>
  <c r="T3" i="10" s="1"/>
  <c r="F78" i="20" s="1"/>
  <c r="E117" i="21" s="1"/>
  <c r="N4" i="10"/>
  <c r="M4" i="10"/>
  <c r="S3" i="10"/>
  <c r="R3" i="10"/>
  <c r="V18" i="9"/>
  <c r="U18" i="9"/>
  <c r="T18" i="9"/>
  <c r="S18" i="9"/>
  <c r="R18" i="9"/>
  <c r="V17" i="9"/>
  <c r="U17" i="9"/>
  <c r="T17" i="9"/>
  <c r="S17" i="9"/>
  <c r="R17" i="9"/>
  <c r="V15" i="9"/>
  <c r="U15" i="9"/>
  <c r="T15" i="9"/>
  <c r="S15" i="9"/>
  <c r="R15" i="9"/>
  <c r="V14" i="9"/>
  <c r="U14" i="9"/>
  <c r="T14" i="9"/>
  <c r="S14" i="9"/>
  <c r="R14" i="9"/>
  <c r="V13" i="9"/>
  <c r="U13" i="9"/>
  <c r="T13" i="9"/>
  <c r="S13" i="9"/>
  <c r="R13" i="9"/>
  <c r="C107" i="21" s="1"/>
  <c r="Q12" i="9"/>
  <c r="P12" i="9"/>
  <c r="O12" i="9"/>
  <c r="N12" i="9"/>
  <c r="M12" i="9"/>
  <c r="V11" i="9"/>
  <c r="U11" i="9"/>
  <c r="T11" i="9"/>
  <c r="S11" i="9"/>
  <c r="R11" i="9"/>
  <c r="V9" i="9"/>
  <c r="U9" i="9"/>
  <c r="T9" i="9"/>
  <c r="S9" i="9"/>
  <c r="E68" i="20" s="1"/>
  <c r="D105" i="21" s="1"/>
  <c r="R9" i="9"/>
  <c r="D68" i="20" s="1"/>
  <c r="C105" i="21" s="1"/>
  <c r="Q8" i="9"/>
  <c r="P8" i="9"/>
  <c r="O8" i="9"/>
  <c r="N8" i="9"/>
  <c r="M8" i="9"/>
  <c r="V7" i="9"/>
  <c r="H66" i="20" s="1"/>
  <c r="G104" i="21" s="1"/>
  <c r="U7" i="9"/>
  <c r="G66" i="20" s="1"/>
  <c r="F104" i="21" s="1"/>
  <c r="T7" i="9"/>
  <c r="F66" i="20" s="1"/>
  <c r="E104" i="21" s="1"/>
  <c r="S7" i="9"/>
  <c r="E66" i="20" s="1"/>
  <c r="D104" i="21" s="1"/>
  <c r="R7" i="9"/>
  <c r="D66" i="20" s="1"/>
  <c r="C104" i="21" s="1"/>
  <c r="Q6" i="9"/>
  <c r="P6" i="9"/>
  <c r="O6" i="9"/>
  <c r="N6" i="9"/>
  <c r="M6" i="9"/>
  <c r="R5" i="9" s="1"/>
  <c r="D64" i="20" s="1"/>
  <c r="C103" i="21" s="1"/>
  <c r="V5" i="9"/>
  <c r="H64" i="20" s="1"/>
  <c r="G103" i="21" s="1"/>
  <c r="U5" i="9"/>
  <c r="G64" i="20" s="1"/>
  <c r="F103" i="21" s="1"/>
  <c r="T5" i="9"/>
  <c r="F64" i="20" s="1"/>
  <c r="E103" i="21" s="1"/>
  <c r="S5" i="9"/>
  <c r="E64" i="20" s="1"/>
  <c r="D103" i="21" s="1"/>
  <c r="V3" i="9"/>
  <c r="H62" i="20" s="1"/>
  <c r="G102" i="21" s="1"/>
  <c r="U3" i="9"/>
  <c r="G62" i="20" s="1"/>
  <c r="F102" i="21" s="1"/>
  <c r="T3" i="9"/>
  <c r="F62" i="20" s="1"/>
  <c r="E102" i="21" s="1"/>
  <c r="S3" i="9"/>
  <c r="E62" i="20" s="1"/>
  <c r="D102" i="21" s="1"/>
  <c r="R3" i="9"/>
  <c r="D62" i="20" s="1"/>
  <c r="C102" i="21" s="1"/>
  <c r="V10" i="8"/>
  <c r="G95" i="21" s="1"/>
  <c r="U10" i="8"/>
  <c r="F95" i="21" s="1"/>
  <c r="T10" i="8"/>
  <c r="E95" i="21" s="1"/>
  <c r="S10" i="8"/>
  <c r="D95" i="21" s="1"/>
  <c r="R10" i="8"/>
  <c r="C95" i="21" s="1"/>
  <c r="Q9" i="8"/>
  <c r="P9" i="8"/>
  <c r="O9" i="8"/>
  <c r="N9" i="8"/>
  <c r="M9" i="8"/>
  <c r="V8" i="8"/>
  <c r="H56" i="20" s="1"/>
  <c r="G94" i="21" s="1"/>
  <c r="U8" i="8"/>
  <c r="G56" i="20" s="1"/>
  <c r="F94" i="21" s="1"/>
  <c r="T8" i="8"/>
  <c r="F56" i="20" s="1"/>
  <c r="E94" i="21" s="1"/>
  <c r="S8" i="8"/>
  <c r="E56" i="20" s="1"/>
  <c r="D94" i="21" s="1"/>
  <c r="R8" i="8"/>
  <c r="D56" i="20" s="1"/>
  <c r="C94" i="21" s="1"/>
  <c r="V6" i="8"/>
  <c r="H54" i="20" s="1"/>
  <c r="G93" i="21" s="1"/>
  <c r="U6" i="8"/>
  <c r="G54" i="20" s="1"/>
  <c r="F93" i="21" s="1"/>
  <c r="T6" i="8"/>
  <c r="F54" i="20" s="1"/>
  <c r="E93" i="21" s="1"/>
  <c r="S6" i="8"/>
  <c r="E54" i="20" s="1"/>
  <c r="D93" i="21" s="1"/>
  <c r="R6" i="8"/>
  <c r="D54" i="20" s="1"/>
  <c r="C93" i="21" s="1"/>
  <c r="V4" i="8"/>
  <c r="H52" i="20" s="1"/>
  <c r="G92" i="21" s="1"/>
  <c r="U4" i="8"/>
  <c r="G52" i="20" s="1"/>
  <c r="F92" i="21" s="1"/>
  <c r="T4" i="8"/>
  <c r="F52" i="20" s="1"/>
  <c r="E92" i="21" s="1"/>
  <c r="S4" i="8"/>
  <c r="E52" i="20" s="1"/>
  <c r="D92" i="21" s="1"/>
  <c r="R4" i="8"/>
  <c r="D52" i="20" s="1"/>
  <c r="C92" i="21" s="1"/>
  <c r="V3" i="8"/>
  <c r="G91" i="21" s="1"/>
  <c r="U3" i="8"/>
  <c r="F91" i="21" s="1"/>
  <c r="T3" i="8"/>
  <c r="E91" i="21" s="1"/>
  <c r="S3" i="8"/>
  <c r="D91" i="21" s="1"/>
  <c r="R3" i="8"/>
  <c r="C91" i="21" s="1"/>
  <c r="V8" i="7"/>
  <c r="G85" i="21" s="1"/>
  <c r="U8" i="7"/>
  <c r="F85" i="21" s="1"/>
  <c r="T8" i="7"/>
  <c r="E85" i="21" s="1"/>
  <c r="S8" i="7"/>
  <c r="D85" i="21" s="1"/>
  <c r="R8" i="7"/>
  <c r="C85" i="21" s="1"/>
  <c r="V7" i="7"/>
  <c r="G84" i="21" s="1"/>
  <c r="U7" i="7"/>
  <c r="F84" i="21" s="1"/>
  <c r="T7" i="7"/>
  <c r="E84" i="21" s="1"/>
  <c r="S7" i="7"/>
  <c r="D84" i="21" s="1"/>
  <c r="R7" i="7"/>
  <c r="C84" i="21" s="1"/>
  <c r="V6" i="7"/>
  <c r="G83" i="21" s="1"/>
  <c r="U6" i="7"/>
  <c r="F83" i="21" s="1"/>
  <c r="T6" i="7"/>
  <c r="E83" i="21" s="1"/>
  <c r="S6" i="7"/>
  <c r="D83" i="21" s="1"/>
  <c r="R6" i="7"/>
  <c r="C83" i="21" s="1"/>
  <c r="V5" i="7"/>
  <c r="G82" i="21" s="1"/>
  <c r="U5" i="7"/>
  <c r="F82" i="21" s="1"/>
  <c r="T5" i="7"/>
  <c r="E82" i="21" s="1"/>
  <c r="S5" i="7"/>
  <c r="D82" i="21" s="1"/>
  <c r="R5" i="7"/>
  <c r="C82" i="21" s="1"/>
  <c r="V4" i="7"/>
  <c r="G81" i="21" s="1"/>
  <c r="U4" i="7"/>
  <c r="F81" i="21" s="1"/>
  <c r="T4" i="7"/>
  <c r="E81" i="21" s="1"/>
  <c r="S4" i="7"/>
  <c r="D81" i="21" s="1"/>
  <c r="R4" i="7"/>
  <c r="C81" i="21" s="1"/>
  <c r="V3" i="7"/>
  <c r="G80" i="21" s="1"/>
  <c r="U3" i="7"/>
  <c r="F80" i="21" s="1"/>
  <c r="T3" i="7"/>
  <c r="E80" i="21" s="1"/>
  <c r="S3" i="7"/>
  <c r="D80" i="21" s="1"/>
  <c r="R3" i="7"/>
  <c r="C80" i="21" s="1"/>
  <c r="V5" i="6"/>
  <c r="G74" i="21" s="1"/>
  <c r="U5" i="6"/>
  <c r="F74" i="21" s="1"/>
  <c r="T5" i="6"/>
  <c r="E74" i="21" s="1"/>
  <c r="S5" i="6"/>
  <c r="R5" i="6"/>
  <c r="V4" i="6"/>
  <c r="U4" i="6"/>
  <c r="T4" i="6"/>
  <c r="S4" i="6"/>
  <c r="R4" i="6"/>
  <c r="V3" i="6"/>
  <c r="U3" i="6"/>
  <c r="T3" i="6"/>
  <c r="S3" i="6"/>
  <c r="R3" i="6"/>
  <c r="V4" i="5"/>
  <c r="U4" i="5"/>
  <c r="T4" i="5"/>
  <c r="S4" i="5"/>
  <c r="R4" i="5"/>
  <c r="V3" i="5"/>
  <c r="U3" i="5"/>
  <c r="T3" i="5"/>
  <c r="S3" i="5"/>
  <c r="R3" i="5"/>
  <c r="V14" i="4"/>
  <c r="U14" i="4"/>
  <c r="T14" i="4"/>
  <c r="S14" i="4"/>
  <c r="R14" i="4"/>
  <c r="V12" i="4"/>
  <c r="H44" i="20" s="1"/>
  <c r="G58" i="21" s="1"/>
  <c r="U12" i="4"/>
  <c r="G44" i="20" s="1"/>
  <c r="F58" i="21" s="1"/>
  <c r="T12" i="4"/>
  <c r="F44" i="20" s="1"/>
  <c r="E58" i="21" s="1"/>
  <c r="S12" i="4"/>
  <c r="E44" i="20" s="1"/>
  <c r="D58" i="21" s="1"/>
  <c r="R12" i="4"/>
  <c r="D44" i="20" s="1"/>
  <c r="C58" i="21" s="1"/>
  <c r="V11" i="4"/>
  <c r="U11" i="4"/>
  <c r="T11" i="4"/>
  <c r="S11" i="4"/>
  <c r="R11" i="4"/>
  <c r="V10" i="4"/>
  <c r="U10" i="4"/>
  <c r="T10" i="4"/>
  <c r="S10" i="4"/>
  <c r="R10" i="4"/>
  <c r="Q9" i="4"/>
  <c r="P9" i="4"/>
  <c r="O9" i="4"/>
  <c r="N9" i="4"/>
  <c r="M9" i="4"/>
  <c r="V8" i="4"/>
  <c r="H42" i="20" s="1"/>
  <c r="G55" i="21" s="1"/>
  <c r="U8" i="4"/>
  <c r="G42" i="20" s="1"/>
  <c r="F55" i="21" s="1"/>
  <c r="T8" i="4"/>
  <c r="F42" i="20" s="1"/>
  <c r="E55" i="21" s="1"/>
  <c r="S8" i="4"/>
  <c r="E42" i="20" s="1"/>
  <c r="D55" i="21" s="1"/>
  <c r="R8" i="4"/>
  <c r="D42" i="20" s="1"/>
  <c r="C55" i="21" s="1"/>
  <c r="V6" i="4"/>
  <c r="H40" i="20" s="1"/>
  <c r="G54" i="21" s="1"/>
  <c r="U6" i="4"/>
  <c r="G40" i="20" s="1"/>
  <c r="F54" i="21" s="1"/>
  <c r="T6" i="4"/>
  <c r="F40" i="20" s="1"/>
  <c r="E54" i="21" s="1"/>
  <c r="S6" i="4"/>
  <c r="E40" i="20" s="1"/>
  <c r="D54" i="21" s="1"/>
  <c r="R6" i="4"/>
  <c r="D40" i="20" s="1"/>
  <c r="C54" i="21" s="1"/>
  <c r="V4" i="4"/>
  <c r="H38" i="20" s="1"/>
  <c r="G53" i="21" s="1"/>
  <c r="U4" i="4"/>
  <c r="G38" i="20" s="1"/>
  <c r="F53" i="21" s="1"/>
  <c r="T4" i="4"/>
  <c r="F38" i="20" s="1"/>
  <c r="E53" i="21" s="1"/>
  <c r="S4" i="4"/>
  <c r="E38" i="20" s="1"/>
  <c r="D53" i="21" s="1"/>
  <c r="R4" i="4"/>
  <c r="D38" i="20" s="1"/>
  <c r="C53" i="21" s="1"/>
  <c r="V3" i="4"/>
  <c r="G52" i="21" s="1"/>
  <c r="U3" i="4"/>
  <c r="F52" i="21" s="1"/>
  <c r="T3" i="4"/>
  <c r="E52" i="21" s="1"/>
  <c r="S3" i="4"/>
  <c r="D52" i="21" s="1"/>
  <c r="R3" i="4"/>
  <c r="C52" i="21" s="1"/>
  <c r="V9" i="3"/>
  <c r="H32" i="20" s="1"/>
  <c r="G45" i="21" s="1"/>
  <c r="U9" i="3"/>
  <c r="G32" i="20" s="1"/>
  <c r="F45" i="21" s="1"/>
  <c r="T9" i="3"/>
  <c r="F32" i="20" s="1"/>
  <c r="E45" i="21" s="1"/>
  <c r="S9" i="3"/>
  <c r="E32" i="20" s="1"/>
  <c r="D45" i="21" s="1"/>
  <c r="R9" i="3"/>
  <c r="D32" i="20" s="1"/>
  <c r="C45" i="21" s="1"/>
  <c r="V8" i="3"/>
  <c r="G44" i="21" s="1"/>
  <c r="U8" i="3"/>
  <c r="F44" i="21" s="1"/>
  <c r="T8" i="3"/>
  <c r="E44" i="21" s="1"/>
  <c r="S8" i="3"/>
  <c r="D44" i="21" s="1"/>
  <c r="R8" i="3"/>
  <c r="C44" i="21" s="1"/>
  <c r="V7" i="3"/>
  <c r="G43" i="21" s="1"/>
  <c r="U7" i="3"/>
  <c r="F43" i="21" s="1"/>
  <c r="T7" i="3"/>
  <c r="E43" i="21" s="1"/>
  <c r="S7" i="3"/>
  <c r="D43" i="21" s="1"/>
  <c r="R7" i="3"/>
  <c r="C43" i="21" s="1"/>
  <c r="V6" i="3"/>
  <c r="G42" i="21" s="1"/>
  <c r="U6" i="3"/>
  <c r="F42" i="21" s="1"/>
  <c r="T6" i="3"/>
  <c r="E42" i="21" s="1"/>
  <c r="S6" i="3"/>
  <c r="D42" i="21" s="1"/>
  <c r="R6" i="3"/>
  <c r="C42" i="21" s="1"/>
  <c r="V5" i="3"/>
  <c r="G41" i="21" s="1"/>
  <c r="U5" i="3"/>
  <c r="F41" i="21" s="1"/>
  <c r="T5" i="3"/>
  <c r="E41" i="21" s="1"/>
  <c r="S5" i="3"/>
  <c r="D41" i="21" s="1"/>
  <c r="R5" i="3"/>
  <c r="C41" i="21" s="1"/>
  <c r="V4" i="3"/>
  <c r="G40" i="21" s="1"/>
  <c r="U4" i="3"/>
  <c r="F40" i="21" s="1"/>
  <c r="T4" i="3"/>
  <c r="E40" i="21" s="1"/>
  <c r="S4" i="3"/>
  <c r="D40" i="21" s="1"/>
  <c r="R4" i="3"/>
  <c r="C40" i="21" s="1"/>
  <c r="V3" i="3"/>
  <c r="G39" i="21" s="1"/>
  <c r="U3" i="3"/>
  <c r="F39" i="21" s="1"/>
  <c r="T3" i="3"/>
  <c r="E39" i="21" s="1"/>
  <c r="S3" i="3"/>
  <c r="D39" i="21" s="1"/>
  <c r="R3" i="3"/>
  <c r="C39" i="21" s="1"/>
  <c r="C20" i="2"/>
  <c r="B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V39" i="1"/>
  <c r="G33" i="21" s="1"/>
  <c r="U39" i="1"/>
  <c r="F33" i="21" s="1"/>
  <c r="T39" i="1"/>
  <c r="E33" i="21" s="1"/>
  <c r="S39" i="1"/>
  <c r="D33" i="21" s="1"/>
  <c r="R39" i="1"/>
  <c r="C33" i="21" s="1"/>
  <c r="V38" i="1"/>
  <c r="G32" i="21" s="1"/>
  <c r="U38" i="1"/>
  <c r="F32" i="21" s="1"/>
  <c r="T38" i="1"/>
  <c r="E32" i="21" s="1"/>
  <c r="S38" i="1"/>
  <c r="D32" i="21" s="1"/>
  <c r="R38" i="1"/>
  <c r="C32" i="21" s="1"/>
  <c r="V37" i="1"/>
  <c r="G31" i="21" s="1"/>
  <c r="U37" i="1"/>
  <c r="F31" i="21" s="1"/>
  <c r="T37" i="1"/>
  <c r="E31" i="21" s="1"/>
  <c r="S37" i="1"/>
  <c r="D31" i="21" s="1"/>
  <c r="R37" i="1"/>
  <c r="C31" i="21" s="1"/>
  <c r="V36" i="1"/>
  <c r="G30" i="21" s="1"/>
  <c r="U36" i="1"/>
  <c r="F30" i="21" s="1"/>
  <c r="T36" i="1"/>
  <c r="E30" i="21" s="1"/>
  <c r="S36" i="1"/>
  <c r="D30" i="21" s="1"/>
  <c r="R36" i="1"/>
  <c r="C30" i="21" s="1"/>
  <c r="Q35" i="1"/>
  <c r="P35" i="1"/>
  <c r="O35" i="1"/>
  <c r="N35" i="1"/>
  <c r="M35" i="1"/>
  <c r="V34" i="1"/>
  <c r="H26" i="20" s="1"/>
  <c r="G29" i="21" s="1"/>
  <c r="U34" i="1"/>
  <c r="G26" i="20" s="1"/>
  <c r="F29" i="21" s="1"/>
  <c r="T34" i="1"/>
  <c r="F26" i="20" s="1"/>
  <c r="E29" i="21" s="1"/>
  <c r="S34" i="1"/>
  <c r="E26" i="20" s="1"/>
  <c r="D29" i="21" s="1"/>
  <c r="R34" i="1"/>
  <c r="D26" i="20" s="1"/>
  <c r="C29" i="21" s="1"/>
  <c r="V33" i="1"/>
  <c r="G28" i="21" s="1"/>
  <c r="U33" i="1"/>
  <c r="F28" i="21" s="1"/>
  <c r="T33" i="1"/>
  <c r="E28" i="21" s="1"/>
  <c r="S33" i="1"/>
  <c r="D28" i="21" s="1"/>
  <c r="R33" i="1"/>
  <c r="C28" i="21" s="1"/>
  <c r="V29" i="1"/>
  <c r="R29" i="1"/>
  <c r="P29" i="1"/>
  <c r="O29" i="1"/>
  <c r="P32" i="1" s="1"/>
  <c r="U29" i="1" s="1"/>
  <c r="N29" i="1"/>
  <c r="O32" i="1" s="1"/>
  <c r="T29" i="1" s="1"/>
  <c r="M29" i="1"/>
  <c r="N32" i="1" s="1"/>
  <c r="S29" i="1" s="1"/>
  <c r="V27" i="1"/>
  <c r="H20" i="20" s="1"/>
  <c r="G26" i="21" s="1"/>
  <c r="U27" i="1"/>
  <c r="G20" i="20" s="1"/>
  <c r="F26" i="21" s="1"/>
  <c r="T27" i="1"/>
  <c r="F20" i="20" s="1"/>
  <c r="E26" i="21" s="1"/>
  <c r="S27" i="1"/>
  <c r="E20" i="20" s="1"/>
  <c r="D26" i="21" s="1"/>
  <c r="R27" i="1"/>
  <c r="D20" i="20" s="1"/>
  <c r="C26" i="21" s="1"/>
  <c r="V26" i="1"/>
  <c r="G25" i="21" s="1"/>
  <c r="U26" i="1"/>
  <c r="F25" i="21" s="1"/>
  <c r="T26" i="1"/>
  <c r="E25" i="21" s="1"/>
  <c r="S26" i="1"/>
  <c r="D25" i="21" s="1"/>
  <c r="R26" i="1"/>
  <c r="C25" i="21" s="1"/>
  <c r="V24" i="1"/>
  <c r="H18" i="20" s="1"/>
  <c r="G24" i="21" s="1"/>
  <c r="U24" i="1"/>
  <c r="G18" i="20" s="1"/>
  <c r="F24" i="21" s="1"/>
  <c r="T24" i="1"/>
  <c r="F18" i="20" s="1"/>
  <c r="E24" i="21" s="1"/>
  <c r="S24" i="1"/>
  <c r="E18" i="20" s="1"/>
  <c r="D24" i="21" s="1"/>
  <c r="R24" i="1"/>
  <c r="D18" i="20" s="1"/>
  <c r="C24" i="21" s="1"/>
  <c r="Q23" i="1"/>
  <c r="V23" i="1" s="1"/>
  <c r="G23" i="21" s="1"/>
  <c r="P23" i="1"/>
  <c r="U23" i="1" s="1"/>
  <c r="F23" i="21" s="1"/>
  <c r="O23" i="1"/>
  <c r="T23" i="1" s="1"/>
  <c r="E23" i="21" s="1"/>
  <c r="N23" i="1"/>
  <c r="S23" i="1" s="1"/>
  <c r="D23" i="21" s="1"/>
  <c r="M23" i="1"/>
  <c r="R23" i="1" s="1"/>
  <c r="C23" i="21" s="1"/>
  <c r="V22" i="1"/>
  <c r="G22" i="21" s="1"/>
  <c r="U22" i="1"/>
  <c r="F22" i="21" s="1"/>
  <c r="T22" i="1"/>
  <c r="E22" i="21" s="1"/>
  <c r="S22" i="1"/>
  <c r="D22" i="21" s="1"/>
  <c r="R22" i="1"/>
  <c r="C22" i="21" s="1"/>
  <c r="V21" i="1"/>
  <c r="G21" i="21" s="1"/>
  <c r="U21" i="1"/>
  <c r="F21" i="21" s="1"/>
  <c r="T21" i="1"/>
  <c r="E21" i="21" s="1"/>
  <c r="S21" i="1"/>
  <c r="D21" i="21" s="1"/>
  <c r="R21" i="1"/>
  <c r="C21" i="21" s="1"/>
  <c r="V20" i="1"/>
  <c r="G20" i="21" s="1"/>
  <c r="U20" i="1"/>
  <c r="F20" i="21" s="1"/>
  <c r="T20" i="1"/>
  <c r="E20" i="21" s="1"/>
  <c r="S20" i="1"/>
  <c r="D20" i="21" s="1"/>
  <c r="R20" i="1"/>
  <c r="C20" i="21" s="1"/>
  <c r="V18" i="1"/>
  <c r="H16" i="20" s="1"/>
  <c r="G19" i="21" s="1"/>
  <c r="U18" i="1"/>
  <c r="G16" i="20" s="1"/>
  <c r="F19" i="21" s="1"/>
  <c r="T18" i="1"/>
  <c r="F16" i="20" s="1"/>
  <c r="E19" i="21" s="1"/>
  <c r="S18" i="1"/>
  <c r="E16" i="20" s="1"/>
  <c r="D19" i="21" s="1"/>
  <c r="R18" i="1"/>
  <c r="D16" i="20" s="1"/>
  <c r="C19" i="21" s="1"/>
  <c r="V17" i="1"/>
  <c r="G18" i="21" s="1"/>
  <c r="U17" i="1"/>
  <c r="F18" i="21" s="1"/>
  <c r="T17" i="1"/>
  <c r="E18" i="21" s="1"/>
  <c r="S17" i="1"/>
  <c r="D18" i="21" s="1"/>
  <c r="R17" i="1"/>
  <c r="C18" i="21" s="1"/>
  <c r="V16" i="1"/>
  <c r="G17" i="21" s="1"/>
  <c r="U16" i="1"/>
  <c r="F17" i="21" s="1"/>
  <c r="T16" i="1"/>
  <c r="E17" i="21" s="1"/>
  <c r="S16" i="1"/>
  <c r="D17" i="21" s="1"/>
  <c r="R16" i="1"/>
  <c r="C17" i="21" s="1"/>
  <c r="V15" i="1"/>
  <c r="G16" i="21" s="1"/>
  <c r="U15" i="1"/>
  <c r="F16" i="21" s="1"/>
  <c r="T15" i="1"/>
  <c r="E16" i="21" s="1"/>
  <c r="S15" i="1"/>
  <c r="D16" i="21" s="1"/>
  <c r="R15" i="1"/>
  <c r="C16" i="21" s="1"/>
  <c r="V13" i="1"/>
  <c r="H14" i="20" s="1"/>
  <c r="G15" i="21" s="1"/>
  <c r="U13" i="1"/>
  <c r="G14" i="20" s="1"/>
  <c r="F15" i="21" s="1"/>
  <c r="T13" i="1"/>
  <c r="F14" i="20" s="1"/>
  <c r="E15" i="21" s="1"/>
  <c r="S13" i="1"/>
  <c r="E14" i="20" s="1"/>
  <c r="D15" i="21" s="1"/>
  <c r="R13" i="1"/>
  <c r="D14" i="20" s="1"/>
  <c r="C15" i="21" s="1"/>
  <c r="V12" i="1"/>
  <c r="G14" i="21" s="1"/>
  <c r="U12" i="1"/>
  <c r="F14" i="21" s="1"/>
  <c r="T12" i="1"/>
  <c r="E14" i="21" s="1"/>
  <c r="S12" i="1"/>
  <c r="D14" i="21" s="1"/>
  <c r="R12" i="1"/>
  <c r="C14" i="21" s="1"/>
  <c r="V11" i="1"/>
  <c r="G13" i="21" s="1"/>
  <c r="U11" i="1"/>
  <c r="F13" i="21" s="1"/>
  <c r="T11" i="1"/>
  <c r="E13" i="21" s="1"/>
  <c r="S11" i="1"/>
  <c r="D13" i="21" s="1"/>
  <c r="R11" i="1"/>
  <c r="C13" i="21" s="1"/>
  <c r="V9" i="1"/>
  <c r="H12" i="20" s="1"/>
  <c r="G12" i="21" s="1"/>
  <c r="U9" i="1"/>
  <c r="G12" i="20" s="1"/>
  <c r="F12" i="21" s="1"/>
  <c r="T9" i="1"/>
  <c r="F12" i="20" s="1"/>
  <c r="E12" i="21" s="1"/>
  <c r="S9" i="1"/>
  <c r="E12" i="20" s="1"/>
  <c r="D12" i="21" s="1"/>
  <c r="R9" i="1"/>
  <c r="D12" i="20" s="1"/>
  <c r="C12" i="21" s="1"/>
  <c r="V7" i="1"/>
  <c r="H10" i="20" s="1"/>
  <c r="G11" i="21" s="1"/>
  <c r="U7" i="1"/>
  <c r="G10" i="20" s="1"/>
  <c r="F11" i="21" s="1"/>
  <c r="T7" i="1"/>
  <c r="F10" i="20" s="1"/>
  <c r="E11" i="21" s="1"/>
  <c r="S7" i="1"/>
  <c r="E10" i="20" s="1"/>
  <c r="D11" i="21" s="1"/>
  <c r="R7" i="1"/>
  <c r="D10" i="20" s="1"/>
  <c r="C11" i="21" s="1"/>
  <c r="V5" i="1"/>
  <c r="H8" i="20" s="1"/>
  <c r="G10" i="21" s="1"/>
  <c r="U5" i="1"/>
  <c r="G8" i="20" s="1"/>
  <c r="F10" i="21" s="1"/>
  <c r="T5" i="1"/>
  <c r="F8" i="20" s="1"/>
  <c r="E10" i="21" s="1"/>
  <c r="S5" i="1"/>
  <c r="E8" i="20" s="1"/>
  <c r="D10" i="21" s="1"/>
  <c r="R5" i="1"/>
  <c r="D8" i="20" s="1"/>
  <c r="C10" i="21" s="1"/>
  <c r="V4" i="1"/>
  <c r="G9" i="21" s="1"/>
  <c r="U4" i="1"/>
  <c r="F9" i="21" s="1"/>
  <c r="T4" i="1"/>
  <c r="E9" i="21" s="1"/>
  <c r="S4" i="1"/>
  <c r="D9" i="21" s="1"/>
  <c r="R4" i="1"/>
  <c r="C9" i="21" s="1"/>
  <c r="V3" i="1"/>
  <c r="G8" i="21" s="1"/>
  <c r="U3" i="1"/>
  <c r="F8" i="21" s="1"/>
  <c r="T3" i="1"/>
  <c r="E8" i="21" s="1"/>
  <c r="S3" i="1"/>
  <c r="D8" i="21" s="1"/>
  <c r="R3" i="1"/>
  <c r="C8" i="21" s="1"/>
  <c r="V10" i="16"/>
  <c r="G183" i="21" s="1"/>
  <c r="U10" i="16"/>
  <c r="F183" i="21" s="1"/>
  <c r="T10" i="16"/>
  <c r="E183" i="21" s="1"/>
  <c r="S10" i="16"/>
  <c r="D183" i="21" s="1"/>
  <c r="R10" i="16"/>
  <c r="C183" i="21" s="1"/>
  <c r="V9" i="16"/>
  <c r="G182" i="21" s="1"/>
  <c r="U9" i="16"/>
  <c r="F182" i="21" s="1"/>
  <c r="T9" i="16"/>
  <c r="E182" i="21" s="1"/>
  <c r="S9" i="16"/>
  <c r="D182" i="21" s="1"/>
  <c r="R9" i="16"/>
  <c r="C182" i="21" s="1"/>
  <c r="V7" i="16"/>
  <c r="H98" i="20" s="1" a="1"/>
  <c r="U7" i="16"/>
  <c r="G98" i="20" s="1" a="1"/>
  <c r="T7" i="16"/>
  <c r="F98" i="20" s="1" a="1"/>
  <c r="S7" i="16"/>
  <c r="E98" i="20" s="1" a="1"/>
  <c r="R7" i="16"/>
  <c r="D98" i="20" s="1" a="1"/>
  <c r="V6" i="16"/>
  <c r="G180" i="21" s="1"/>
  <c r="U6" i="16"/>
  <c r="F180" i="21" s="1"/>
  <c r="T6" i="16"/>
  <c r="E180" i="21" s="1"/>
  <c r="S6" i="16"/>
  <c r="D180" i="21" s="1"/>
  <c r="R6" i="16"/>
  <c r="C180" i="21" s="1"/>
  <c r="V5" i="16"/>
  <c r="G179" i="21" s="1"/>
  <c r="U5" i="16"/>
  <c r="F179" i="21" s="1"/>
  <c r="T5" i="16"/>
  <c r="E179" i="21" s="1"/>
  <c r="S5" i="16"/>
  <c r="D179" i="21" s="1"/>
  <c r="R5" i="16"/>
  <c r="C179" i="21" s="1"/>
  <c r="V4" i="16"/>
  <c r="G178" i="21" s="1"/>
  <c r="U4" i="16"/>
  <c r="F178" i="21" s="1"/>
  <c r="T4" i="16"/>
  <c r="E178" i="21" s="1"/>
  <c r="S4" i="16"/>
  <c r="D178" i="21" s="1"/>
  <c r="R4" i="16"/>
  <c r="C178" i="21" s="1"/>
  <c r="V3" i="16"/>
  <c r="U3" i="16"/>
  <c r="T3" i="16"/>
  <c r="S3" i="16"/>
  <c r="R3" i="16"/>
  <c r="D20" i="2" l="1"/>
  <c r="I99" i="20"/>
  <c r="I98" i="20"/>
  <c r="H181" i="21" s="1"/>
  <c r="B99" i="20"/>
  <c r="B98" i="20"/>
  <c r="B181" i="21" s="1"/>
  <c r="B71" i="20"/>
  <c r="B70" i="20"/>
  <c r="B106" i="21" s="1"/>
  <c r="B69" i="20"/>
  <c r="B68" i="20"/>
  <c r="B105" i="21" s="1"/>
  <c r="H104" i="20"/>
  <c r="G196" i="21" s="1"/>
  <c r="H105" i="20"/>
  <c r="G104" i="20"/>
  <c r="F196" i="21" s="1"/>
  <c r="G105" i="20"/>
  <c r="F104" i="20"/>
  <c r="E196" i="21" s="1"/>
  <c r="F105" i="20"/>
  <c r="E104" i="20"/>
  <c r="D196" i="21" s="1"/>
  <c r="E105" i="20"/>
  <c r="D104" i="20"/>
  <c r="C196" i="21" s="1"/>
  <c r="D105" i="20"/>
  <c r="H90" i="20"/>
  <c r="G165" i="21" s="1"/>
  <c r="H91" i="20"/>
  <c r="G90" i="20"/>
  <c r="F165" i="21" s="1"/>
  <c r="G91" i="20"/>
  <c r="F90" i="20"/>
  <c r="E165" i="21" s="1"/>
  <c r="F91" i="20"/>
  <c r="E90" i="20"/>
  <c r="D165" i="21" s="1"/>
  <c r="E91" i="20"/>
  <c r="D90" i="20"/>
  <c r="C165" i="21" s="1"/>
  <c r="D91" i="20"/>
  <c r="J89" i="20"/>
  <c r="J88" i="20"/>
  <c r="I163" i="21" s="1"/>
  <c r="I89" i="20"/>
  <c r="I88" i="20"/>
  <c r="H163" i="21" s="1"/>
  <c r="H89" i="20"/>
  <c r="H88" i="20"/>
  <c r="G163" i="21" s="1"/>
  <c r="H10" i="21"/>
  <c r="H11" i="21"/>
  <c r="G88" i="20"/>
  <c r="F163" i="21" s="1"/>
  <c r="G89" i="20"/>
  <c r="F88" i="20"/>
  <c r="E163" i="21" s="1"/>
  <c r="F89" i="20"/>
  <c r="E88" i="20"/>
  <c r="D163" i="21" s="1"/>
  <c r="E89" i="20"/>
  <c r="D88" i="20"/>
  <c r="C163" i="21" s="1"/>
  <c r="D89" i="20"/>
  <c r="G27" i="21"/>
  <c r="H22" i="20"/>
  <c r="C27" i="21"/>
  <c r="D22" i="20"/>
  <c r="H96" i="20" a="1"/>
  <c r="H96" i="20" s="1"/>
  <c r="G177" i="21"/>
  <c r="F177" i="21"/>
  <c r="G96" i="20" a="1"/>
  <c r="G96" i="20" s="1"/>
  <c r="E177" i="21"/>
  <c r="F96" i="20" a="1"/>
  <c r="F96" i="20" s="1"/>
  <c r="D177" i="21"/>
  <c r="E96" i="20" a="1"/>
  <c r="E96" i="20" s="1"/>
  <c r="D96" i="20" a="1"/>
  <c r="D96" i="20" s="1"/>
  <c r="C177" i="21"/>
  <c r="G22" i="20"/>
  <c r="F27" i="21"/>
  <c r="F22" i="20"/>
  <c r="E27" i="21"/>
  <c r="E22" i="20"/>
  <c r="D27" i="21"/>
  <c r="H99" i="20"/>
  <c r="H98" i="20"/>
  <c r="G181" i="21" s="1"/>
  <c r="G99" i="20"/>
  <c r="G98" i="20"/>
  <c r="F181" i="21" s="1"/>
  <c r="F99" i="20"/>
  <c r="F98" i="20"/>
  <c r="E181" i="21" s="1"/>
  <c r="E99" i="20"/>
  <c r="E98" i="20"/>
  <c r="D181" i="21" s="1"/>
  <c r="D99" i="20"/>
  <c r="D98" i="20"/>
  <c r="C181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Lorena Maya</author>
  </authors>
  <commentList>
    <comment ref="L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 xml:space="preserve">
Se baja a todos los espacios académicos que cuenten con revistas científicas.</t>
        </r>
      </text>
    </comment>
    <comment ref="L5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 xml:space="preserve">
Que cada revista científica se someta a evaluación.</t>
        </r>
      </text>
    </comment>
  </commentList>
</comments>
</file>

<file path=xl/sharedStrings.xml><?xml version="1.0" encoding="utf-8"?>
<sst xmlns="http://schemas.openxmlformats.org/spreadsheetml/2006/main" count="2210" uniqueCount="720">
  <si>
    <t>N.P.</t>
  </si>
  <si>
    <t xml:space="preserve">Clave Objetivo General </t>
  </si>
  <si>
    <t xml:space="preserve">Objetivo General </t>
  </si>
  <si>
    <t xml:space="preserve">Clave Objetivo Específico </t>
  </si>
  <si>
    <t xml:space="preserve"> Objetivo Específico </t>
  </si>
  <si>
    <t xml:space="preserve">No. de meta en el PRDI </t>
  </si>
  <si>
    <t>Meta  PRDI</t>
  </si>
  <si>
    <t>Clave de la meta</t>
  </si>
  <si>
    <t>Meta del espacio académico</t>
  </si>
  <si>
    <t>Actividad/Indicador</t>
  </si>
  <si>
    <t>Método de cálculo</t>
  </si>
  <si>
    <t>Nombre de las variables</t>
  </si>
  <si>
    <t>Valor de las variables</t>
  </si>
  <si>
    <t>Valor de los indicadores</t>
  </si>
  <si>
    <t>Medición
(anual o acumulada)</t>
  </si>
  <si>
    <t>Área responsable</t>
  </si>
  <si>
    <t>Ref.
2026</t>
  </si>
  <si>
    <t>PRDI25-29-Obj-53</t>
  </si>
  <si>
    <t>Promover la construcción de una cultura de paz en la comunidad universitaria, 
mediante estrategias educativas, participativas y de sensibilización que fortalezcan 
la convivencia armónica y el respeto a los derechos humanos.</t>
  </si>
  <si>
    <t>PRDI25-29-Obj-126</t>
  </si>
  <si>
    <t>Generar capacidades individuales y colectivas para la gestión pacífica de los 
conflictos, la convivencia respetuosa y la prevención de situaciones de violencia 
entre la comunidad universitaria.</t>
  </si>
  <si>
    <t>Certificar anualmente a 10.03% del personal académico, administrativo de confianza y directivo, en competencias básicas de mediación, gestión pacífica de conflictos y atención a las violencias</t>
  </si>
  <si>
    <t>ACT-POA-NS-2651</t>
  </si>
  <si>
    <t>Mantener al menos 5 acciones de capacitación registradas en cada medición anual de 2027 a 2030.</t>
  </si>
  <si>
    <t>Actividad</t>
  </si>
  <si>
    <t>Sin fórmula</t>
  </si>
  <si>
    <t xml:space="preserve">
Capacitar anualmente a personal académico, administrativo de confianza y directivo del nivel superior, en competencias básicas de mediación, gestión pacífica de conflictos y atención a las violencias</t>
  </si>
  <si>
    <t>Anual</t>
  </si>
  <si>
    <t>Por validar con el área responsable</t>
  </si>
  <si>
    <t>Involucrar a 400 estudiantes en actividades comunitarias, proyectos de intervención social y programas extracurriculares orientados a la construcción de paz durante la administración</t>
  </si>
  <si>
    <t>ACT-PRDI-NS-3188</t>
  </si>
  <si>
    <t xml:space="preserve">Involucrar  a estudiantes en actividades comunitarias, proyectos de intervención social y programas extracurriculares orientados a la construcción de paz </t>
  </si>
  <si>
    <t xml:space="preserve">Anual </t>
  </si>
  <si>
    <t>PRDI25-29-Obj-127</t>
  </si>
  <si>
    <t>Fomentar una cultura institucional de respeto e igualdad para prevenir conductas 
violentas dentro de los espacios universitarios.</t>
  </si>
  <si>
    <t>Lograr que 100% de los espacios académicos, realicen actividades culturales con temáticas de igualdad de género y cultura de paz, durante la administración</t>
  </si>
  <si>
    <t>ACT-PRDI-NS-3244</t>
  </si>
  <si>
    <t>Realizar actividades culturales con temáticas de igualdad de género y cultura de paz</t>
  </si>
  <si>
    <t xml:space="preserve">Realizar 2 campañas anuales para difundir los protocolos institucionales de atención y prevención de violencias a toda la comunidad universitaria </t>
  </si>
  <si>
    <t>ACT-PRDI-NS-3189</t>
  </si>
  <si>
    <t xml:space="preserve">Realizar campañas para difundir los protocolos institucionales de atención y prevención de violencias a toda la comunidad universitaria </t>
  </si>
  <si>
    <t>PRDI25-29-Obj-128</t>
  </si>
  <si>
    <t>Evaluar el impacto de las acciones implementadas para medir los avances 
en la construcción de una cultura de paz y la transformación de las relaciones 
interpersonales e institucionales.</t>
  </si>
  <si>
    <t>Lograr la participación de 40% de la comunidad universitaria en actividades y programas que promuevan la convivencia pacífica, la inclusión y el respeto, durante la administración</t>
  </si>
  <si>
    <t>IND-PRDI-420</t>
  </si>
  <si>
    <t>Indicador</t>
  </si>
  <si>
    <t>(Número de participantes  en actividades y programas que promuevan la convivencia pacífica, la inclusión y el respeto/Número de integrantes de la comunidad universitaria)*100</t>
  </si>
  <si>
    <t>Número de participantes  en actividades y programas que promuevan la convivencia pacífica, la inclusión y el respeto</t>
  </si>
  <si>
    <t>Número de integrantes de la comunidad universitaria</t>
  </si>
  <si>
    <t>PRDI25-29-Obj-75</t>
  </si>
  <si>
    <t>Fortalecer la educación para la paz, la no violencia y los derechos humanos para 
lograr la convivencia pacífica en los espacios universitarios.</t>
  </si>
  <si>
    <t>Realizar 1 jornada anual sobre los 16 días de activismo con diversas actividades (conferencias, talleres, capacitaciones) presenciales y virtuales en los diversos espacios de la universidad</t>
  </si>
  <si>
    <t>ACT-PRDI-NS-2766</t>
  </si>
  <si>
    <t>Realizar jornadas sobre los 16 días de activismo con diversas actividades (conferencias, talleres, capacitaciones) presenciales y virtuales en los diversos espacios de la universidad</t>
  </si>
  <si>
    <t>Publicar 30 contenidos anuales en las redes sociales oficiales sobre temas que promuevan la igualdad sustantiva, la prevención de las violencias, la inclusión, el cuidado y la cultura de paz</t>
  </si>
  <si>
    <t>ACT-PRDI-NS-3178</t>
  </si>
  <si>
    <t>Publicar contenidos en las redes sociales oficiales sobre temas que promuevan la igualdad sustantiva, la prevención de las violencias, la inclusión, el cuidado y la cultura de paz</t>
  </si>
  <si>
    <t>ESTATUS</t>
  </si>
  <si>
    <t>PRDI25-29-Obj-36</t>
  </si>
  <si>
    <t>Formar estudiantes de excelencia, a través de estudios profesionales pertinentes e inclusivos, con una vinculación permanente con estudiantes y personas egresadas, para su pleno desarrollo profesional y su contribución al bienestar social.</t>
  </si>
  <si>
    <t>PRDI2025-2029-Obj-58</t>
  </si>
  <si>
    <t>Contar con planes de estudio pertinentes y de excelencia, en diferentes modalidades, que incorporen los criterios transversales del SEAES, de indicadores de instancias de evaluación externa y acreditación, y de organismos acreditadores, para formar profesionistas que contribuyan a la conformación de una sociedad más justa, libre, incluyente y pacífica, con una visión de sostenibilidad.</t>
  </si>
  <si>
    <t>Incorporar contenidos temáticos o actividades académicas sobre los criterios transversales del seaes, en 30 planes de estudio reestructurados, durante la administración</t>
  </si>
  <si>
    <t>ACT-PRDI-NS-2726</t>
  </si>
  <si>
    <t>meta fac</t>
  </si>
  <si>
    <t>Incorporar contenidos temáticos o actividades académicas sobre los criterios transversales del seaes, en planes de estudio reestructurados</t>
  </si>
  <si>
    <t>Contar con el acervo de 120 unidades de aprendizaje de estudios profesionales apegados a las referencias documentales básicas durante la administración</t>
  </si>
  <si>
    <t>ACT-PRDI-NS-2727</t>
  </si>
  <si>
    <t xml:space="preserve">Contar con el acervo de unidades de aprendizaje de estudios profesionales apegados a las referencias documentales básicas </t>
  </si>
  <si>
    <t>Lograr que 89.13% de los programas educativos de estudios profesionales evaluables cuenten con reconocimiento por su excelencia, para 2029</t>
  </si>
  <si>
    <t>IND-NS-210</t>
  </si>
  <si>
    <t>(Número de programas educativos de estudios profesionales con reconocimiento por su excelencia / Número de programas educativos de Estudios Profesionales evaluables)*100</t>
  </si>
  <si>
    <t>Número de programas educativos de estudios profesionales con reconocimiento por su excelencia</t>
  </si>
  <si>
    <t>Número de programas educativos de Estudios Profesionales evaluables</t>
  </si>
  <si>
    <t>Lograr que 92.9% de la matrícula en programas educativos de estudios profesionales evaluables, curse en programas educativos reconocidos por su excelencia, para 2029</t>
  </si>
  <si>
    <t>IND-PRDI-351</t>
  </si>
  <si>
    <t>(Matrícula de estudiantes de estudios profesionales del sistema dependiente en programas educativos reconocidos por su excelencia / Matrícula de estudiantes de estudios profesionales del sistema dependiente en programas educativos evaluables)*100</t>
  </si>
  <si>
    <t>Matrícula de estudiantes de estudios profesionales del sistema dependiente en programas educativos reconocidos por su excelencia</t>
  </si>
  <si>
    <t>Matrícula de estudiantes de estudios profesionales del sistema dependiente en programas educativos evaluables</t>
  </si>
  <si>
    <t>PRDI25-29-Obj-81</t>
  </si>
  <si>
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</si>
  <si>
    <t>Lograr que 72% de los sustentantes que presentan el EGEL obtengan testimonios de desempeño sobresaliente o satisfactorio, para 2029</t>
  </si>
  <si>
    <t>IND-PRDI-200</t>
  </si>
  <si>
    <t>(Número de sustentantes de estudios profesionales que obtienen testimonio de desempeño sobresaliente o satisfactorio en el EGEL / 
Total de sustentantes de estudios profesionales que presentan los EGEL)*100</t>
  </si>
  <si>
    <t>Número de sustentantes de estudios profesionales que obtienen testimonio de desempeño sobresaliente o satisfactorio en el EGEL</t>
  </si>
  <si>
    <t>Total de sustentantes de estudios profesionales que presentan los EGEL</t>
  </si>
  <si>
    <t>Implementar 1 programa de preparación para EGEL anualmente</t>
  </si>
  <si>
    <t>ACT-PRDI-NS-2781</t>
  </si>
  <si>
    <t xml:space="preserve">Implementar un programa de preparación para EGEL </t>
  </si>
  <si>
    <t>Lograr que 550 estudiantes de estudios profesionales participen en movilidad intrainstitucional durante la administración</t>
  </si>
  <si>
    <t>ACT-PRDI-NS-2785</t>
  </si>
  <si>
    <t>Lograr que estudiantes de estudios profesionales participen en movilidad intrainstitucional</t>
  </si>
  <si>
    <t>Lograr anualmente que 100% de los estudiantes de estudios profesionales estén beneficiados con el nuevo Programa Institucional de Tutoría Académica</t>
  </si>
  <si>
    <t>IND-PRDI-353</t>
  </si>
  <si>
    <t>(Número de estudiantes de estudios profesionales beneficiados con tutoría/ Total de estudiantes de estudios profesionales) * 100</t>
  </si>
  <si>
    <t>Número de estudiantes de estudios profesionales beneficiados con tutoría</t>
  </si>
  <si>
    <t>Total de estudiantes de estudios profesionales</t>
  </si>
  <si>
    <t>Lograr que 1 030 estudiantes de estudios profesionales participen en movilidad nacional e internacional durante la administración</t>
  </si>
  <si>
    <t>ACT-PRDI-NS-2789</t>
  </si>
  <si>
    <t xml:space="preserve">Lograr que estudiantes de estudios profesionales participen en movilidad nacional e internacional </t>
  </si>
  <si>
    <t>Realizar anualmente en los 55 espacios académicos un proyecto colaborativo de beneficio social</t>
  </si>
  <si>
    <t>ACT-PRDI-NS-2729</t>
  </si>
  <si>
    <t xml:space="preserve">Realizar en los espacios académicos un proyecto colaborativo de beneficio social </t>
  </si>
  <si>
    <t>Contar con 70 manuales de prácticas apegados a los indicadores del Sistema para Evaluar la Calidad de Medios Educativos anualmente</t>
  </si>
  <si>
    <t>ACT-PRDI-NS-2792</t>
  </si>
  <si>
    <t xml:space="preserve">Contar con manuales de prácticas apegados a los indicadores del Sistema para Evaluar la Calidad de Medios Educativos </t>
  </si>
  <si>
    <t>Lograr que 80.03% de las GEI disponibles en SEDUCA sean utilizadas, para 2029</t>
  </si>
  <si>
    <t>IND-PRDI-357</t>
  </si>
  <si>
    <t>(Número de guías de estudio independiente utilizadas / Número total de guías de estudio independiente vigentes disponibles en SEDUCA) *100</t>
  </si>
  <si>
    <t>Número de guías de estudio independiente utilizadas</t>
  </si>
  <si>
    <t>Número total de guías de estudio independiente vigentes disponibles en SEDUCA</t>
  </si>
  <si>
    <t>Incrementar a 52 000 el número de estudiantes de estudios profesionales en la renovada plataforma seduca, para 2029</t>
  </si>
  <si>
    <t>ACT-PRDI-NS-2728</t>
  </si>
  <si>
    <t xml:space="preserve">Incrementar el número de estudiantes de estudios profesionales en la renovada plataforma seduca </t>
  </si>
  <si>
    <t>Desarrollar 470 actividades académicas de educación continua al año</t>
  </si>
  <si>
    <t>ACT-PRDI-NS-2805</t>
  </si>
  <si>
    <t>Desarrollar actividades académicas de educación continua</t>
  </si>
  <si>
    <t>Certificar en una segunda lengua a 720 estudiantes de estudios profesionales anualmente</t>
  </si>
  <si>
    <t>ACT-PRDI-NS-2205</t>
  </si>
  <si>
    <t>Certificar internacionalmente en una segunda lengua a estudiantes de estudios profesionales</t>
  </si>
  <si>
    <t>PRDI25-29-Obj-82</t>
  </si>
  <si>
    <t>Contribuir al acceso, permanencia y egreso del alumnado de estudios profesionales para su formación integral y la conclusión de sus estudios profesionales.</t>
  </si>
  <si>
    <t>Incrementar la matrícula a 78 002 estudiantes de estudios profesionales en sus diversas modalidades para 2029</t>
  </si>
  <si>
    <t>ACT-PRDI-NS-1764</t>
  </si>
  <si>
    <t xml:space="preserve">
Atender la matrícula de Estudios Profesionales en sus diversas modalidades</t>
  </si>
  <si>
    <t>Contar con una titulación por cohorte a 2029 de 30.5%</t>
  </si>
  <si>
    <t>IND-PRDI-40</t>
  </si>
  <si>
    <t>(Titulados al primer año de egreso/Nuevo ingreso n-5 )*100</t>
  </si>
  <si>
    <t>Titulados al primer año de egreso</t>
  </si>
  <si>
    <t>Nuevo ingreso n-5</t>
  </si>
  <si>
    <t>Implementar semestralmente 1 programa de fomento a la titulación</t>
  </si>
  <si>
    <t>ACT-PRDI-NS-2814</t>
  </si>
  <si>
    <t>Implementar un programa de fomento a la titulación</t>
  </si>
  <si>
    <t>Lograr la eficiencia terminal por cohorte en estudios Profesionales de 53.59% en 2029</t>
  </si>
  <si>
    <t>IND-NS-127</t>
  </si>
  <si>
    <t>(La suma acumulada del número de egresados de la cohorte de estudios profesionales en cada uno de los años que dura la cohorte/Número total de alumnos de ingreso a primer año de la cohorte)*100</t>
  </si>
  <si>
    <t>La suma acumulada del número de egresados de la cohorte de estudios profesionales en cada uno de los años que dura la cohorte</t>
  </si>
  <si>
    <t>Número total de alumnos de ingreso a primer año de la cohorte</t>
  </si>
  <si>
    <t>Disminuir a 7.80% el abandono escolar de estudios profesionales al término de la administración</t>
  </si>
  <si>
    <t>IND-PRDI-34</t>
  </si>
  <si>
    <t>(1-((Matrícula total n mas 1-Nuevo ingreso 1o n mas 1+Egresados n)/(Matrícula total n)))*100</t>
  </si>
  <si>
    <t>Matrícula total n mas 1</t>
  </si>
  <si>
    <t>Nuevo ingreso 1o n mas 1</t>
  </si>
  <si>
    <t>Egresados n</t>
  </si>
  <si>
    <t>Matrícula total n</t>
  </si>
  <si>
    <t>Otorgar anualmente 38 000 becas, apoyos o estímulos institucionales a estudiantes de Estudios Profesionales</t>
  </si>
  <si>
    <t>ACT-PRDI-NS-2297</t>
  </si>
  <si>
    <t>Otorgar becas, apoyos o estímulos a alumnos de estudios profesionales para la permanencia y conclusión de estudios</t>
  </si>
  <si>
    <t>Lograr que 98% del total de estudiantes activos de Estudios Profesionales cuenten con servicios de salud a 2029</t>
  </si>
  <si>
    <t>IND-PRDI-366</t>
  </si>
  <si>
    <t>(Alumnos afiliados al Seguro Facultativo de Estudios Profesionales / Matrícula activa de Estudios Profesionales)*100</t>
  </si>
  <si>
    <t>Alumnos afiliados al Seguro Facultativo de Estudios Profesionales</t>
  </si>
  <si>
    <t>Matrícula activa de Estudios Profesionales</t>
  </si>
  <si>
    <t>Lograr la participación de 32 300 estudiantes y personas egresadas en los sectores gubernamental, productivo y social, mediante las prácticas o estancias profesionales, al cierre de la administración</t>
  </si>
  <si>
    <t>ACT-PRDI-NS-2285</t>
  </si>
  <si>
    <t>Lograr la participación de alumnos en los sectores gubernamental, productivo y social mediante las prácticas o estancias profesionales</t>
  </si>
  <si>
    <t>Lograr la participación de 500 estudiantes de estudios profesionales en cursos, talleres o actividades de capacitación de empleabilidad, realizadas en conjunto con instituciones externas, anualmente</t>
  </si>
  <si>
    <t>ACT-PRDI-NS-2826</t>
  </si>
  <si>
    <t>Lograr la participación de estudiantes de estudios profesionales en cursos, talleres o actividades de capacitación de empleabilidad, realizadas en conjunto con instituciones externas</t>
  </si>
  <si>
    <t>Realizar 10 eventos de promoción y difusión en apoyo al desarrollo profesional para el empleo y la inserción laboral, durante la administración</t>
  </si>
  <si>
    <t>ACT-PRDI-NS-2825</t>
  </si>
  <si>
    <t>Realizar  eventos de promoción y difusión en apoyo al desarrollo profesional para el empleo y la inserción laboral</t>
  </si>
  <si>
    <t>PRDI25-29-Obj-83</t>
  </si>
  <si>
    <t>Fortalecer la vinculación, acompañamiento y seguimiento de egresados de estudios profesionales, para favorecer las prácticas profesionales, empleabilidad y colaboración con el sector productivo, con un sentido de identidad.</t>
  </si>
  <si>
    <t>Realizar 40 intervenciones de impacto anuales en espacios académicos para fortalecer la vinculación colaborativa entre egresados y estudiantes</t>
  </si>
  <si>
    <t>ACT-PRDI-NS-2753</t>
  </si>
  <si>
    <t>Realizar intervenciones de impacto en espacios académicos para fortalecer la vinculación colaborativa entre egresados y estudiantes</t>
  </si>
  <si>
    <t>Proyecto</t>
  </si>
  <si>
    <t>Actividades</t>
  </si>
  <si>
    <t>Indicadores</t>
  </si>
  <si>
    <t>Total</t>
  </si>
  <si>
    <t>2 EstudiantadoEstProf</t>
  </si>
  <si>
    <t>3 Est avanzados excelencia</t>
  </si>
  <si>
    <t>4 Investigación abierta</t>
  </si>
  <si>
    <t>5 Innovación, desarrollo tec</t>
  </si>
  <si>
    <t>6 Dif y divulga de la ciencia</t>
  </si>
  <si>
    <t>7 Cultura desarrollo integral</t>
  </si>
  <si>
    <t>8 Deporte universitario</t>
  </si>
  <si>
    <t>9 Fortalecimiento docente</t>
  </si>
  <si>
    <t>10 Dignificación las y los trab</t>
  </si>
  <si>
    <t>11 Gestión administrativa</t>
  </si>
  <si>
    <t>12 Fortalecimiento tecnológico</t>
  </si>
  <si>
    <t>13 Gobernanza</t>
  </si>
  <si>
    <t>16 Manejo recursos universitari</t>
  </si>
  <si>
    <t>18 Reconocimiento de la diversi</t>
  </si>
  <si>
    <t xml:space="preserve">19 Constr cultura de paz </t>
  </si>
  <si>
    <t xml:space="preserve">20 Retribución social </t>
  </si>
  <si>
    <t>21 Comunicación universitaria</t>
  </si>
  <si>
    <t xml:space="preserve">22 Sostenibilidad ambiental </t>
  </si>
  <si>
    <t>PRDI25-29-Obj-37</t>
  </si>
  <si>
    <t>Garantizar una formación en estudios avanzados de excelencia y pertinencia social, a través del desarrollo de programas innovadores con la integración de la investigación de la Agenda Estratégica de Investigación, para asegurar que el conocimiento generado impulse la transformación social.</t>
  </si>
  <si>
    <t>PRDI2025-2029-Obj-59</t>
  </si>
  <si>
    <t>Incrementar la matrícula de estudios avanzados con enfoque de equidad e inclusión regional para diversificar el acceso a la formación de alto nivel.</t>
  </si>
  <si>
    <t>Contar con 233 estudiantes de estudios avanzados participantes en estancias cortas o movilidad académica, a 2029</t>
  </si>
  <si>
    <t>ACT-PRDI-NS-2838</t>
  </si>
  <si>
    <t>Contar con estudiantes de estudios avanzados participantes en estancias cortas o movilidad académica</t>
  </si>
  <si>
    <t>Contar  4 350 alumnos en estudios avanzados, a 2029</t>
  </si>
  <si>
    <t>ACT-PRDI-NS-2685</t>
  </si>
  <si>
    <t>Atender la matrícula de estudios avanzados para la generación y aplicación del conocimiento</t>
  </si>
  <si>
    <t>PRDI25-29-Obj-84</t>
  </si>
  <si>
    <t>Consolidar una oferta educativa de estudios avanzados de excelencia, para garantizar la inclusión, la pertinencia social y la alineación con las demandas de los sectores productivo, gubernamental y social.</t>
  </si>
  <si>
    <t>Ofertar 1 nuevo programa de estudios avanzados o diplomado superior en los CU y UAP vinculado con entidades de gobierno o industria, anualmente</t>
  </si>
  <si>
    <t>ACT-PRDI-NS-2844</t>
  </si>
  <si>
    <t>Ofertar nuevos programas de estudios avanzados o diplomado superior en los CU y UAP vinculado con entidades de gobierno o industria</t>
  </si>
  <si>
    <t>Registrar 50 protocolos de investigación de alumnos de estudios avanzados con temáticas vinculadas a la Agenda Estratégica de Investigación, anualmente</t>
  </si>
  <si>
    <t>ACT-PRDI-NS-2847</t>
  </si>
  <si>
    <t>Registrar protocolos de investigación de alumnos de estudios avanzados con temáticas vinculadas a la Agenda Estratégica de Investigación</t>
  </si>
  <si>
    <t>Generar protocolos de acción para incrementar la tasa de graduación y la eficiencia terminal en 10 espacios académicos, en 2026</t>
  </si>
  <si>
    <t>ACT-PRDI-NS-2848</t>
  </si>
  <si>
    <t>Generar protocolos de acción para incrementar la tasa de graduación y la eficiencia terminal en espacios académicos</t>
  </si>
  <si>
    <t>Incrementar a 1190 graduados de estudios avanzados, a 2029</t>
  </si>
  <si>
    <t>ACT-PRDI-NS-2849</t>
  </si>
  <si>
    <t>Incrementar graduados de estudios avanzados</t>
  </si>
  <si>
    <t>Incrementar a 17.56% la graduación de estudios avanzados por la opción de trabajo terminal de grado, a 2029</t>
  </si>
  <si>
    <t>IND-PRDI-365</t>
  </si>
  <si>
    <t>(Número de alumnos graduados por la opción de trabajo terminal de grado en el año que se reporta/Total de alumnos graduados en el año que se reporta)*100</t>
  </si>
  <si>
    <t>Número de alumnos graduados por la opción de trabajo terminal de grado en el año que se reporta</t>
  </si>
  <si>
    <t>Total de alumnos graduados en el año que se reporta)*100</t>
  </si>
  <si>
    <t>PRDI25-29-Obj-38</t>
  </si>
  <si>
    <t>Impulsar la investigación científica, humanística, tecnológica y de innovación priorizando la calidad, inclusión,  equidad, retribución social y multilingüismo, a través del apoyo a proyectos sólidos, el fortalecimiento de redes en la comunidad investigadora y la optimización de recursos e infraestructura, en el marco del nuevo Modelo de Ciencia Abierta para la Transformación Social</t>
  </si>
  <si>
    <t>PRDI2025-2029-Obj-60</t>
  </si>
  <si>
    <t>Fomentar la investigación abierta, equitativa y de calidad, así como transparentar su dimensión de retribución social, incentivar el diálogo de saberes y la participación activa de la comunidad universitaria de forma incluyente.</t>
  </si>
  <si>
    <t>Contar con 200 CA de calidad, a 2028</t>
  </si>
  <si>
    <t>ACT-PRDI-NS-2870</t>
  </si>
  <si>
    <t>Mantener al menos 3 cuerpos académicos de calidad en cada medición anual de 2027 a 2030.</t>
  </si>
  <si>
    <t>Contar con Cuerpos Académicos de calidad</t>
  </si>
  <si>
    <t>Mantener 98.68% de los CA que realizan investigación que contribuye a la solución de problemas sociales, a 2029</t>
  </si>
  <si>
    <t>IND-PRDI-221</t>
  </si>
  <si>
    <t>(Número de cuerpos académicos registrados en SEP que realizan investigación que contribuyen a la solución de problemas sociales/Total de cuerpos académicos registrados en SEP)*100</t>
  </si>
  <si>
    <t>Número de cuerpos académicos registrados en SEP que realizan investigación que contribuyen a la solución de problemas sociales</t>
  </si>
  <si>
    <t>Total de cuerpos académicos registrados en SEP</t>
  </si>
  <si>
    <t>Mantener el 49.59% de los PTC con participación en redes con pares extranjeros, anualmente</t>
  </si>
  <si>
    <t> IND-PRDI-368</t>
  </si>
  <si>
    <t>(Número de Profesores de Tiempo Completo  con participación en redes con pares extranjeros/Total de Profesores de Tiempo Completo)*100</t>
  </si>
  <si>
    <t>Número de Profesores de Tiempo Completo  con participación en redes con pares extranjeros</t>
  </si>
  <si>
    <t>Total de Profesores de Tiempo Completo</t>
  </si>
  <si>
    <t>Mantener 49.81% de los PTC que participan en redes nacionales, anualmente</t>
  </si>
  <si>
    <t>IND-PRDI-370</t>
  </si>
  <si>
    <t>(Número de Profesores de Tiempo Completo con participación en redes nacionales/Total de Profesores de Tiempo Completo)*100</t>
  </si>
  <si>
    <t>Número de Profesores de Tiempo Completo con participación en redes nacionales</t>
  </si>
  <si>
    <t>PRDI25-29-Obj-85</t>
  </si>
  <si>
    <t>Optimizar el proceso de asignación y gestión de recursos financieros para consolidar la investigación con proyectos que respondan a los principios de calidad, equidad, inclusión, retribución social y multilingüismo.</t>
  </si>
  <si>
    <t>Atender las necesidades prioritarias de mantenimiento, equipamiento y medidas de seguridad de 115 laboratorios de investigación, a 2029</t>
  </si>
  <si>
    <t>ACT-PRDI-NS-2854</t>
  </si>
  <si>
    <t>Atender las necesidades prioritarias de mantenimiento, equipamiento y medidas de seguridad de laboratorios de investigación</t>
  </si>
  <si>
    <t>Promover la participación en 2 convocatorias externas de proyectos de investigación, anualmente</t>
  </si>
  <si>
    <t>ACT-PRDI-NS-2858</t>
  </si>
  <si>
    <t>Promover la participación en convocatorias externas de proyectos de investigación</t>
  </si>
  <si>
    <t>Contar con 19.51% de los proyectos de investigación en DT e innovación que cuenten con un plan de transferencia, innovación o impacto social documentado, a 2029</t>
  </si>
  <si>
    <t>IND-PRDI-367</t>
  </si>
  <si>
    <t>(Número de proyectos de investigación en DT e Innovación que cuentan con plan de transferencia, innovación impacto social documentado/Total de proyectos de investigación en DT e Innovación)*100</t>
  </si>
  <si>
    <t>Número de proyectos de investigación en DT e Innovación que cuentan con plan de transferencia, innovación impacto social documentado</t>
  </si>
  <si>
    <t>Total de proyectos de investigación en DT e Innovación</t>
  </si>
  <si>
    <t>Contar con 53.22% de producción científica con sentido social, anualmente</t>
  </si>
  <si>
    <t>IND-PRDI-225</t>
  </si>
  <si>
    <t>(Número de producción científica con sentido social/Total de la producción científica reportada)*100</t>
  </si>
  <si>
    <t>Número de producción científica con sentido social</t>
  </si>
  <si>
    <t>Total de la producción científica reportada</t>
  </si>
  <si>
    <t>PRDI25-29-Obj-39</t>
  </si>
  <si>
    <t>Impulsar la innovación y el desarrollo tecnológico de manera sostenible y equitativa, a través de la articulación de plataformas multiactor, la gestión de la propiedad intelectual y transferencia tecnológica, en el marco de proyectos Penta-Hélice.</t>
  </si>
  <si>
    <t>PRDI25-29-Obj-86</t>
  </si>
  <si>
    <t>Fortalecer la gestión institucional de la propiedad intelectual y transferencia tecnológica a través de mecanismos equitativos, sostenibles y con retribución social.</t>
  </si>
  <si>
    <t>Contar con 222 expedientes, registros y patentes ante el IMPI, a 2029</t>
  </si>
  <si>
    <t>ACT-PRDI-NS-2875</t>
  </si>
  <si>
    <t>Contar con expedientes, registros y patentes ante el IMPI</t>
  </si>
  <si>
    <t>Capacitar a 100 miembros de la comunidad universitaria en materia de propiedad intelectual y gestión de activos de conocimiento, anualmente</t>
  </si>
  <si>
    <t>ACT-PRDI-NS-2881</t>
  </si>
  <si>
    <t>Capacitar a miembros de la comunidad universitaria en materia de propiedad intelectual y gestión de activos de conocimiento</t>
  </si>
  <si>
    <t>PRDI25-29-Obj-40</t>
  </si>
  <si>
    <t>Comunicar en abierto los resultados de investigación con la finalidad de democratizar el acceso al conocimiento generado en la Universidad y asegurar su máxima difusión y retribución social en formatos accesibles y multilingües que se posicionen como bien público digital.</t>
  </si>
  <si>
    <t>PRDI25-29-Obj-87</t>
  </si>
  <si>
    <t>Fortalecer los procesos editoriales y tecnológicos para sostener y generar libros y revistas científicas como bienes públicos digitales.</t>
  </si>
  <si>
    <t xml:space="preserve">Realizar 1 programa de sostenibilidad y  fortalecimiento del Acceso Abierto no comercial para las revistas científicas editadas en la Universidad, anualmente </t>
  </si>
  <si>
    <t>ACT-PRDI-NS-2890</t>
  </si>
  <si>
    <t>Realizar un programa de sostenibilidad y  fortalecimiento del Acceso Abierto no comercial para las revistas científicas editadas en la Universidad</t>
  </si>
  <si>
    <t>Capacitar a 1000 miembros de la comunidad universitaria en Ciencia Abierta, anualmente</t>
  </si>
  <si>
    <t>ACT-PRDI-NS-2897</t>
  </si>
  <si>
    <t>Capacitar a  miembros de la comunidad universitaria en Ciencia Abierta</t>
  </si>
  <si>
    <t>Realizar 1 evaluación de la calidad, criterios y políticas de Acceso Abierto Diamante de las publicaciones periódicas científicas institucionales, anualmente</t>
  </si>
  <si>
    <t>ACT-PRDI-NS-2899</t>
  </si>
  <si>
    <t>Realizar evaluaciones de la calidad, criterios y políticas de Acceso Abierto Diamante de las publicaciones periódicas científicas institucionales</t>
  </si>
  <si>
    <t>PRDI25-29-Obj-41</t>
  </si>
  <si>
    <t>PRDI25-29-Obj-41 -Fortalecer la cultura a través de proyectos y actividades que articulen la expresión artística y cultural como parte del desarrollo de la comunidad universitaria..</t>
  </si>
  <si>
    <t>PRDI25-29-Obj-63</t>
  </si>
  <si>
    <t xml:space="preserve">Fomentar la participación activa de la comunidad universitaria y sociedad en general en actividades culturales innovadoras que fortalezcan la identidad y el sentido de pertenencia institucional que contribuyan a la cohesión social y la igualdad.
</t>
  </si>
  <si>
    <t>Abrir 850 talleres culturales anualmente en beneficio de la colectividad universitaria de nivel superior</t>
  </si>
  <si>
    <t>ACT-PRDI-NS-3193</t>
  </si>
  <si>
    <t>Abrir talleres culturales en beneficio de la colectividad universitaria de nivel superior</t>
  </si>
  <si>
    <t>Realizar 850 presentaciones artísticas anualmente.</t>
  </si>
  <si>
    <t>ACT-PRDI-NS-1816</t>
  </si>
  <si>
    <t xml:space="preserve">Realizar presentaciones artísticas </t>
  </si>
  <si>
    <t>Organizar 3 programas de fortalecimiento al talento audiovisual para desarrollar la creatividad cultural de los universitarios, durante la administración</t>
  </si>
  <si>
    <t>ACT-PRDI-NS-3195</t>
  </si>
  <si>
    <t>Organizar programas de fortalecimiento al talento audiovisual para desarrollar la creatividad cultural de los universitarios</t>
  </si>
  <si>
    <t>PRDI25-29-Obj-88</t>
  </si>
  <si>
    <t>Fortalecer espacios de formación y reflexión que integren a la cultura con inclusión y transformación social.</t>
  </si>
  <si>
    <t>Organizar 6 programas audiovisuales vanguardistas que fomenten la innovación cultural durante la administración</t>
  </si>
  <si>
    <t>ACT-PRDI-NS-3200</t>
  </si>
  <si>
    <t xml:space="preserve">Organizar programas audiovisuales vanguardistas que fomenten la innovación cultural </t>
  </si>
  <si>
    <t>Realizar al año, 4 programas artísticos que contribuyan al fortalecimiento cultural de la comunidad universitaria</t>
  </si>
  <si>
    <t>ACT-PRDI-NS-3202</t>
  </si>
  <si>
    <t>Realizar programas artísticos que contribuyan al fortalecimiento cultural de la comunidad universitaria</t>
  </si>
  <si>
    <t xml:space="preserve">Realizar al año 1 festival cultural que reúna a los talentos de distintos talleres y espacios académicos
</t>
  </si>
  <si>
    <t>ACT-PRDI-NS-3205</t>
  </si>
  <si>
    <t xml:space="preserve">Realizar festivales culturales que reúna a los talentos de distintos talleres y espacios académicos
</t>
  </si>
  <si>
    <t>PRDI25-29-Obj-42</t>
  </si>
  <si>
    <t>Fortalecer, mediante la promoción y participación, una cultura física para favorecer el desarrollo integral y la adopción de hábitos de bienestar en la comunidad universitaria.</t>
  </si>
  <si>
    <t>PRDI25-29-Obj-64</t>
  </si>
  <si>
    <t>Generar la cultura física en la comunidad universitaria para fomentar hábitos de vida saludable.</t>
  </si>
  <si>
    <t>Organizar anualmente 12 eventos regionales que promuevan el bienestar, el autocuidado y la actividad física responsable</t>
  </si>
  <si>
    <t>ACT-PRDI-NS-2746</t>
  </si>
  <si>
    <t>Organizar eventos regionales que promuevan el bienestar, el autocuidado y la actividad física responsable</t>
  </si>
  <si>
    <t>Mantener anualmente la participación de 41.01% del personal académico en actividades de cultura física</t>
  </si>
  <si>
    <t>IND-PRDI-372</t>
  </si>
  <si>
    <t>(Número de académicos que participan en actividades deportivas/ Total del personal académico)*100</t>
  </si>
  <si>
    <t>Número de académicos que participan en actividades deportivas</t>
  </si>
  <si>
    <t>Total del personal académico</t>
  </si>
  <si>
    <t>Lograr que 30.02% del personal administrativo participe en actividades de cultura física, anualmente</t>
  </si>
  <si>
    <t>IND-PRDI-374</t>
  </si>
  <si>
    <t>(Número de administrativos en actividades deportivas/ Total del personal administrativo)*100</t>
  </si>
  <si>
    <t>Número de administrativos en actividades deportivas</t>
  </si>
  <si>
    <t>Total del personal administrativo</t>
  </si>
  <si>
    <t>Lograr anualmente que 50% de estudiantes del nivel superior participen en actividades de cultura física</t>
  </si>
  <si>
    <t>IND-PRDI-377</t>
  </si>
  <si>
    <t>(Número de estudiantes de nivel superior que participan en actividades deportivas/ Total matrícula estudiantil de estudios profesionales)*100</t>
  </si>
  <si>
    <t>Número de estudiantes de nivel superior que participan en actividades deportivas</t>
  </si>
  <si>
    <t>Total matrícula estudiantil de estudios profesionales</t>
  </si>
  <si>
    <t>PRDI25-29-Obj-90</t>
  </si>
  <si>
    <t>Ampliar las oportunidades de acceso al deporte dirigidas a la comunidad universitaria para su desarrollo integral y proyección competitiva con equidad e inclusión.</t>
  </si>
  <si>
    <t>Contar con la participación anual de 300 deportistas universitarios para impulsar su talento competitivo a nivel estatal, nacional e internacional</t>
  </si>
  <si>
    <t>ACT-PRDI-NS-2909</t>
  </si>
  <si>
    <t>Contar con la participación deportistas universitarios para impulsar su talento competitivo a nivel estatal, nacional e internacional</t>
  </si>
  <si>
    <t xml:space="preserve">PRDI25-29-Obj-43 </t>
  </si>
  <si>
    <t>Fortalecer la habilitación académica, científica y el desarrollo integral del personal académico mediante una formación humanista e innovadora, que dignifique su labor, promueva la excelencia educativa y contribuya al bienestar de la comunidad docente.</t>
  </si>
  <si>
    <t>PRDI2025-2029-Obj-65</t>
  </si>
  <si>
    <t>Formar al profesorado de nivel superior integralmente, para promover la excelencia educativa.</t>
  </si>
  <si>
    <t>Lograr a 2029 que 65% del personal académico de nivel superior participe en actividades de formación</t>
  </si>
  <si>
    <t>IND-NS-212</t>
  </si>
  <si>
    <t>(Número de académicos de nivel superior que participan en actividades de formación./Total de académicos de nivel superior)*100</t>
  </si>
  <si>
    <t>Número de académicos de nivel superior que participan en actividades de formación.</t>
  </si>
  <si>
    <t>Total de académicos de nivel superior</t>
  </si>
  <si>
    <t>Actualizar anualmente a 25.01% del personal académico del nivel superior en conocimientos propios de la disciplina que enseñan</t>
  </si>
  <si>
    <t>IND-PRDI-371</t>
  </si>
  <si>
    <t>(Número de personal académico de nivel superior que participa en actividades de capacitación de actualización disciplinar/Total de personal académico de nivel superior)*100</t>
  </si>
  <si>
    <t>Número de personal académico de nivel superior que participa en actividades de capacitación de actualización disciplinar</t>
  </si>
  <si>
    <t>Total de personal académico de nivel superior</t>
  </si>
  <si>
    <t>Lograr que 50% de personal académico de nivel superior se capacite en el desarrollo de competencias didácticas y digitales a 2029</t>
  </si>
  <si>
    <t>IND-PRDI-373</t>
  </si>
  <si>
    <t>(Número de personal académico de nivel superior que participa en actividades de capacitación en el desarrollo de competencias didácticas y digitales/Total de personal académico de nivel superior)*100</t>
  </si>
  <si>
    <t>Número de personal académico de nivel superior que participa en actividades de capacitación en el desarrollo de competencias didácticas y digitales</t>
  </si>
  <si>
    <t>Capacitar a 100% del personal académico en el nuevo modelo educativo durante la administración</t>
  </si>
  <si>
    <t> IND-PRDI-375</t>
  </si>
  <si>
    <t>(Número de personal académico capacitado en el nuevo modelo educativo/Total de personal académico)*100</t>
  </si>
  <si>
    <t>Número de personal académico capacitado en el nuevo modelo educativo</t>
  </si>
  <si>
    <t xml:space="preserve">Total de personal académico </t>
  </si>
  <si>
    <t>Brindar capacitación en temas transversales a 25.01% del personal académico de nivel superior anualmente</t>
  </si>
  <si>
    <t>IND-PRDI-376</t>
  </si>
  <si>
    <t>(Número de personal académico de nivel superior que participa en actividades de capacitación en temas transversales/Total de personal académico de nivel superior)*100</t>
  </si>
  <si>
    <t>Número de personal académico de nivel superior que participa en actividades de capacitación en temas transversales</t>
  </si>
  <si>
    <t>PRDI25-29-Obj-92</t>
  </si>
  <si>
    <t>Fortalecer la formación y certificación del profesorado en una segunda lengua, con el propósito de consolidar su desarrollo profesional.</t>
  </si>
  <si>
    <t>Lograr la certificación internacional en una segunda lengua en nivel C1 de cuatro habilidades de 360 profesores de lengua de estudios profesionales al final de la administración</t>
  </si>
  <si>
    <t>ACT-PRDI-NS-2923</t>
  </si>
  <si>
    <t>Lograr la certificación internacional en una segunda lengua en nivel C1 de cuatro habilidades de profesores de lengua de estudios profesionales</t>
  </si>
  <si>
    <t>PRDI25-29-Obj-93</t>
  </si>
  <si>
    <t>Mejorar la habilitación académica y científica de los investigadores para su reconocimiento y excelencia.</t>
  </si>
  <si>
    <t>Contar con 715 PTC en el SNII para 2029</t>
  </si>
  <si>
    <t>ACT-PRDI-NS-2926</t>
  </si>
  <si>
    <t xml:space="preserve">Contar con PTC en el SNII </t>
  </si>
  <si>
    <t>Acumulada</t>
  </si>
  <si>
    <t>Alcanzar 75.06% del profesorado de tiempo completo (PTC) con Perfil PRODEP, para 2029</t>
  </si>
  <si>
    <t xml:space="preserve">IND-PRDI-47 </t>
  </si>
  <si>
    <t>(PTC registrados en la SEP que cuentan con perfil Prodep/Total de PTC registrados en la SEP)*100</t>
  </si>
  <si>
    <t>PTC registrados en la SEP que cuentan con perfil Prodep</t>
  </si>
  <si>
    <t>Total de PTC registrados en la SEP</t>
  </si>
  <si>
    <t>Lograr 34 participantes del personal académico de Estudios Avanzados en actividades de internacionalización (seminarios, coil, cátedras), durante la administración</t>
  </si>
  <si>
    <t>ACT-PRDI-NS-2927</t>
  </si>
  <si>
    <t>Lograr participantes del personal académico de Estudios Avanzados en actividades de internacionalización (seminarios, coil, cátedras)</t>
  </si>
  <si>
    <t>Lograr que 316 académicos e investigadores participen en estancias internacionales o de movilidad durante la administración</t>
  </si>
  <si>
    <t>ACT-PRDI-NS-2928</t>
  </si>
  <si>
    <t>Lograr que académicos e investigadores participen en estancias internacionales o de movilidad</t>
  </si>
  <si>
    <t>PRDI25-29-Obj-44</t>
  </si>
  <si>
    <t>Mejorar la dignificación de las y los trabajadores universitarios a través del reconocimiento institucional y actualización de conocimiento para fortalecer su perfil profesional y personal; lo cual se verá reflejado en un mejor servicio universitario.</t>
  </si>
  <si>
    <t>PRDI2025-2029-Obj-66</t>
  </si>
  <si>
    <t>Fortalecer las competencias laborales del personal administrativo para la mejora de perfiles de puesto.</t>
  </si>
  <si>
    <t>Capacitar a 80% de los integrantes del personal administrativo en competencias básicas y técnicas a 2029</t>
  </si>
  <si>
    <t> IND-PRDI-378</t>
  </si>
  <si>
    <t>(Número de personal administrativo capacitado en  competencias básicas y técnicas / Total de personal administrativo)*100</t>
  </si>
  <si>
    <t>Número de personal administrativo capacitado en en competencias básicas y técnicas</t>
  </si>
  <si>
    <t>Total de personal administrativo</t>
  </si>
  <si>
    <t>Capacitar 35.01% del personal administrativo en competencias transversales, equidad de género, ética y cultura de paz a 2029</t>
  </si>
  <si>
    <t>IND-PRDI-380</t>
  </si>
  <si>
    <t>(Número de personal administrativo capacitado en  competencias transversales, equidad de género, ética y paz / Total de personal administrativo)*100</t>
  </si>
  <si>
    <t xml:space="preserve">Número de personal administrativo capacitado en  competencias transversales, equidad de género, ética y paz </t>
  </si>
  <si>
    <t>Capacitar a 20% del personal universitario en Tecnologías de la Información y Comunicación, anualmente</t>
  </si>
  <si>
    <t> IND-PRDI-382</t>
  </si>
  <si>
    <t>(Número de personal universitario capacitado en temas de Tecnologías de la Información/ Total de personal universitario)*100</t>
  </si>
  <si>
    <t>Número de personal universitario capacitado en temas de Tecnologías de la Información</t>
  </si>
  <si>
    <t>Total de personal universitario</t>
  </si>
  <si>
    <t>PRDI25-29-Obj-45</t>
  </si>
  <si>
    <t>Fortalecer la administración universitaria mediante acciones integrales de infraestructura, cultura organizacional de la calidad y proceso orgánico funcional, eficientes para atender las necesidades de la comunidad universitaria.</t>
  </si>
  <si>
    <t>PRDI25-29-Obj-99</t>
  </si>
  <si>
    <t>PRDI25-29-Obj-99 -Fortalecer el proceso orgánico-funcional de la Institución que permita tener una gestión más eficiente en los espacios universitarios.</t>
  </si>
  <si>
    <t>Armonizar 70 manuales de organización de espacios universitarios a 2029</t>
  </si>
  <si>
    <t>ACT-PRDI-NS-2743</t>
  </si>
  <si>
    <t xml:space="preserve">Armonizar manuales de organización de espacios universitarios </t>
  </si>
  <si>
    <t>Armonizar 50 manuales de procedimientos de espacios universitarios a 2029</t>
  </si>
  <si>
    <t>ACT-PRDI-NS-2957</t>
  </si>
  <si>
    <t>Armonizar manuales de procedimientos de espacios universitarios</t>
  </si>
  <si>
    <t>PRDI25-29-Obj-46</t>
  </si>
  <si>
    <t>Fortalecer la infraestructura tecnológica de la Universidad mediante la actualización de recursos, cultura digital, modernización de procesos y seguridad de la información para mejorar la gestión académica, administrativa y de investigación.</t>
  </si>
  <si>
    <t>PRDI25-29-Obj-101</t>
  </si>
  <si>
    <t>PRDI25-29-Obj-101 -Fortalecer la cultura digital de la comunidad universitaria para mejorar sus habilidades tecnológicas y promover un uso efectivo de tic.</t>
  </si>
  <si>
    <t>Desarrollar 160 guías de estudio independiente (GEI) al año</t>
  </si>
  <si>
    <t>ACT-PRDI-NS-2968</t>
  </si>
  <si>
    <t xml:space="preserve">Desarrollar guías de estudio independiente (GEI) </t>
  </si>
  <si>
    <t>PRDI25-29-Obj-103</t>
  </si>
  <si>
    <t>PRDI25-29-Obj-103 -Garantizar la operación continua y eficiente de la infraestructura tecnológica institucional para proporcionar la disponibilidad y funcionalidad de los equipos y sistemas en los espacios académicos.</t>
  </si>
  <si>
    <t>Contar con 100% de los espacios académicos con mantenimiento preventivo a equipos de salas de cómputo, anualmente</t>
  </si>
  <si>
    <t>ACT-PRDI-NS-3242</t>
  </si>
  <si>
    <t xml:space="preserve">Dar mantenimiento preventivo a equipos de salas de cómputo </t>
  </si>
  <si>
    <t>PRDI25-29-Obj-47</t>
  </si>
  <si>
    <t>Consolidar el diálogo, la participación y transparencia en la vida institucional, mediante la gestión colaborativa, corresponsable y cercana para incrementar el sentido de pertenencia, construyendo la memoria colectiva y la historia institucional, articular la expresión artística y cultural, la seguridad y el deporte en favor de la comunidad universitaria.</t>
  </si>
  <si>
    <t>PRDI25-29-Obj-104</t>
  </si>
  <si>
    <t>Fortalecer la autoprotección y los protocolos de reacción para salvaguardar la seguridad de la comunidad universitaria.</t>
  </si>
  <si>
    <t>Realizar anualmente 1 campaña de protección universitaria en materia de autoprotección y reacción ante emergencias para la comunidad universitaria de nivel superior</t>
  </si>
  <si>
    <t>ACT-PRDI-NS-2980</t>
  </si>
  <si>
    <t>Realizar campañas de protección universitaria en materia de autoprotección y reacción ante emergencias para la comunidad universitaria de nivel superior</t>
  </si>
  <si>
    <t>Realizar anualmente 1 simulacro de acuerdo con la convocatoria nacional</t>
  </si>
  <si>
    <t>ACT-PRDI-NS-2982</t>
  </si>
  <si>
    <t>Realizar simulacro de acuerdo con la convocatoria nacional</t>
  </si>
  <si>
    <t>PRDI25-29-Obj-105</t>
  </si>
  <si>
    <t>Capacitar a elementos del personal de Seguridad y Protección Universitaria en materia de perspectiva de género y atención prioritaria a grupos vulnerables para garantizar una atención oportuna.</t>
  </si>
  <si>
    <t>Efectuar anualmente 1 campaña del protocolo de atención integral a víctimas en todas las áreas universitarias</t>
  </si>
  <si>
    <t>ACT-PRDI-NS-2748</t>
  </si>
  <si>
    <t>Efectuar campañas del protocolo de atención integral a víctimas en todas las áreas universitarias</t>
  </si>
  <si>
    <t>Difundir anualmente 1 campaña de los Protocolos de Seguridad y Protección Civil</t>
  </si>
  <si>
    <t>ACT-PRDI-NS-2983</t>
  </si>
  <si>
    <t>Difundir la campaña de los Protocolos de Seguridad y Protección Civil</t>
  </si>
  <si>
    <t>Realizar 1 curso anual dirigido al personal de Protección Universitaria sobre Derechos Humanos y perspectiva de Género</t>
  </si>
  <si>
    <t>ACT-PRDI-NS-2984</t>
  </si>
  <si>
    <t>Realizar cursos dirigidos al personal de Protección Universitaria sobre Derechos Humanos y perspectiva de Género</t>
  </si>
  <si>
    <t>PRDI25-29-Obj-108</t>
  </si>
  <si>
    <t>Preservar entre las y los universitarios una pertenencia universitaria fortalecida, así como la valoración y difusión de contenidos promocionales para consolidar productos editoriales y publicaciones sobre la historia y el acontecer universitario, para impulsar el orgullo de pertenencia.</t>
  </si>
  <si>
    <t>Atender anualmente a 15 000 asistentes a conferencias, foros y charlas, relacionados con la pertenencia universitaria</t>
  </si>
  <si>
    <t>ACT-PRDI-NS-2749</t>
  </si>
  <si>
    <t>Atender anualmente a asistentes a conferencias, foros y charlas, relacionados con la pertenencia universitaria</t>
  </si>
  <si>
    <t>Contar anualmente con 8 500 asistentes a visitas guiadas</t>
  </si>
  <si>
    <t>ACT-PRDI-NS-2992</t>
  </si>
  <si>
    <t>Contar con  asistentes a visitas guiadas</t>
  </si>
  <si>
    <t>Lograr que 100% de los espacios universitarios con cronista cuente con una nueva crónica sobre la historia de su espacio, al final de la administración</t>
  </si>
  <si>
    <t>ACT-PRDI-NS-3243</t>
  </si>
  <si>
    <t>Contar con una nueva crónica sobre la historia del espacio universitario</t>
  </si>
  <si>
    <t>PRDI25-29-Obj-50</t>
  </si>
  <si>
    <t>Lograr que las finanzas universitarias se administren con integridad, transparencia y eficiencia, mediante la implementación de un presupuesto responsable que contribuya a la sostenibilidad institucional bajo los principios de austeridad, equidad y visión estratégica.</t>
  </si>
  <si>
    <t>PRDI25-29-Obj-117</t>
  </si>
  <si>
    <t>Potenciar de manera eficiente, transparente y sostenible la generación de recursos extraordinarios alternos para que contribuyan a fortalecer las funciones sustantivas y adjetivas de la Universidad.</t>
  </si>
  <si>
    <t>Implementar anualmente 1 programa institucional que fortalezca la generación de ingresos extraordinarios</t>
  </si>
  <si>
    <t xml:space="preserve"> ACT-PRDI-NS-2763</t>
  </si>
  <si>
    <t>Implementar un programa institucional que fortalezca la generación de ingresos extraordinarios</t>
  </si>
  <si>
    <t>PRDI25-29-Obj-52</t>
  </si>
  <si>
    <t>Fortalecer una cultura universitaria incluyente, equitativa y libre de discriminación mediante la implementación de acciones integrales de reconocimiento, atención y prevención, que incorporen la perspectiva de diversidad, género y cuidados.</t>
  </si>
  <si>
    <t>PRDI2025-2029-Obj-74</t>
  </si>
  <si>
    <t>Fortalecer la igualdad y la inclusión entre la comunidad universitaria para reconocer y respetar la diversidad social.</t>
  </si>
  <si>
    <t>Sensibilizar durante la administración a 40% de estudiantado de estudios profesionales en temas de inclusión a grupos históricamente vulnerados</t>
  </si>
  <si>
    <t>IND-PRDI-431</t>
  </si>
  <si>
    <t>(Número de estudiantes sensibilizados / Total del estudiantado)*100</t>
  </si>
  <si>
    <t>Número de estudiantes sensibilizados</t>
  </si>
  <si>
    <t>Total del estudiantado</t>
  </si>
  <si>
    <t>PRDI25-29-Obj-122</t>
  </si>
  <si>
    <t>Mejorar los mecanismos y las prácticas institucionales para generar entornos libres de discriminación.</t>
  </si>
  <si>
    <t>Difundir 3 materiales de divulgación al año (guías, cartillas y manuales) orientados a promover el respeto y reconocimiento de las identidades entre la comunidad universitaria</t>
  </si>
  <si>
    <t>ACT-PRDI-NS-3075</t>
  </si>
  <si>
    <t>Difundir materiales de divulgación (guías, cartillas y manuales) orientados a promover el respeto y reconocimiento de las identidades entre la comunidad universitaria</t>
  </si>
  <si>
    <t>PRDI25-29-Obj-124</t>
  </si>
  <si>
    <t>Impulsar programas de apoyo dirigidos a grupos en situación de vulnerabilidad, para fomentar su inclusión, desarrollo académico y laboral dentro de la Universidad.</t>
  </si>
  <si>
    <t>Incrementar a 4.90% los proyectos de investigación en materia de cultura de paz y estudios de género respecto al total de proyectos de investigación, para 2029</t>
  </si>
  <si>
    <t>IND-PRDI-407</t>
  </si>
  <si>
    <t>(Proyectos de investigación en materia de cultura de paz y estudios de género/Total de proyectos de investigación)*100</t>
  </si>
  <si>
    <t>Proyectos de investigación en materia de cultura de paz y estudios de género</t>
  </si>
  <si>
    <t>Total de proyectos de investigación</t>
  </si>
  <si>
    <t>Implementar 2 eventos socioculturales al año con temáticas de inclusión y vulnerabilidad</t>
  </si>
  <si>
    <t>ACT-PRDI-NS-3081</t>
  </si>
  <si>
    <t>Implementar eventos socioculturales con temáticas de inclusión y vulnerabilidad</t>
  </si>
  <si>
    <t>Realizar 1 actividad anual sobre equidad social y de género</t>
  </si>
  <si>
    <t>ACT-PRDI-NS-3087</t>
  </si>
  <si>
    <t>Realizar actividades sobre equidad social y de género</t>
  </si>
  <si>
    <t>PRDI25-29-Obj-125</t>
  </si>
  <si>
    <t>Incorporar la perspectiva de cuidados y corresponsabilidad en los procesos institucionales para garantizar entornos seguros en los espacios universitarios.</t>
  </si>
  <si>
    <t>Implementar 4 programas de sensibilización al año en temas de corresponsabilidad y autocuidado</t>
  </si>
  <si>
    <t xml:space="preserve"> ACT-PRDI-NS-2767</t>
  </si>
  <si>
    <t>Implementar programas de sensibilización en temas de corresponsabilidad y autocuidado</t>
  </si>
  <si>
    <t>Realizar anualmente 10 talleres articulados que fortalezcan el Programa Universitario de Bienestar Integral</t>
  </si>
  <si>
    <t>ACT-PRDI-NS-3097</t>
  </si>
  <si>
    <t xml:space="preserve">Actividad </t>
  </si>
  <si>
    <t>Realizar talleres articulados que fortalezcan el Programa Universitario de Bienestar Integral</t>
  </si>
  <si>
    <t>Certificar anualmente a 10% del personal académico, administrativo de confianza y directivo en materia de bienestar integral</t>
  </si>
  <si>
    <t>ACT-POA-NS-2650</t>
  </si>
  <si>
    <t>Capacitar anualmente al personal académico, administrativo de confianza y directivo de nivel superior en materia de bienestar integral.</t>
  </si>
  <si>
    <t>PRDI25-29-Obj-54</t>
  </si>
  <si>
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</si>
  <si>
    <t>PRDI2025-2029-Obj-76</t>
  </si>
  <si>
    <t>Fortalecer las competencias emprendedoras y empresariales de la comunidad universitaria y la sociedad en general, para la creación y consolidación de proyectos innovadores, sostenibles y de alto impacto que contribuyan al desarrollo regional.</t>
  </si>
  <si>
    <t>Coordinar cada año 15 eventos de emprendimiento con los responsables del Programa Emprendedor de todos los espacios académicos</t>
  </si>
  <si>
    <t>ACT-PRDI-NS-3103</t>
  </si>
  <si>
    <t>Coordinar eventos de emprendimiento con los responsables del Programa Emprendedor de todos los espacios académicos</t>
  </si>
  <si>
    <t>Realizar 8 pláticas o talleres al año para desarrollar proyectos de negocio, innovación y desarrollo tecnológico, dirigidos a la comunidad universitaria y abiertos a la sociedad en general</t>
  </si>
  <si>
    <t>ACT-PRDI-NS-3107</t>
  </si>
  <si>
    <t>Realizar pláticas o talleres para desarrollar proyectos de negocio, innovación y desarrollo tecnológico, dirigidos a la comunidad universitaria y abiertos a la sociedad en general</t>
  </si>
  <si>
    <t>PRDI25-29-Obj-129</t>
  </si>
  <si>
    <t>Promover el desarrollo humano, económico, social y medioambiental de las comunidades, especialmente de los grupos sociales minoritarios o vulnerables, a partir de la intervención universitaria, inter y multidisciplinaria.</t>
  </si>
  <si>
    <t xml:space="preserve">Capacitar al año a 250 universitarios y público en general en temas relacionados con la economía social y solidaria </t>
  </si>
  <si>
    <t>ACT-PRDI-NS-3113</t>
  </si>
  <si>
    <t xml:space="preserve">Capacitar a universitarios y público en general en temas relacionados con la economía social y solidaria </t>
  </si>
  <si>
    <t>Atender 40 proyectos de economía social y solidaria en el territorio mexiquense al cierre de la administración</t>
  </si>
  <si>
    <t>ACT-PRDI-NS-2755</t>
  </si>
  <si>
    <t xml:space="preserve">Atender proyectos de economía social y solidaria en el territorio mexiquense </t>
  </si>
  <si>
    <t>Ejecutar 6 colaboraciones de impacto social con organizaciones locales o sectores productivos de mediano y largo plazo durante la administración</t>
  </si>
  <si>
    <t>ACT-PRDI-NS-3115</t>
  </si>
  <si>
    <t xml:space="preserve">Ejecutar colaboraciones de impacto social con organizaciones locales o sectores productivos de mediano y largo plazo </t>
  </si>
  <si>
    <t>Lograr cada año la participación de 35 espacios académicos en servicios comunitarios de beneficio social y proyectos de Brigadas Universitarias Multidisciplinarias (BUM TUAEMEX)</t>
  </si>
  <si>
    <t>ACT-PRDI-NS-3116</t>
  </si>
  <si>
    <t>Lograr  la participación de espacios académicos en servicios comunitarios de beneficio social y proyectos de Brigadas Universitarias Multidisciplinarias (BUM TUUAEMEX)</t>
  </si>
  <si>
    <t>PRDI25-29-Obj-130</t>
  </si>
  <si>
    <t>PRDI25-29-Obj-130 -Impulsar la colaboración con instancias de los sectores público y privado para fortalecer el desarrollo de competencias profesionales, transversales y complementarias en el estudiantado, favorecer su empleabilidad y contribuir al progreso socialmente responsable.</t>
  </si>
  <si>
    <t>Incrementar 5% al año la participación de universitarios en el Programa de Competencias Laborales</t>
  </si>
  <si>
    <t>IND-PRDI-410</t>
  </si>
  <si>
    <t>((Número de universitarios participantes en el programa de competencias laborales en el año actual/Número de universitarios participantes en el programa de competencias laborales en el año anterior)-1)*100</t>
  </si>
  <si>
    <t>Número de universitarios participantes en el programa de competencias laborales en el año actual</t>
  </si>
  <si>
    <t>Número de universitarios participantes en el programa de competencias laborales en el año anterior</t>
  </si>
  <si>
    <t>Impulsar la colaboración con instancias de los sectores público y privado para fortalecer el desarrollo de competencias profesionales, transversales y complementarias en el estudiantado, favorecer su empleabilidad y contribuir al progreso socialmente responsable.</t>
  </si>
  <si>
    <t>Mantener 35 colaboraciones al año con empresas, instituciones y organizaciones para el Catálogo de descuentos universitarios</t>
  </si>
  <si>
    <t>ACT-PRDI-NS-3125</t>
  </si>
  <si>
    <t>Mantener colaboraciones con empresas, instituciones y organizaciones para el Catálogo de descuentos universitarios</t>
  </si>
  <si>
    <t>PRDI25-29-Obj-131</t>
  </si>
  <si>
    <t>Fortalecer la formación, evaluación y certificación lingüística para impulsar la empleabilidad, la movilidad académica y la proyección cultural de la comunidad universitaria y la sociedad.</t>
  </si>
  <si>
    <t>Aperturar anualmente 1 grupo de lenguas originarias en algún espacio universitario, CELE o extensión de CELE</t>
  </si>
  <si>
    <t>ACT-PRDI-NS-3135</t>
  </si>
  <si>
    <t>Aperturar grupos de lenguas originarias en algún espacio universitario, CELE o extensión de CELE</t>
  </si>
  <si>
    <t>PRDI25-29-Obj-132</t>
  </si>
  <si>
    <t>PRDI25-29-Obj-132 -Fortalecer la promoción, prevención y atención a la salud de primer nivel para mejorar el bienestar integral y la calidad de vida de la comunidad universitaria y la sociedad mexiquense.</t>
  </si>
  <si>
    <t>Lograr que 100% de los espacios académicos cuenten con servicios de Atención Psicológica al cierre de la administración</t>
  </si>
  <si>
    <t>ACT-PRDI-NS-3245</t>
  </si>
  <si>
    <t xml:space="preserve">Contar con el Servicio de Atención Psicologíca </t>
  </si>
  <si>
    <t>PRDI25-29-Obj-55</t>
  </si>
  <si>
    <t>Promover una comunicación social efectiva y cercana que fortalezca la identidad institucional de la uaemex, impulsando la inclusión y el diálogo abierto con toda la comunidad universitaria y la sociedad, a fin de difundir y consolidar valores que contribuyan al desarrollo académico, cultural y social.</t>
  </si>
  <si>
    <t>PRDI25-29-Obj-77</t>
  </si>
  <si>
    <t>Impulsar canales efectivos de comunicación que faciliten el diálogo continuo con la comunidad universitaria, promoviendo la participación, la difusión de logros y el empleo de plataformas tecnológicas modernas.</t>
  </si>
  <si>
    <t>Realizar 3 campañas anuales que promuevan los valores universitarios de cercanía, inclusión y progresismo tanto en medios impresos como digitales</t>
  </si>
  <si>
    <t>ACT-PRDI-NS-2723</t>
  </si>
  <si>
    <t>Realizar campañas que promuevan los valores universitarios de cercanía, inclusión y progresismo tanto en medios impresos como digitales en apego al enfoque institucional</t>
  </si>
  <si>
    <t>PRDI25-29-Obj-56</t>
  </si>
  <si>
    <t>PRDI25-29-Obj-56 -Fortalecer una cultura de respeto mediante la educación ambiental, que permita la conservación y protección del medio ambiente entre la comunidad universitaria, para alcanzar el desarrollo sostenible.</t>
  </si>
  <si>
    <t>PRDI2025-2029-Obj-78</t>
  </si>
  <si>
    <t>PRDI2025-2029-Obj-78 -Impulsar acciones sustentables para reducir el impacto negativo en el medio ambiente, ocasionado por las funciones sustantivas y adjetivas de la Institución.</t>
  </si>
  <si>
    <t>Establecer 1 programa de reducción del uso de unicel y desechables</t>
  </si>
  <si>
    <t>ACT-PRDI-NS-3154</t>
  </si>
  <si>
    <t>Establecer un programa de reducción del uso de unicel y desechables</t>
  </si>
  <si>
    <t>Operar anualmente 1 campaña de acopio de residuos de aceite vegetal-comestible generado en las cafeterías de los espacios académicos y cocinas de la Licenciatura en Gastronomía</t>
  </si>
  <si>
    <t>ACT-PRDI-NS-3155</t>
  </si>
  <si>
    <t xml:space="preserve">Operar campañas de acopio de residuos de aceite vegetal-comestible generado en las cafeterías de los espacios académicos </t>
  </si>
  <si>
    <t>Realizar anualmente 1 campaña institucional de reforestación que incluya las 4 regiones con presencia universitaria</t>
  </si>
  <si>
    <t>ACT-PRDI-NS-3157</t>
  </si>
  <si>
    <t>Realizar campañas institucionales de reforestación que incluya las regiones con presencia universitaria</t>
  </si>
  <si>
    <t>Operar anualmente 1 programa de mantenimiento y fortalecimiento de huertos universitarios</t>
  </si>
  <si>
    <t>ACT-PRDI-NS-3161</t>
  </si>
  <si>
    <t>Operar un programa de mantenimiento y fortalecimiento de huertos universitarios</t>
  </si>
  <si>
    <t>Lograr que 100% de los espacios académicos operen el Plan Institucional de Manejo de Residuos Sólidos Urbanos a 2029</t>
  </si>
  <si>
    <t>ACT-PRDI-NS-3247</t>
  </si>
  <si>
    <t>Operar el plan de manejo de residuos sólidos urbano</t>
  </si>
  <si>
    <t>Promover en 22 espacios académicos el proceso de compostaje de los residuos orgánicos de poda y jardinería a 2029</t>
  </si>
  <si>
    <t>ACT-PRDI-NS-3163</t>
  </si>
  <si>
    <t xml:space="preserve">Promover en espacios académicos el proceso de compostaje de los residuos orgánicos de poda y jardinería </t>
  </si>
  <si>
    <t>PRDI25-29-Obj-135</t>
  </si>
  <si>
    <t>PRDI25-29-Obj-135 -Formar agentes universitarios de cambio comprometidos para la construcción de un medio ambiente sostenible.</t>
  </si>
  <si>
    <t>Capacitar anualmente a 1 736 estudiantes de nivel superior en temas de sustentabilidad</t>
  </si>
  <si>
    <t>ACT-PRDI-NS-2747</t>
  </si>
  <si>
    <t>Capacitar a estudiantes de nivel superior en temas de sustentabilidad</t>
  </si>
  <si>
    <t>Capacitar a 1 034 integrantes del personal docente en temas de sustentabilidad a 2029</t>
  </si>
  <si>
    <t>ACT-PRDI-NS-2392</t>
  </si>
  <si>
    <t>Capacitar a académicos en temas de sustentabilidad</t>
  </si>
  <si>
    <t>Capacitar a 2 115 integrantes del personal administrativo en temas de sustentabilidad a 2029</t>
  </si>
  <si>
    <t>ACT-PRDI-NS-2391</t>
  </si>
  <si>
    <t>Capacitar a administrativos en temas de sustentabilidad</t>
  </si>
  <si>
    <t>PRDI25-29-Obj-136</t>
  </si>
  <si>
    <t>PRDI25-29-Obj-136 -Desarrollar una cultura de sustentabilidad, aplicable a las funciones adjetivas y sustantivas de la Universidad para contribuir al uso eficiente de los recursos.</t>
  </si>
  <si>
    <t>Implementar 1 programa de cuidado y ahorro de agua en 100% de los espacios universitarios a 2029</t>
  </si>
  <si>
    <t>ACT-PRDI-NS-3248</t>
  </si>
  <si>
    <t xml:space="preserve"> Implementar un programa de cuidado y ahorro de agua</t>
  </si>
  <si>
    <t>Ejecutar anualmente 1 programa institucional de eficiencia energética</t>
  </si>
  <si>
    <t>ACT-PRDI-NS-3170</t>
  </si>
  <si>
    <t>Ejecutar el programa institucional de eficiencia energética</t>
  </si>
  <si>
    <t>Efectuar anualmente 1 programa institucional de reducción de uso de papel</t>
  </si>
  <si>
    <t>ACT-PRDI-NS-3171</t>
  </si>
  <si>
    <t>Efectua rel  programa institucional de reducción de uso de papel</t>
  </si>
  <si>
    <t>I. Estudiantado con oportunidades para su pleno desarrollo 
personal</t>
  </si>
  <si>
    <t xml:space="preserve">         2. Estudiantado con oportunidades para su pleno desarrollo y pertinencia en los estudios profesionales</t>
  </si>
  <si>
    <t>Num Progresivo de meta</t>
  </si>
  <si>
    <t>Meta</t>
  </si>
  <si>
    <t>Ref. 
2025</t>
  </si>
  <si>
    <t xml:space="preserve">         3. Estudios avanzados de excelencia y pertinencia social</t>
  </si>
  <si>
    <t xml:space="preserve">         4. Investigación abierta, inclusiva, equitativa y de calidad</t>
  </si>
  <si>
    <t xml:space="preserve">      8 Deporte universitario</t>
  </si>
  <si>
    <t xml:space="preserve">     9 Fortalecimiento de la formación integral del docente</t>
  </si>
  <si>
    <t xml:space="preserve">     10 Dignificación de las y los trabajadores universitarios</t>
  </si>
  <si>
    <t xml:space="preserve">     18 Reconocimiento de la diversidad social en la universidad</t>
  </si>
  <si>
    <t xml:space="preserve">     19 Construcción de una cultura de paz</t>
  </si>
  <si>
    <t xml:space="preserve">     20 Retribución social a través de trabajos colaborativos con la sociedad mexiquense</t>
  </si>
  <si>
    <t xml:space="preserve">Fecha de toma de protesta </t>
  </si>
  <si>
    <t xml:space="preserve">         Estudiantado con oportunidades para su pleno desarrollo y pertinencia en los estudios profesionales</t>
  </si>
  <si>
    <t>No.</t>
  </si>
  <si>
    <t>Medición</t>
  </si>
  <si>
    <t xml:space="preserve">        Estudios avanzados de excelencia y pertinencia social</t>
  </si>
  <si>
    <t>II. Investigación y desarrollo académico de calidad y equidad</t>
  </si>
  <si>
    <t xml:space="preserve">        Investigación abierta, inclusiva, equitativa y de calidad</t>
  </si>
  <si>
    <t xml:space="preserve">        Innovación, desarrollo tecnológico y transferencia
sostenible y equitativa</t>
  </si>
  <si>
    <t xml:space="preserve">         Difusión y divulgación de la ciencia abierta a través de bienes públicos del conocimiento</t>
  </si>
  <si>
    <t>III. Cultura y deporte para el desarrollo integral de la comunidad universitaria</t>
  </si>
  <si>
    <t xml:space="preserve">      Cultura para el desarrollo integral de la comunidad universitaria</t>
  </si>
  <si>
    <t xml:space="preserve">     Deporte universitario</t>
  </si>
  <si>
    <t>IV. Dignificación del personal académico y administrativo</t>
  </si>
  <si>
    <t xml:space="preserve">     Fortalecimiento de la formación integral del docente</t>
  </si>
  <si>
    <t xml:space="preserve">     Dignificación de las y los trabajadores universitarios</t>
  </si>
  <si>
    <t>V. Gestión y administración universitaria al servicio de la comunidad</t>
  </si>
  <si>
    <t xml:space="preserve">   Gestión administrativa para responder al quehacer universitario</t>
  </si>
  <si>
    <t xml:space="preserve">   Fortalecimiento tecnológico</t>
  </si>
  <si>
    <t xml:space="preserve">   Gobernanza</t>
  </si>
  <si>
    <t xml:space="preserve">    Manejo de recursos universitarios con integridad, transparencia y pulcritud</t>
  </si>
  <si>
    <t>VI. Incidencia y reconocimiento social</t>
  </si>
  <si>
    <t xml:space="preserve">   Reconocimiento de la diversidad social en la universidad</t>
  </si>
  <si>
    <t xml:space="preserve">   Construcción de una cultura de paz</t>
  </si>
  <si>
    <t xml:space="preserve">   Retribución social a través de trabajos colaborativos con la sociedad mexiquense</t>
  </si>
  <si>
    <t xml:space="preserve">   Comunicación universitaria amplia y moderna</t>
  </si>
  <si>
    <t xml:space="preserve">   Sostenibilidad ambiental y ética ecológica</t>
  </si>
  <si>
    <t>Método de cálculo
(sólo si la meta es un indicador)</t>
  </si>
  <si>
    <t>Nombre de las variables
(sólo si la meta es un indicador)</t>
  </si>
  <si>
    <t>2. Estudiantado con oportunidades para su pleno desarrollo y pertinencia en los estudios profesionales</t>
  </si>
  <si>
    <t>Validar y documentar el valor de Ref. 2026 durante 2027 y, una vez confirmado, mantenerlo o mejorarlo hasta 2030.</t>
  </si>
  <si>
    <t>La memoria de cálculo no aporta variables completas para este indicador en Ref. 2026; el dato histórico anterior queda como contexto y no como línea base del plan.</t>
  </si>
  <si>
    <t>Espacio académico</t>
  </si>
  <si>
    <t>Realizar 1 revisión documentada de las trayectorias y asignaturas con mayor rezago en 2027 y actualizarla una vez al año de 2028 a 2030.</t>
  </si>
  <si>
    <t>Cumplimiento anual de la meta (0=no, 1=sí)</t>
  </si>
  <si>
    <t>Realizar 1 reunión y 1 encuesta a estudiantes de cada licenciatura cada año de 2028 a 2030 y documentar los ajustes derivados.</t>
  </si>
  <si>
    <t>3. Estudios avanzados de excelencia y pertinencia social</t>
  </si>
  <si>
    <t>Matricula_UAEMEX</t>
  </si>
  <si>
    <t>Realizar 1 revisión documentada de el ingreso, la permanencia y el egreso por posgrado en 2027 y actualizarla una vez al año de 2028 a 2030.</t>
  </si>
  <si>
    <t>Realizar 1 reunión y 1 encuesta a estudiantes y profesorado de posgrado cada año de 2028 a 2030 y documentar los ajustes derivados.</t>
  </si>
  <si>
    <t>4. Investigación abierta, inclusiva, equitativa y de calidad</t>
  </si>
  <si>
    <t>Realizar 1 revisión documentada de los productos y colaboraciones de investigación en 2027 y actualizarla una vez al año de 2028 a 2030.</t>
  </si>
  <si>
    <t>Registrar 1 acuerdo de mejora sobre los productos y colaboraciones de investigación en 2028 y revisar su cumplimiento anualmente hasta 2030.</t>
  </si>
  <si>
    <t>5. Innovación, desarrollo tecnológico y transferencia sostenible y equitativa</t>
  </si>
  <si>
    <t>Integrar 1 cartera de capacidades, prototipos y necesidades externas en 2027 y actualizarla cada año hasta 2030.</t>
  </si>
  <si>
    <t>Realizar 1 revisión documentada de las capacidades de laboratorios y la demanda externa en 2027 y actualizarla una vez al año de 2028 a 2030.</t>
  </si>
  <si>
    <t>Registrar 1 acuerdo de mejora sobre las capacidades de laboratorios y la demanda externa en 2028 y revisar su cumplimiento anualmente hasta 2030.</t>
  </si>
  <si>
    <t>6. Difusión y divulgación de la ciencia abierta a través de bienes públicos del conocimiento</t>
  </si>
  <si>
    <t>Establecer 1 registro de divulgación en 2027 y publicar 1 informe anual de productos y alcance entre 2028 y 2030.</t>
  </si>
  <si>
    <t>Realizar 1 revisión documentada de los públicos y el alcance de la divulgación en 2027 y actualizarla una vez al año de 2028 a 2030.</t>
  </si>
  <si>
    <t>Registrar 1 acuerdo de mejora sobre los públicos y el alcance de la divulgación en 2028 y revisar su cumplimiento anualmente hasta 2030.</t>
  </si>
  <si>
    <t>7. Cultura para el desarrollo integral de la comunidad universitaria</t>
  </si>
  <si>
    <t>Realizar 1 diagnóstico de participación cultural en 2027 y revisar 1 programa anual de talleres entre 2028 y 2030.</t>
  </si>
  <si>
    <t>Realizar 1 revisión documentada de las barreras de participación cultural en 2027 y actualizarla una vez al año de 2028 a 2030.</t>
  </si>
  <si>
    <t>Realizar 1 reunión y 1 encuesta a estudiantes y responsables culturales cada año de 2028 a 2030 y documentar los ajustes derivados.</t>
  </si>
  <si>
    <t>8. Deporte Universitario</t>
  </si>
  <si>
    <t>Realizar 1 diagnóstico deportivo en 2027 y publicar 1 programa anual de actividades entre 2028 y 2030.</t>
  </si>
  <si>
    <t>Realizar 1 revisión documentada de el acceso a espacios y actividades deportivas en 2027 y actualizarla una vez al año de 2028 a 2030.</t>
  </si>
  <si>
    <t>Realizar 1 reunión y 1 encuesta a estudiantes y responsables deportivos cada año de 2028 a 2030 y documentar los ajustes derivados.</t>
  </si>
  <si>
    <t>9. Fortalecimiento de la formación integral del docente</t>
  </si>
  <si>
    <t>Alumnos que reciben Tutoría</t>
  </si>
  <si>
    <t>Realizar 1 revisión documentada de las necesidades didácticas y de tutoría en 2027 y actualizarla una vez al año de 2028 a 2030.</t>
  </si>
  <si>
    <t>Realizar 1 reunión y 1 encuesta a profesorado y estudiantes de cada licenciatura cada año de 2028 a 2030 y documentar los ajustes derivados.</t>
  </si>
  <si>
    <t>10. Dignificación de las y los trabajadores universitarios</t>
  </si>
  <si>
    <t>Realizar 1 diagnóstico de necesidades del personal en 2027 y ejecutar 1 programa anual de mejora de 2028 a 2030.</t>
  </si>
  <si>
    <t>Realizar 1 revisión documentada de las condiciones y necesidades del personal en 2027 y actualizarla una vez al año de 2028 a 2030.</t>
  </si>
  <si>
    <t>Realizar 1 reunión y 1 encuesta a personal académico y administrativo cada año de 2028 a 2030 y documentar los ajustes derivados.</t>
  </si>
  <si>
    <t>11. Gestión administrativa para responder al quehacer universitario</t>
  </si>
  <si>
    <t>Actualizar 1 inventario de infraestructura en 2027 y ejecutar 1 programa anual de mantenimiento preventivo de 2028 a 2030.</t>
  </si>
  <si>
    <t>Realizar 1 revisión documentada de el estado y uso de aulas y laboratorios en 2027 y actualizarla una vez al año de 2028 a 2030.</t>
  </si>
  <si>
    <t>Registrar 1 acuerdo de mejora sobre el estado y uso de aulas y laboratorios en 2028 y revisar su cumplimiento anualmente hasta 2030.</t>
  </si>
  <si>
    <t>12. Fortalecimiento Tecnológico</t>
  </si>
  <si>
    <t>Levantar 1 diagnóstico tecnológico en 2027 y actualizar 1 cartera priorizada de mejoras cada año de 2028 a 2030.</t>
  </si>
  <si>
    <t>Realizar 1 revisión documentada de la disponibilidad y obsolescencia tecnológica en 2027 y actualizarla una vez al año de 2028 a 2030.</t>
  </si>
  <si>
    <t>Registrar 1 acuerdo de mejora sobre la disponibilidad y obsolescencia tecnológica en 2028 y revisar su cumplimiento anualmente hasta 2030.</t>
  </si>
  <si>
    <t>13. Gobernanza</t>
  </si>
  <si>
    <t>Crear 1 registro de acuerdos colegiados en 2027 y publicar 1 balance de seguimiento cada año de 2028 a 2030.</t>
  </si>
  <si>
    <t>Realizar 1 revisión documentada de el cumplimiento de acuerdos colegiados en 2027 y actualizarla una vez al año de 2028 a 2030.</t>
  </si>
  <si>
    <t>Realizar 1 reunión y 1 encuesta a representantes estudiantiles, docentes y administrativos cada año de 2028 a 2030 y documentar los ajustes derivados.</t>
  </si>
  <si>
    <t>14. Fortalecimiento del marco normativo</t>
  </si>
  <si>
    <t>Revisar 1 conjunto priorizado de procedimientos en 2027 y actualizarlo anualmente hasta 2030.</t>
  </si>
  <si>
    <t>Realizar 1 revisión documentada de los trámites con dudas o demoras recurrentes en 2027 y actualizarla una vez al año de 2028 a 2030.</t>
  </si>
  <si>
    <t>Registrar 1 acuerdo de mejora sobre los trámites con dudas o demoras recurrentes en 2028 y revisar su cumplimiento anualmente hasta 2030.</t>
  </si>
  <si>
    <t>15. Planeación y evaluación que impulsan estratégicamente el desarrollo y fortalecimiento institucional</t>
  </si>
  <si>
    <t>Completar 1 matriz de consistencia para los proyectos aplicables en 2027 y publicar 1 evaluación anual de 2028 a 2030.</t>
  </si>
  <si>
    <t>Realizar 1 revisión documentada de la calidad de indicadores y memorias de cálculo en 2027 y actualizarla una vez al año de 2028 a 2030.</t>
  </si>
  <si>
    <t>Registrar 1 acuerdo de mejora sobre la calidad de indicadores y memorias de cálculo en 2028 y revisar su cumplimiento anualmente hasta 2030.</t>
  </si>
  <si>
    <t>16. Manejo de los recursos universitarios con integridad, transparencia y pulcritud</t>
  </si>
  <si>
    <t>Integrar 1 registro anual de programación y ejercicio de recursos entre 2027 y 2030.</t>
  </si>
  <si>
    <t>Realizar 1 revisión documentada de la relación entre asignaciones y resultados en 2027 y actualizarla una vez al año de 2028 a 2030.</t>
  </si>
  <si>
    <t>Registrar 1 acuerdo de mejora sobre la relación entre asignaciones y resultados en 2028 y revisar su cumplimiento anualmente hasta 2030.</t>
  </si>
  <si>
    <t>17. Vigilancia y control preventivo de la gestión universitaria</t>
  </si>
  <si>
    <t>Elaborar 1 matriz de riesgos en 2027 y revisarla una vez al año de 2028 a 2030.</t>
  </si>
  <si>
    <t>Realizar 1 revisión documentada de los riesgos e incidencias operativas en 2027 y actualizarla una vez al año de 2028 a 2030.</t>
  </si>
  <si>
    <t>Registrar 1 acuerdo de mejora sobre los riesgos e incidencias operativas en 2028 y revisar su cumplimiento anualmente hasta 2030.</t>
  </si>
  <si>
    <t>18. Reconocimiento de la diversidad social en la Universidad</t>
  </si>
  <si>
    <t>Publicar 1 diagnóstico anual de brechas de participación y apoyos por programa entre 2027 y 2030.</t>
  </si>
  <si>
    <t>Realizar 1 revisión documentada de las brechas de acceso y permanencia en 2027 y actualizarla una vez al año de 2028 a 2030.</t>
  </si>
  <si>
    <t>Realizar 1 reunión y 1 encuesta a estudiantes y profesorado de cada licenciatura cada año de 2028 a 2030 y documentar los ajustes derivados.</t>
  </si>
  <si>
    <t>19. Construcción de una cultura de paz</t>
  </si>
  <si>
    <t>Realizar 1 revisión documentada de las barreras para denunciar y recibir atención en 2027 y actualizarla una vez al año de 2028 a 2030.</t>
  </si>
  <si>
    <t>Realizar 1 reunión y 1 encuesta a estudiantes, docentes y administrativos cada año de 2028 a 2030 y documentar los ajustes derivados.</t>
  </si>
  <si>
    <t>20. Retribución social a través de trabajos colaborativos con la sociedad mexiquense</t>
  </si>
  <si>
    <t>Suma de Total_Ser_Social</t>
  </si>
  <si>
    <t>Realizar 1 revisión documentada de los resultados del servicio social y sus beneficiarios en 2027 y actualizarla una vez al año de 2028 a 2030.</t>
  </si>
  <si>
    <t>Realizar 1 reunión y 1 encuesta a estudiantes y organizaciones receptoras cada año de 2028 a 2030 y documentar los ajustes derivados.</t>
  </si>
  <si>
    <t>21. Comunicación universitaria amplia y moderna</t>
  </si>
  <si>
    <t>Aprobar 1 calendario editorial en 2027 y publicar 1 evaluación de alcance por año de 2028 a 2030.</t>
  </si>
  <si>
    <t>Realizar 1 revisión documentada de el alcance y la claridad de los canales institucionales en 2027 y actualizarla una vez al año de 2028 a 2030.</t>
  </si>
  <si>
    <t>22. Sostenibilidad ambiental y ética ecológica</t>
  </si>
  <si>
    <t>Medir 1 línea base de agua, energía y residuos en 2027 y aprobar 1 plan ambiental medible en 2028.</t>
  </si>
  <si>
    <t>Realizar 1 revisión documentada de el consumo de agua, energía y la generación de residuos en 2027 y actualizarla una vez al año de 2028 a 2030.</t>
  </si>
  <si>
    <t>Registrar 1 acuerdo de mejora sobre el consumo de agua, energía y la generación de residuos en 2028 y revisar su cumplimiento anualmente hasta 2030.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</si>
</sst>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DM Sans"/>
    </font>
    <font>
      <sz val="11"/>
      <color theme="1"/>
      <name val="DM Sans"/>
    </font>
    <font>
      <sz val="16"/>
      <color theme="1"/>
      <name val="DM Sans"/>
    </font>
    <font>
      <b/>
      <sz val="11"/>
      <color theme="1"/>
      <name val="DM Sans"/>
    </font>
    <font>
      <b/>
      <sz val="9"/>
      <color theme="1"/>
      <name val="DM Sans"/>
    </font>
    <font>
      <sz val="9"/>
      <color rgb="FFB5A36A"/>
      <name val="DM Sans"/>
    </font>
    <font>
      <b/>
      <sz val="9"/>
      <color rgb="FFB5A36A"/>
      <name val="DM Sans"/>
    </font>
    <font>
      <sz val="9"/>
      <color theme="1"/>
      <name val="DM Sans"/>
    </font>
    <font>
      <b/>
      <sz val="10"/>
      <color theme="1"/>
      <name val="DM Sans"/>
    </font>
    <font>
      <sz val="10"/>
      <color theme="1"/>
      <name val="DM Sans"/>
    </font>
    <font>
      <sz val="20"/>
      <color theme="1"/>
      <name val="DM Sans"/>
    </font>
    <font>
      <b/>
      <sz val="14"/>
      <color theme="1"/>
      <name val="DM Sans"/>
    </font>
    <font>
      <b/>
      <sz val="12"/>
      <color theme="1"/>
      <name val="DM Sans"/>
    </font>
    <font>
      <b/>
      <sz val="10"/>
      <color theme="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SansSerif"/>
    </font>
    <font>
      <sz val="11"/>
      <name val="SansSerif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3" fillId="0" borderId="0"/>
  </cellStyleXfs>
  <cellXfs count="229">
    <xf numFmtId="0" fontId="0" fillId="0" borderId="0" xfId="0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8" xfId="0" applyFont="1" applyBorder="1" applyAlignment="1">
      <alignment horizontal="left" vertical="top" wrapText="1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top" wrapText="1"/>
      <protection locked="0"/>
    </xf>
    <xf numFmtId="0" fontId="6" fillId="0" borderId="1" xfId="0" applyFont="1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2" fontId="0" fillId="0" borderId="0" xfId="0" applyNumberFormat="1"/>
    <xf numFmtId="0" fontId="18" fillId="0" borderId="0" xfId="0" applyFont="1"/>
    <xf numFmtId="14" fontId="19" fillId="0" borderId="0" xfId="0" applyNumberFormat="1" applyFont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14" fontId="18" fillId="0" borderId="0" xfId="0" applyNumberFormat="1" applyFont="1"/>
    <xf numFmtId="10" fontId="25" fillId="0" borderId="0" xfId="0" applyNumberFormat="1" applyFont="1" applyAlignment="1">
      <alignment horizontal="center" vertical="center" wrapText="1"/>
    </xf>
    <xf numFmtId="49" fontId="18" fillId="0" borderId="0" xfId="0" applyNumberFormat="1" applyFont="1"/>
    <xf numFmtId="0" fontId="21" fillId="0" borderId="0" xfId="0" applyFont="1" applyAlignment="1">
      <alignment horizontal="left" vertical="center"/>
    </xf>
    <xf numFmtId="0" fontId="18" fillId="0" borderId="0" xfId="0" quotePrefix="1" applyFont="1"/>
    <xf numFmtId="0" fontId="27" fillId="0" borderId="0" xfId="0" applyFont="1"/>
    <xf numFmtId="0" fontId="18" fillId="0" borderId="0" xfId="0" applyFont="1" applyAlignment="1">
      <alignment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top" wrapText="1"/>
    </xf>
    <xf numFmtId="10" fontId="24" fillId="0" borderId="8" xfId="1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10" fontId="24" fillId="0" borderId="0" xfId="1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justify" vertical="center" wrapText="1"/>
    </xf>
    <xf numFmtId="0" fontId="21" fillId="0" borderId="0" xfId="0" applyFont="1" applyAlignment="1">
      <alignment vertical="center" wrapText="1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justify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9" xfId="0" applyFont="1" applyBorder="1"/>
    <xf numFmtId="0" fontId="24" fillId="0" borderId="9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 indent="7"/>
    </xf>
    <xf numFmtId="9" fontId="24" fillId="0" borderId="8" xfId="1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justify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top" wrapText="1"/>
    </xf>
    <xf numFmtId="10" fontId="24" fillId="0" borderId="7" xfId="1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justify" vertical="center" wrapText="1"/>
    </xf>
    <xf numFmtId="0" fontId="21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0" fillId="6" borderId="1" xfId="0" applyFill="1" applyBorder="1" applyAlignment="1">
      <alignment horizontal="center" vertical="center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2" fillId="0" borderId="0" xfId="0" applyFont="1"/>
    <xf numFmtId="0" fontId="30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0" fontId="24" fillId="0" borderId="8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33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33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33" fillId="0" borderId="13" xfId="0" applyFont="1" applyBorder="1" applyAlignment="1">
      <alignment horizontal="center" vertical="center" wrapText="1"/>
    </xf>
    <xf numFmtId="0" fontId="35" fillId="0" borderId="1" xfId="0" applyFont="1" applyBorder="1"/>
    <xf numFmtId="0" fontId="35" fillId="10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wrapText="1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24" fillId="0" borderId="7" xfId="1" applyNumberFormat="1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13" fillId="0" borderId="1" xfId="0" applyFont="1" applyBorder="1" applyAlignment="1" applyProtection="1">
      <alignment horizontal="center" vertical="top" wrapText="1"/>
      <protection locked="0"/>
    </xf>
    <xf numFmtId="0" fontId="13" fillId="0" borderId="1" xfId="0" applyFont="1" applyBorder="1" applyAlignment="1" applyProtection="1">
      <alignment vertical="top" wrapText="1"/>
      <protection locked="0"/>
    </xf>
    <xf numFmtId="0" fontId="2" fillId="3" borderId="1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11" xfId="0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0" fillId="0" borderId="11" xfId="0" applyBorder="1" applyProtection="1"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vertical="top" wrapText="1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/>
    </xf>
    <xf numFmtId="0" fontId="0" fillId="0" borderId="5" xfId="0" applyBorder="1"/>
    <xf numFmtId="0" fontId="6" fillId="0" borderId="1" xfId="0" applyFont="1" applyBorder="1" applyAlignment="1">
      <alignment horizontal="center" vertical="top" wrapText="1"/>
    </xf>
    <xf numFmtId="2" fontId="8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16" fillId="3" borderId="1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2" fontId="8" fillId="0" borderId="1" xfId="0" applyNumberFormat="1" applyFont="1" applyBorder="1" applyAlignment="1" applyProtection="1">
      <alignment horizontal="center" vertical="top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left" vertical="top"/>
      <protection locked="0"/>
    </xf>
    <xf numFmtId="0" fontId="8" fillId="0" borderId="2" xfId="0" applyFont="1" applyBorder="1" applyAlignment="1" applyProtection="1">
      <alignment horizontal="center" vertical="top"/>
      <protection locked="0"/>
    </xf>
    <xf numFmtId="0" fontId="0" fillId="0" borderId="5" xfId="0" applyBorder="1" applyProtection="1">
      <protection locked="0"/>
    </xf>
    <xf numFmtId="0" fontId="17" fillId="0" borderId="1" xfId="0" applyFont="1" applyBorder="1" applyAlignment="1" applyProtection="1">
      <alignment horizontal="left" vertical="top" wrapText="1"/>
      <protection locked="0"/>
    </xf>
    <xf numFmtId="2" fontId="8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7" borderId="2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2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2" fillId="3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/>
    <xf numFmtId="0" fontId="16" fillId="2" borderId="1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0" fillId="0" borderId="10" xfId="0" applyBorder="1"/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3" fillId="0" borderId="7" xfId="0" applyFont="1" applyBorder="1" applyAlignment="1">
      <alignment horizontal="center" vertical="center" wrapText="1"/>
    </xf>
    <xf numFmtId="0" fontId="0" fillId="0" borderId="7" xfId="0" applyBorder="1"/>
    <xf numFmtId="0" fontId="29" fillId="0" borderId="0" xfId="0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18" fillId="4" borderId="0" xfId="0" applyFont="1" applyFill="1" applyAlignment="1">
      <alignment horizontal="center"/>
    </xf>
    <xf numFmtId="0" fontId="30" fillId="8" borderId="1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 applyProtection="1">
      <alignment horizontal="center" vertical="center" wrapText="1"/>
      <protection locked="0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0" fillId="11" borderId="1" xfId="0" applyFont="1" applyFill="1" applyBorder="1" applyAlignment="1" applyProtection="1">
      <alignment horizontal="center" vertical="center" wrapText="1"/>
      <protection locked="0"/>
    </xf>
    <xf numFmtId="0" fontId="30" fillId="2" borderId="11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9"/>
  <sheetViews>
    <sheetView topLeftCell="I12" zoomScaleNormal="100" zoomScaleSheetLayoutView="93" workbookViewId="0">
      <selection activeCell="R13" sqref="R13:R14"/>
    </sheetView>
  </sheetViews>
  <sheetFormatPr baseColWidth="10" defaultColWidth="11.44140625" defaultRowHeight="14.4"/>
  <cols>
    <col min="1" max="1" width="11.44140625" style="2" customWidth="1"/>
    <col min="2" max="2" width="19.88671875" style="12" bestFit="1" customWidth="1"/>
    <col min="3" max="3" width="60.6640625" style="13" customWidth="1"/>
    <col min="4" max="4" width="22.33203125" style="12" bestFit="1" customWidth="1"/>
    <col min="5" max="5" width="57.5546875" style="13" customWidth="1"/>
    <col min="6" max="6" width="11.44140625" style="13" customWidth="1"/>
    <col min="7" max="7" width="38.5546875" style="10" customWidth="1"/>
    <col min="8" max="8" width="32.109375" style="1" customWidth="1"/>
    <col min="9" max="9" width="45.6640625" style="10" customWidth="1"/>
    <col min="10" max="10" width="16.33203125" style="2" customWidth="1"/>
    <col min="11" max="11" width="36.6640625" style="10" customWidth="1"/>
    <col min="12" max="12" width="43.44140625" style="10" customWidth="1"/>
    <col min="13" max="22" width="12.33203125" style="2" customWidth="1"/>
    <col min="23" max="23" width="18.88671875" style="2" customWidth="1"/>
    <col min="24" max="24" width="29" style="10" customWidth="1"/>
    <col min="25" max="39" width="11.44140625" style="10" customWidth="1"/>
    <col min="40" max="40" width="20.44140625" style="11" customWidth="1"/>
    <col min="41" max="43" width="11.44140625" style="10" customWidth="1"/>
    <col min="44" max="16384" width="11.44140625" style="10"/>
  </cols>
  <sheetData>
    <row r="1" spans="1:40" s="2" customFormat="1" ht="18.75" customHeight="1">
      <c r="A1" s="168" t="s">
        <v>0</v>
      </c>
      <c r="B1" s="168" t="s">
        <v>1</v>
      </c>
      <c r="C1" s="153" t="s">
        <v>2</v>
      </c>
      <c r="D1" s="168" t="s">
        <v>3</v>
      </c>
      <c r="E1" s="153" t="s">
        <v>4</v>
      </c>
      <c r="F1" s="153" t="s">
        <v>5</v>
      </c>
      <c r="G1" s="153" t="s">
        <v>6</v>
      </c>
      <c r="H1" s="167" t="s">
        <v>7</v>
      </c>
      <c r="I1" s="183" t="s">
        <v>8</v>
      </c>
      <c r="J1" s="168" t="s">
        <v>9</v>
      </c>
      <c r="K1" s="172" t="s">
        <v>10</v>
      </c>
      <c r="L1" s="185" t="s">
        <v>11</v>
      </c>
      <c r="M1" s="148" t="s">
        <v>12</v>
      </c>
      <c r="N1" s="149"/>
      <c r="O1" s="149"/>
      <c r="P1" s="149"/>
      <c r="Q1" s="150"/>
      <c r="R1" s="169" t="s">
        <v>13</v>
      </c>
      <c r="S1" s="149"/>
      <c r="T1" s="149"/>
      <c r="U1" s="149"/>
      <c r="V1" s="150"/>
      <c r="W1" s="174" t="s">
        <v>14</v>
      </c>
      <c r="X1" s="186" t="s">
        <v>15</v>
      </c>
      <c r="Y1" s="96"/>
      <c r="Z1" s="96"/>
      <c r="AA1" s="96"/>
      <c r="AB1" s="96"/>
      <c r="AN1" s="3" t="s">
        <v>57</v>
      </c>
    </row>
    <row r="2" spans="1:40" s="2" customFormat="1" ht="24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6">
        <v>2027</v>
      </c>
      <c r="O2" s="6">
        <v>2028</v>
      </c>
      <c r="P2" s="6">
        <v>2029</v>
      </c>
      <c r="Q2" s="109">
        <v>2030</v>
      </c>
      <c r="R2" s="7" t="s">
        <v>16</v>
      </c>
      <c r="S2" s="4">
        <v>2027</v>
      </c>
      <c r="T2" s="4">
        <v>2028</v>
      </c>
      <c r="U2" s="4">
        <v>2029</v>
      </c>
      <c r="V2" s="4">
        <v>2030</v>
      </c>
      <c r="W2" s="140"/>
      <c r="X2" s="142"/>
      <c r="Y2" s="96"/>
      <c r="Z2" s="96"/>
      <c r="AA2" s="96"/>
      <c r="AB2" s="96"/>
      <c r="AN2" s="3"/>
    </row>
    <row r="3" spans="1:40" ht="105" customHeight="1">
      <c r="A3" s="44">
        <v>1</v>
      </c>
      <c r="B3" s="88" t="s">
        <v>58</v>
      </c>
      <c r="C3" s="48" t="s">
        <v>59</v>
      </c>
      <c r="D3" s="89" t="s">
        <v>60</v>
      </c>
      <c r="E3" s="48" t="s">
        <v>61</v>
      </c>
      <c r="F3" s="44">
        <v>3</v>
      </c>
      <c r="G3" s="48" t="s">
        <v>62</v>
      </c>
      <c r="H3" s="43" t="s">
        <v>63</v>
      </c>
      <c r="I3" s="16" t="s">
        <v>64</v>
      </c>
      <c r="J3" s="44" t="s">
        <v>24</v>
      </c>
      <c r="K3" s="48" t="s">
        <v>25</v>
      </c>
      <c r="L3" s="48" t="s">
        <v>65</v>
      </c>
      <c r="M3" s="8"/>
      <c r="N3" s="8"/>
      <c r="O3" s="8"/>
      <c r="P3" s="8"/>
      <c r="Q3" s="8"/>
      <c r="R3" s="92">
        <f t="shared" ref="R3:V4" si="0">M3</f>
        <v>0</v>
      </c>
      <c r="S3" s="92">
        <f t="shared" si="0"/>
        <v>0</v>
      </c>
      <c r="T3" s="92">
        <f t="shared" si="0"/>
        <v>0</v>
      </c>
      <c r="U3" s="92">
        <f t="shared" si="0"/>
        <v>0</v>
      </c>
      <c r="V3" s="92">
        <f t="shared" si="0"/>
        <v>0</v>
      </c>
      <c r="W3" s="44" t="s">
        <v>27</v>
      </c>
      <c r="X3" s="9"/>
      <c r="Y3" s="95"/>
      <c r="Z3" s="95"/>
      <c r="AA3" s="95"/>
      <c r="AB3" s="95"/>
    </row>
    <row r="4" spans="1:40" ht="105" customHeight="1">
      <c r="A4" s="44">
        <v>2</v>
      </c>
      <c r="B4" s="88" t="s">
        <v>58</v>
      </c>
      <c r="C4" s="48" t="s">
        <v>59</v>
      </c>
      <c r="D4" s="89" t="s">
        <v>60</v>
      </c>
      <c r="E4" s="48" t="s">
        <v>61</v>
      </c>
      <c r="F4" s="44">
        <v>4</v>
      </c>
      <c r="G4" s="48" t="s">
        <v>66</v>
      </c>
      <c r="H4" s="43" t="s">
        <v>67</v>
      </c>
      <c r="I4" s="16"/>
      <c r="J4" s="44" t="s">
        <v>24</v>
      </c>
      <c r="K4" s="48" t="s">
        <v>25</v>
      </c>
      <c r="L4" s="48" t="s">
        <v>68</v>
      </c>
      <c r="M4" s="8"/>
      <c r="N4" s="8"/>
      <c r="O4" s="8"/>
      <c r="P4" s="8"/>
      <c r="Q4" s="8"/>
      <c r="R4" s="92">
        <f t="shared" si="0"/>
        <v>0</v>
      </c>
      <c r="S4" s="92">
        <f t="shared" si="0"/>
        <v>0</v>
      </c>
      <c r="T4" s="92">
        <f t="shared" si="0"/>
        <v>0</v>
      </c>
      <c r="U4" s="92">
        <f t="shared" si="0"/>
        <v>0</v>
      </c>
      <c r="V4" s="92">
        <f t="shared" si="0"/>
        <v>0</v>
      </c>
      <c r="W4" s="44" t="s">
        <v>27</v>
      </c>
      <c r="X4" s="9"/>
      <c r="Y4" s="95"/>
      <c r="Z4" s="95"/>
      <c r="AA4" s="95"/>
      <c r="AB4" s="95"/>
    </row>
    <row r="5" spans="1:40" ht="48" customHeight="1">
      <c r="A5" s="143">
        <v>3</v>
      </c>
      <c r="B5" s="143" t="s">
        <v>58</v>
      </c>
      <c r="C5" s="165" t="s">
        <v>59</v>
      </c>
      <c r="D5" s="152" t="s">
        <v>60</v>
      </c>
      <c r="E5" s="162" t="s">
        <v>61</v>
      </c>
      <c r="F5" s="143">
        <v>7</v>
      </c>
      <c r="G5" s="162" t="s">
        <v>69</v>
      </c>
      <c r="H5" s="145" t="s">
        <v>70</v>
      </c>
      <c r="I5" s="161"/>
      <c r="J5" s="155" t="s">
        <v>45</v>
      </c>
      <c r="K5" s="162" t="s">
        <v>71</v>
      </c>
      <c r="L5" s="48" t="s">
        <v>72</v>
      </c>
      <c r="M5" s="8"/>
      <c r="N5" s="8"/>
      <c r="O5" s="8"/>
      <c r="P5" s="8"/>
      <c r="Q5" s="8"/>
      <c r="R5" s="166" t="str">
        <f>IF(M6,M5/M6*100,"0")</f>
        <v>0</v>
      </c>
      <c r="S5" s="166" t="str">
        <f>IF(N6,N5/N6*100,"0")</f>
        <v>0</v>
      </c>
      <c r="T5" s="166" t="str">
        <f>IF(O6,O5/O6*100,"0")</f>
        <v>0</v>
      </c>
      <c r="U5" s="166" t="str">
        <f>IF(P6,P5/P6*100,"0")</f>
        <v>0</v>
      </c>
      <c r="V5" s="166" t="str">
        <f>IF(Q6,Q5/Q6*100,"0")</f>
        <v>0</v>
      </c>
      <c r="W5" s="143" t="s">
        <v>27</v>
      </c>
      <c r="X5" s="175"/>
      <c r="Y5" s="95"/>
      <c r="Z5" s="95"/>
      <c r="AA5" s="95"/>
      <c r="AB5" s="95"/>
    </row>
    <row r="6" spans="1:40" ht="30" customHeight="1">
      <c r="A6" s="140"/>
      <c r="B6" s="140"/>
      <c r="C6" s="140"/>
      <c r="D6" s="140"/>
      <c r="E6" s="140"/>
      <c r="F6" s="140"/>
      <c r="G6" s="140"/>
      <c r="H6" s="142"/>
      <c r="I6" s="142"/>
      <c r="J6" s="140"/>
      <c r="K6" s="140"/>
      <c r="L6" s="48" t="s">
        <v>73</v>
      </c>
      <c r="M6" s="8"/>
      <c r="N6" s="8"/>
      <c r="O6" s="8"/>
      <c r="P6" s="8"/>
      <c r="Q6" s="8"/>
      <c r="R6" s="140"/>
      <c r="S6" s="140"/>
      <c r="T6" s="140"/>
      <c r="U6" s="140"/>
      <c r="V6" s="140"/>
      <c r="W6" s="140"/>
      <c r="X6" s="142"/>
      <c r="Y6" s="95"/>
      <c r="Z6" s="95"/>
      <c r="AA6" s="95"/>
      <c r="AB6" s="95"/>
    </row>
    <row r="7" spans="1:40" ht="59.25" customHeight="1">
      <c r="A7" s="143">
        <v>4</v>
      </c>
      <c r="B7" s="143" t="s">
        <v>58</v>
      </c>
      <c r="C7" s="165" t="s">
        <v>59</v>
      </c>
      <c r="D7" s="152" t="s">
        <v>60</v>
      </c>
      <c r="E7" s="162" t="s">
        <v>61</v>
      </c>
      <c r="F7" s="143">
        <v>8</v>
      </c>
      <c r="G7" s="162" t="s">
        <v>74</v>
      </c>
      <c r="H7" s="145" t="s">
        <v>75</v>
      </c>
      <c r="I7" s="161"/>
      <c r="J7" s="155" t="s">
        <v>45</v>
      </c>
      <c r="K7" s="162" t="s">
        <v>76</v>
      </c>
      <c r="L7" s="48" t="s">
        <v>77</v>
      </c>
      <c r="M7" s="8"/>
      <c r="N7" s="8"/>
      <c r="O7" s="8"/>
      <c r="P7" s="8"/>
      <c r="Q7" s="8"/>
      <c r="R7" s="166" t="str">
        <f>IF(M8,M7/M8*100,"0")</f>
        <v>0</v>
      </c>
      <c r="S7" s="166" t="str">
        <f>IF(N8,N7/N8*100,"0")</f>
        <v>0</v>
      </c>
      <c r="T7" s="166" t="str">
        <f>IF(O8,O7/O8*100,"0")</f>
        <v>0</v>
      </c>
      <c r="U7" s="166" t="str">
        <f>IF(P8,P7/P8*100,"0")</f>
        <v>0</v>
      </c>
      <c r="V7" s="166" t="str">
        <f>IF(Q8,Q7/Q8*100,"0")</f>
        <v>0</v>
      </c>
      <c r="W7" s="143" t="s">
        <v>27</v>
      </c>
      <c r="X7" s="175"/>
      <c r="Y7" s="95"/>
      <c r="Z7" s="95"/>
      <c r="AA7" s="95"/>
      <c r="AB7" s="95"/>
      <c r="AC7" s="95"/>
    </row>
    <row r="8" spans="1:40" ht="54.75" customHeight="1">
      <c r="A8" s="140"/>
      <c r="B8" s="140"/>
      <c r="C8" s="140"/>
      <c r="D8" s="140"/>
      <c r="E8" s="140"/>
      <c r="F8" s="140"/>
      <c r="G8" s="140"/>
      <c r="H8" s="142"/>
      <c r="I8" s="142"/>
      <c r="J8" s="140"/>
      <c r="K8" s="140"/>
      <c r="L8" s="48" t="s">
        <v>78</v>
      </c>
      <c r="M8" s="8"/>
      <c r="N8" s="8"/>
      <c r="O8" s="8"/>
      <c r="P8" s="8"/>
      <c r="Q8" s="8"/>
      <c r="R8" s="140"/>
      <c r="S8" s="140"/>
      <c r="T8" s="140"/>
      <c r="U8" s="140"/>
      <c r="V8" s="140"/>
      <c r="W8" s="140"/>
      <c r="X8" s="142"/>
      <c r="Y8" s="95"/>
      <c r="Z8" s="95"/>
      <c r="AA8" s="95"/>
      <c r="AB8" s="95"/>
    </row>
    <row r="9" spans="1:40" ht="68.25" customHeight="1">
      <c r="A9" s="143">
        <v>5</v>
      </c>
      <c r="B9" s="143" t="s">
        <v>58</v>
      </c>
      <c r="C9" s="165" t="s">
        <v>59</v>
      </c>
      <c r="D9" s="152" t="s">
        <v>79</v>
      </c>
      <c r="E9" s="162" t="s">
        <v>80</v>
      </c>
      <c r="F9" s="143">
        <v>9</v>
      </c>
      <c r="G9" s="162" t="s">
        <v>81</v>
      </c>
      <c r="H9" s="143" t="s">
        <v>82</v>
      </c>
      <c r="I9" s="178"/>
      <c r="J9" s="155" t="s">
        <v>45</v>
      </c>
      <c r="K9" s="162" t="s">
        <v>83</v>
      </c>
      <c r="L9" s="48" t="s">
        <v>84</v>
      </c>
      <c r="M9" s="8"/>
      <c r="N9" s="8"/>
      <c r="O9" s="8"/>
      <c r="P9" s="8"/>
      <c r="Q9" s="8"/>
      <c r="R9" s="166" t="str">
        <f>IF(M10,M9/M10*100,"0")</f>
        <v>0</v>
      </c>
      <c r="S9" s="166" t="str">
        <f>IF(N10,N9/N10*100,"0")</f>
        <v>0</v>
      </c>
      <c r="T9" s="166" t="str">
        <f>IF(O10,O9/O10*100,"0")</f>
        <v>0</v>
      </c>
      <c r="U9" s="166" t="str">
        <f>IF(P10,P9/P10*100,"0")</f>
        <v>0</v>
      </c>
      <c r="V9" s="166" t="str">
        <f>IF(Q10,Q9/Q10*100,"0")</f>
        <v>0</v>
      </c>
      <c r="W9" s="143" t="s">
        <v>27</v>
      </c>
      <c r="X9" s="182"/>
      <c r="Y9" s="95"/>
      <c r="Z9" s="95"/>
      <c r="AA9" s="95"/>
      <c r="AB9" s="95"/>
    </row>
    <row r="10" spans="1:40" ht="30" customHeight="1">
      <c r="A10" s="140"/>
      <c r="B10" s="140"/>
      <c r="C10" s="140"/>
      <c r="D10" s="140"/>
      <c r="E10" s="140"/>
      <c r="F10" s="140"/>
      <c r="G10" s="140"/>
      <c r="H10" s="140"/>
      <c r="I10" s="142"/>
      <c r="J10" s="140"/>
      <c r="K10" s="140"/>
      <c r="L10" s="48" t="s">
        <v>85</v>
      </c>
      <c r="M10" s="8"/>
      <c r="N10" s="8"/>
      <c r="O10" s="8"/>
      <c r="P10" s="8"/>
      <c r="Q10" s="8"/>
      <c r="R10" s="140"/>
      <c r="S10" s="140"/>
      <c r="T10" s="140"/>
      <c r="U10" s="140"/>
      <c r="V10" s="140"/>
      <c r="W10" s="140"/>
      <c r="X10" s="142"/>
      <c r="Y10" s="95"/>
      <c r="Z10" s="95"/>
      <c r="AA10" s="95"/>
      <c r="AB10" s="95"/>
    </row>
    <row r="11" spans="1:40" ht="37.5" customHeight="1">
      <c r="A11" s="44">
        <v>6</v>
      </c>
      <c r="B11" s="88" t="s">
        <v>58</v>
      </c>
      <c r="C11" s="48" t="s">
        <v>59</v>
      </c>
      <c r="D11" s="89" t="s">
        <v>79</v>
      </c>
      <c r="E11" s="48" t="s">
        <v>80</v>
      </c>
      <c r="F11" s="44">
        <v>10</v>
      </c>
      <c r="G11" s="48" t="s">
        <v>86</v>
      </c>
      <c r="H11" s="114" t="s">
        <v>87</v>
      </c>
      <c r="I11" s="16"/>
      <c r="J11" s="44" t="s">
        <v>24</v>
      </c>
      <c r="K11" s="48" t="s">
        <v>25</v>
      </c>
      <c r="L11" s="48" t="s">
        <v>88</v>
      </c>
      <c r="M11" s="8">
        <v>0</v>
      </c>
      <c r="N11" s="8">
        <v>0</v>
      </c>
      <c r="O11" s="8"/>
      <c r="P11" s="8">
        <v>0</v>
      </c>
      <c r="Q11" s="8">
        <v>0</v>
      </c>
      <c r="R11" s="92">
        <f t="shared" ref="R11:V12" si="1">M11</f>
        <v>0</v>
      </c>
      <c r="S11" s="92">
        <f t="shared" si="1"/>
        <v>0</v>
      </c>
      <c r="T11" s="92">
        <f t="shared" si="1"/>
        <v>0</v>
      </c>
      <c r="U11" s="92">
        <f t="shared" si="1"/>
        <v>0</v>
      </c>
      <c r="V11" s="92">
        <f t="shared" si="1"/>
        <v>0</v>
      </c>
      <c r="W11" s="44" t="s">
        <v>27</v>
      </c>
      <c r="X11" s="9"/>
      <c r="Y11" s="95"/>
      <c r="Z11" s="95"/>
      <c r="AA11" s="95"/>
      <c r="AB11" s="95"/>
    </row>
    <row r="12" spans="1:40" ht="54" customHeight="1">
      <c r="A12" s="44">
        <v>7</v>
      </c>
      <c r="B12" s="88" t="s">
        <v>58</v>
      </c>
      <c r="C12" s="48" t="s">
        <v>59</v>
      </c>
      <c r="D12" s="89" t="s">
        <v>79</v>
      </c>
      <c r="E12" s="48" t="s">
        <v>80</v>
      </c>
      <c r="F12" s="44">
        <v>14</v>
      </c>
      <c r="G12" s="48" t="s">
        <v>89</v>
      </c>
      <c r="H12" s="43" t="s">
        <v>90</v>
      </c>
      <c r="I12" s="16"/>
      <c r="J12" s="44" t="s">
        <v>24</v>
      </c>
      <c r="K12" s="48" t="s">
        <v>25</v>
      </c>
      <c r="L12" s="48" t="s">
        <v>91</v>
      </c>
      <c r="M12" s="8"/>
      <c r="N12" s="8"/>
      <c r="O12" s="8"/>
      <c r="P12" s="8"/>
      <c r="Q12" s="8"/>
      <c r="R12" s="92">
        <f t="shared" si="1"/>
        <v>0</v>
      </c>
      <c r="S12" s="92">
        <f t="shared" si="1"/>
        <v>0</v>
      </c>
      <c r="T12" s="92">
        <f t="shared" si="1"/>
        <v>0</v>
      </c>
      <c r="U12" s="92">
        <f t="shared" si="1"/>
        <v>0</v>
      </c>
      <c r="V12" s="92">
        <f t="shared" si="1"/>
        <v>0</v>
      </c>
      <c r="W12" s="44" t="s">
        <v>27</v>
      </c>
      <c r="X12" s="9"/>
      <c r="Y12" s="95"/>
      <c r="Z12" s="95"/>
      <c r="AA12" s="95"/>
      <c r="AB12" s="95"/>
    </row>
    <row r="13" spans="1:40" ht="48" customHeight="1">
      <c r="A13" s="143">
        <v>8</v>
      </c>
      <c r="B13" s="143" t="s">
        <v>58</v>
      </c>
      <c r="C13" s="165" t="s">
        <v>59</v>
      </c>
      <c r="D13" s="152" t="s">
        <v>79</v>
      </c>
      <c r="E13" s="162" t="s">
        <v>80</v>
      </c>
      <c r="F13" s="143">
        <v>15</v>
      </c>
      <c r="G13" s="162" t="s">
        <v>92</v>
      </c>
      <c r="H13" s="145" t="s">
        <v>93</v>
      </c>
      <c r="I13" s="161"/>
      <c r="J13" s="155" t="s">
        <v>45</v>
      </c>
      <c r="K13" s="162" t="s">
        <v>94</v>
      </c>
      <c r="L13" s="48" t="s">
        <v>95</v>
      </c>
      <c r="M13" s="8"/>
      <c r="N13" s="8"/>
      <c r="O13" s="8"/>
      <c r="P13" s="8"/>
      <c r="Q13" s="8"/>
      <c r="R13" s="160" t="str">
        <f>IF(M14,M13/M14*100,"0")</f>
        <v>0</v>
      </c>
      <c r="S13" s="160" t="str">
        <f>IF(N14,N13/N14*100,"0")</f>
        <v>0</v>
      </c>
      <c r="T13" s="160" t="str">
        <f>IF(O14,O13/O14*100,"0")</f>
        <v>0</v>
      </c>
      <c r="U13" s="160" t="str">
        <f>IF(P14,P13/P14*100,"0")</f>
        <v>0</v>
      </c>
      <c r="V13" s="160" t="str">
        <f>IF(Q14,Q13/Q14*100,"0")</f>
        <v>0</v>
      </c>
      <c r="W13" s="143" t="s">
        <v>27</v>
      </c>
      <c r="X13" s="182"/>
      <c r="Y13" s="95"/>
      <c r="Z13" s="95"/>
      <c r="AA13" s="95"/>
      <c r="AB13" s="95"/>
    </row>
    <row r="14" spans="1:40" ht="37.5" customHeight="1">
      <c r="A14" s="140"/>
      <c r="B14" s="140"/>
      <c r="C14" s="140"/>
      <c r="D14" s="140"/>
      <c r="E14" s="140"/>
      <c r="F14" s="140"/>
      <c r="G14" s="140"/>
      <c r="H14" s="142"/>
      <c r="I14" s="142"/>
      <c r="J14" s="140"/>
      <c r="K14" s="140"/>
      <c r="L14" s="90" t="s">
        <v>96</v>
      </c>
      <c r="M14" s="97"/>
      <c r="N14" s="97"/>
      <c r="O14" s="97"/>
      <c r="P14" s="97"/>
      <c r="Q14" s="97"/>
      <c r="R14" s="140"/>
      <c r="S14" s="140"/>
      <c r="T14" s="140"/>
      <c r="U14" s="140"/>
      <c r="V14" s="140"/>
      <c r="W14" s="140"/>
      <c r="X14" s="142"/>
      <c r="Y14" s="95"/>
      <c r="Z14" s="95"/>
      <c r="AA14" s="95"/>
      <c r="AB14" s="95"/>
    </row>
    <row r="15" spans="1:40" ht="75" customHeight="1">
      <c r="A15" s="44">
        <v>9</v>
      </c>
      <c r="B15" s="88" t="s">
        <v>58</v>
      </c>
      <c r="C15" s="48" t="s">
        <v>59</v>
      </c>
      <c r="D15" s="89" t="s">
        <v>79</v>
      </c>
      <c r="E15" s="48" t="s">
        <v>80</v>
      </c>
      <c r="F15" s="44">
        <v>17</v>
      </c>
      <c r="G15" s="48" t="s">
        <v>97</v>
      </c>
      <c r="H15" s="43" t="s">
        <v>98</v>
      </c>
      <c r="I15" s="16"/>
      <c r="J15" s="44" t="s">
        <v>24</v>
      </c>
      <c r="K15" s="48" t="s">
        <v>25</v>
      </c>
      <c r="L15" s="48" t="s">
        <v>99</v>
      </c>
      <c r="M15" s="8"/>
      <c r="N15" s="8"/>
      <c r="O15" s="8"/>
      <c r="P15" s="8"/>
      <c r="Q15" s="8"/>
      <c r="R15" s="92">
        <f t="shared" ref="R15:V17" si="2">M15</f>
        <v>0</v>
      </c>
      <c r="S15" s="92">
        <f t="shared" si="2"/>
        <v>0</v>
      </c>
      <c r="T15" s="92">
        <f t="shared" si="2"/>
        <v>0</v>
      </c>
      <c r="U15" s="92">
        <f t="shared" si="2"/>
        <v>0</v>
      </c>
      <c r="V15" s="92">
        <f t="shared" si="2"/>
        <v>0</v>
      </c>
      <c r="W15" s="44" t="s">
        <v>27</v>
      </c>
      <c r="X15" s="9"/>
      <c r="Y15" s="95"/>
      <c r="Z15" s="95"/>
      <c r="AA15" s="95"/>
      <c r="AB15" s="95"/>
    </row>
    <row r="16" spans="1:40" ht="75" customHeight="1">
      <c r="A16" s="44">
        <v>10</v>
      </c>
      <c r="B16" s="88" t="s">
        <v>58</v>
      </c>
      <c r="C16" s="48" t="s">
        <v>59</v>
      </c>
      <c r="D16" s="89" t="s">
        <v>79</v>
      </c>
      <c r="E16" s="48" t="s">
        <v>80</v>
      </c>
      <c r="F16" s="44">
        <v>19</v>
      </c>
      <c r="G16" s="48" t="s">
        <v>100</v>
      </c>
      <c r="H16" s="43" t="s">
        <v>101</v>
      </c>
      <c r="I16" s="16"/>
      <c r="J16" s="44" t="s">
        <v>24</v>
      </c>
      <c r="K16" s="48" t="s">
        <v>25</v>
      </c>
      <c r="L16" s="48" t="s">
        <v>102</v>
      </c>
      <c r="M16" s="8"/>
      <c r="N16" s="8"/>
      <c r="O16" s="8"/>
      <c r="P16" s="8"/>
      <c r="Q16" s="8"/>
      <c r="R16" s="92">
        <f t="shared" si="2"/>
        <v>0</v>
      </c>
      <c r="S16" s="92">
        <f t="shared" si="2"/>
        <v>0</v>
      </c>
      <c r="T16" s="92">
        <f t="shared" si="2"/>
        <v>0</v>
      </c>
      <c r="U16" s="92">
        <f t="shared" si="2"/>
        <v>0</v>
      </c>
      <c r="V16" s="92">
        <f t="shared" si="2"/>
        <v>0</v>
      </c>
      <c r="W16" s="44" t="s">
        <v>27</v>
      </c>
      <c r="X16" s="9"/>
      <c r="Y16" s="95"/>
      <c r="Z16" s="95"/>
      <c r="AA16" s="95"/>
      <c r="AB16" s="95"/>
    </row>
    <row r="17" spans="1:28" ht="75" customHeight="1">
      <c r="A17" s="44">
        <v>11</v>
      </c>
      <c r="B17" s="88" t="s">
        <v>58</v>
      </c>
      <c r="C17" s="48" t="s">
        <v>59</v>
      </c>
      <c r="D17" s="89" t="s">
        <v>79</v>
      </c>
      <c r="E17" s="48" t="s">
        <v>80</v>
      </c>
      <c r="F17" s="44">
        <v>21</v>
      </c>
      <c r="G17" s="48" t="s">
        <v>103</v>
      </c>
      <c r="H17" s="43" t="s">
        <v>104</v>
      </c>
      <c r="I17" s="16"/>
      <c r="J17" s="44" t="s">
        <v>24</v>
      </c>
      <c r="K17" s="48" t="s">
        <v>25</v>
      </c>
      <c r="L17" s="48" t="s">
        <v>105</v>
      </c>
      <c r="M17" s="8"/>
      <c r="N17" s="8"/>
      <c r="O17" s="8"/>
      <c r="P17" s="8"/>
      <c r="Q17" s="8"/>
      <c r="R17" s="92">
        <f t="shared" si="2"/>
        <v>0</v>
      </c>
      <c r="S17" s="92">
        <f t="shared" si="2"/>
        <v>0</v>
      </c>
      <c r="T17" s="92">
        <f t="shared" si="2"/>
        <v>0</v>
      </c>
      <c r="U17" s="92">
        <f t="shared" si="2"/>
        <v>0</v>
      </c>
      <c r="V17" s="92">
        <f t="shared" si="2"/>
        <v>0</v>
      </c>
      <c r="W17" s="44" t="s">
        <v>27</v>
      </c>
      <c r="X17" s="9"/>
      <c r="Y17" s="95"/>
      <c r="Z17" s="95"/>
      <c r="AA17" s="95"/>
      <c r="AB17" s="95"/>
    </row>
    <row r="18" spans="1:28" ht="48" customHeight="1">
      <c r="A18" s="143">
        <v>12</v>
      </c>
      <c r="B18" s="143" t="s">
        <v>58</v>
      </c>
      <c r="C18" s="165" t="s">
        <v>59</v>
      </c>
      <c r="D18" s="152" t="s">
        <v>79</v>
      </c>
      <c r="E18" s="162" t="s">
        <v>80</v>
      </c>
      <c r="F18" s="143">
        <v>29</v>
      </c>
      <c r="G18" s="162" t="s">
        <v>106</v>
      </c>
      <c r="H18" s="145" t="s">
        <v>107</v>
      </c>
      <c r="I18" s="161"/>
      <c r="J18" s="155" t="s">
        <v>45</v>
      </c>
      <c r="K18" s="162" t="s">
        <v>108</v>
      </c>
      <c r="L18" s="48" t="s">
        <v>109</v>
      </c>
      <c r="M18" s="8"/>
      <c r="N18" s="8"/>
      <c r="O18" s="8"/>
      <c r="P18" s="8"/>
      <c r="Q18" s="8"/>
      <c r="R18" s="160" t="str">
        <f>IF(M19,M18/M19*100,"0")</f>
        <v>0</v>
      </c>
      <c r="S18" s="160" t="str">
        <f>IF(N19,N18/N19*100,"0")</f>
        <v>0</v>
      </c>
      <c r="T18" s="160" t="str">
        <f>IF(O19,O18/O19*100,"0")</f>
        <v>0</v>
      </c>
      <c r="U18" s="160" t="str">
        <f>IF(P19,P18/P19*100,"0")</f>
        <v>0</v>
      </c>
      <c r="V18" s="160" t="str">
        <f>IF(Q19,Q18/Q19*100,"0")</f>
        <v>0</v>
      </c>
      <c r="W18" s="143" t="s">
        <v>27</v>
      </c>
      <c r="X18" s="182"/>
      <c r="Y18" s="95"/>
      <c r="Z18" s="95"/>
      <c r="AA18" s="95"/>
      <c r="AB18" s="95"/>
    </row>
    <row r="19" spans="1:28" ht="45" customHeight="1">
      <c r="A19" s="140"/>
      <c r="B19" s="140"/>
      <c r="C19" s="140"/>
      <c r="D19" s="140"/>
      <c r="E19" s="140"/>
      <c r="F19" s="140"/>
      <c r="G19" s="140"/>
      <c r="H19" s="142"/>
      <c r="I19" s="142"/>
      <c r="J19" s="140"/>
      <c r="K19" s="140"/>
      <c r="L19" s="48" t="s">
        <v>110</v>
      </c>
      <c r="M19" s="8"/>
      <c r="N19" s="8"/>
      <c r="O19" s="8"/>
      <c r="P19" s="8"/>
      <c r="Q19" s="8"/>
      <c r="R19" s="140"/>
      <c r="S19" s="140"/>
      <c r="T19" s="140"/>
      <c r="U19" s="140"/>
      <c r="V19" s="140"/>
      <c r="W19" s="140"/>
      <c r="X19" s="142"/>
      <c r="Y19" s="95"/>
      <c r="Z19" s="95"/>
      <c r="AA19" s="95"/>
      <c r="AB19" s="95"/>
    </row>
    <row r="20" spans="1:28" ht="75" customHeight="1">
      <c r="A20" s="44">
        <v>13</v>
      </c>
      <c r="B20" s="88" t="s">
        <v>58</v>
      </c>
      <c r="C20" s="48" t="s">
        <v>59</v>
      </c>
      <c r="D20" s="89" t="s">
        <v>79</v>
      </c>
      <c r="E20" s="48" t="s">
        <v>80</v>
      </c>
      <c r="F20" s="44">
        <v>30</v>
      </c>
      <c r="G20" s="48" t="s">
        <v>111</v>
      </c>
      <c r="H20" s="43" t="s">
        <v>112</v>
      </c>
      <c r="I20" s="16"/>
      <c r="J20" s="44" t="s">
        <v>24</v>
      </c>
      <c r="K20" s="48" t="s">
        <v>25</v>
      </c>
      <c r="L20" s="48" t="s">
        <v>113</v>
      </c>
      <c r="M20" s="8"/>
      <c r="N20" s="8"/>
      <c r="O20" s="8"/>
      <c r="P20" s="8"/>
      <c r="Q20" s="8"/>
      <c r="R20" s="92">
        <f t="shared" ref="R20:V23" si="3">M20</f>
        <v>0</v>
      </c>
      <c r="S20" s="92">
        <f t="shared" si="3"/>
        <v>0</v>
      </c>
      <c r="T20" s="92">
        <f t="shared" si="3"/>
        <v>0</v>
      </c>
      <c r="U20" s="92">
        <f t="shared" si="3"/>
        <v>0</v>
      </c>
      <c r="V20" s="92">
        <f t="shared" si="3"/>
        <v>0</v>
      </c>
      <c r="W20" s="44" t="s">
        <v>27</v>
      </c>
      <c r="X20" s="9"/>
      <c r="Y20" s="95"/>
      <c r="Z20" s="95"/>
      <c r="AA20" s="95"/>
      <c r="AB20" s="95"/>
    </row>
    <row r="21" spans="1:28" ht="75" customHeight="1">
      <c r="A21" s="44">
        <v>14</v>
      </c>
      <c r="B21" s="88" t="s">
        <v>58</v>
      </c>
      <c r="C21" s="48" t="s">
        <v>59</v>
      </c>
      <c r="D21" s="89" t="s">
        <v>79</v>
      </c>
      <c r="E21" s="48" t="s">
        <v>80</v>
      </c>
      <c r="F21" s="44">
        <v>33</v>
      </c>
      <c r="G21" s="48" t="s">
        <v>114</v>
      </c>
      <c r="H21" s="43" t="s">
        <v>115</v>
      </c>
      <c r="I21" s="16"/>
      <c r="J21" s="44" t="s">
        <v>24</v>
      </c>
      <c r="K21" s="48" t="s">
        <v>25</v>
      </c>
      <c r="L21" s="48" t="s">
        <v>116</v>
      </c>
      <c r="M21" s="8"/>
      <c r="N21" s="8"/>
      <c r="O21" s="8"/>
      <c r="P21" s="8"/>
      <c r="Q21" s="8"/>
      <c r="R21" s="92">
        <f t="shared" si="3"/>
        <v>0</v>
      </c>
      <c r="S21" s="92">
        <f t="shared" si="3"/>
        <v>0</v>
      </c>
      <c r="T21" s="92">
        <f t="shared" si="3"/>
        <v>0</v>
      </c>
      <c r="U21" s="92">
        <f t="shared" si="3"/>
        <v>0</v>
      </c>
      <c r="V21" s="92">
        <f t="shared" si="3"/>
        <v>0</v>
      </c>
      <c r="W21" s="44" t="s">
        <v>27</v>
      </c>
      <c r="X21" s="9"/>
      <c r="Y21" s="95"/>
      <c r="Z21" s="95"/>
      <c r="AA21" s="95"/>
      <c r="AB21" s="95"/>
    </row>
    <row r="22" spans="1:28" ht="75" customHeight="1">
      <c r="A22" s="44">
        <v>16</v>
      </c>
      <c r="B22" s="88" t="s">
        <v>58</v>
      </c>
      <c r="C22" s="48" t="s">
        <v>59</v>
      </c>
      <c r="D22" s="89" t="s">
        <v>79</v>
      </c>
      <c r="E22" s="48" t="s">
        <v>80</v>
      </c>
      <c r="F22" s="44">
        <v>37</v>
      </c>
      <c r="G22" s="48" t="s">
        <v>117</v>
      </c>
      <c r="H22" s="43" t="s">
        <v>118</v>
      </c>
      <c r="I22" s="16"/>
      <c r="J22" s="44" t="s">
        <v>24</v>
      </c>
      <c r="K22" s="48" t="s">
        <v>25</v>
      </c>
      <c r="L22" s="48" t="s">
        <v>119</v>
      </c>
      <c r="M22" s="8"/>
      <c r="N22" s="8"/>
      <c r="O22" s="8"/>
      <c r="P22" s="8"/>
      <c r="Q22" s="8"/>
      <c r="R22" s="92">
        <f t="shared" si="3"/>
        <v>0</v>
      </c>
      <c r="S22" s="92">
        <f t="shared" si="3"/>
        <v>0</v>
      </c>
      <c r="T22" s="92">
        <f t="shared" si="3"/>
        <v>0</v>
      </c>
      <c r="U22" s="92">
        <f t="shared" si="3"/>
        <v>0</v>
      </c>
      <c r="V22" s="92">
        <f t="shared" si="3"/>
        <v>0</v>
      </c>
      <c r="W22" s="44" t="s">
        <v>27</v>
      </c>
      <c r="X22" s="9"/>
      <c r="Y22" s="95"/>
      <c r="Z22" s="95"/>
      <c r="AA22" s="95"/>
      <c r="AB22" s="95"/>
    </row>
    <row r="23" spans="1:28" ht="60" customHeight="1">
      <c r="A23" s="44">
        <v>17</v>
      </c>
      <c r="B23" s="88" t="s">
        <v>58</v>
      </c>
      <c r="C23" s="48" t="s">
        <v>59</v>
      </c>
      <c r="D23" s="89" t="s">
        <v>120</v>
      </c>
      <c r="E23" s="48" t="s">
        <v>121</v>
      </c>
      <c r="F23" s="44">
        <v>42</v>
      </c>
      <c r="G23" s="48" t="s">
        <v>122</v>
      </c>
      <c r="H23" s="43" t="s">
        <v>123</v>
      </c>
      <c r="I23" s="16"/>
      <c r="J23" s="44" t="s">
        <v>24</v>
      </c>
      <c r="K23" s="48" t="s">
        <v>25</v>
      </c>
      <c r="L23" s="48" t="s">
        <v>124</v>
      </c>
      <c r="M23" s="93">
        <f>M14</f>
        <v>0</v>
      </c>
      <c r="N23" s="93">
        <f>N14</f>
        <v>0</v>
      </c>
      <c r="O23" s="93">
        <f>O14</f>
        <v>0</v>
      </c>
      <c r="P23" s="93">
        <f>P14</f>
        <v>0</v>
      </c>
      <c r="Q23" s="93">
        <f>Q14</f>
        <v>0</v>
      </c>
      <c r="R23" s="92">
        <f t="shared" si="3"/>
        <v>0</v>
      </c>
      <c r="S23" s="92">
        <f t="shared" si="3"/>
        <v>0</v>
      </c>
      <c r="T23" s="92">
        <f t="shared" si="3"/>
        <v>0</v>
      </c>
      <c r="U23" s="92">
        <f t="shared" si="3"/>
        <v>0</v>
      </c>
      <c r="V23" s="92">
        <f t="shared" si="3"/>
        <v>0</v>
      </c>
      <c r="W23" s="44" t="s">
        <v>27</v>
      </c>
      <c r="X23" s="9"/>
      <c r="Y23" s="95"/>
      <c r="Z23" s="95"/>
      <c r="AA23" s="95"/>
      <c r="AB23" s="95"/>
    </row>
    <row r="24" spans="1:28" ht="43.5" customHeight="1">
      <c r="A24" s="143">
        <v>18</v>
      </c>
      <c r="B24" s="143" t="s">
        <v>58</v>
      </c>
      <c r="C24" s="162" t="s">
        <v>59</v>
      </c>
      <c r="D24" s="152" t="s">
        <v>120</v>
      </c>
      <c r="E24" s="162" t="s">
        <v>121</v>
      </c>
      <c r="F24" s="143">
        <v>43</v>
      </c>
      <c r="G24" s="162" t="s">
        <v>125</v>
      </c>
      <c r="H24" s="145" t="s">
        <v>126</v>
      </c>
      <c r="I24" s="161"/>
      <c r="J24" s="155" t="s">
        <v>45</v>
      </c>
      <c r="K24" s="162" t="s">
        <v>127</v>
      </c>
      <c r="L24" s="48" t="s">
        <v>128</v>
      </c>
      <c r="M24" s="8"/>
      <c r="N24" s="8"/>
      <c r="O24" s="8"/>
      <c r="P24" s="8"/>
      <c r="Q24" s="8"/>
      <c r="R24" s="160" t="str">
        <f>IF(M25,M24/M25*100,"0")</f>
        <v>0</v>
      </c>
      <c r="S24" s="160" t="str">
        <f>IF(N25,N24/N25*100,"0")</f>
        <v>0</v>
      </c>
      <c r="T24" s="160" t="str">
        <f>IF(O25,O24/O25*100,"0")</f>
        <v>0</v>
      </c>
      <c r="U24" s="160" t="str">
        <f>IF(P25,P24/P25*100,"0")</f>
        <v>0</v>
      </c>
      <c r="V24" s="160" t="str">
        <f>IF(Q25,Q24/Q25*100,"0")</f>
        <v>0</v>
      </c>
      <c r="W24" s="143" t="s">
        <v>27</v>
      </c>
      <c r="X24" s="182"/>
      <c r="Y24" s="95"/>
      <c r="Z24" s="95"/>
      <c r="AA24" s="95"/>
      <c r="AB24" s="95"/>
    </row>
    <row r="25" spans="1:28" ht="43.5" customHeight="1">
      <c r="A25" s="140"/>
      <c r="B25" s="140"/>
      <c r="C25" s="140"/>
      <c r="D25" s="140"/>
      <c r="E25" s="140"/>
      <c r="F25" s="140"/>
      <c r="G25" s="140"/>
      <c r="H25" s="142"/>
      <c r="I25" s="142"/>
      <c r="J25" s="140"/>
      <c r="K25" s="140"/>
      <c r="L25" s="48" t="s">
        <v>129</v>
      </c>
      <c r="M25" s="8"/>
      <c r="N25" s="8"/>
      <c r="O25" s="8"/>
      <c r="P25" s="8"/>
      <c r="Q25" s="8"/>
      <c r="R25" s="140"/>
      <c r="S25" s="140"/>
      <c r="T25" s="140"/>
      <c r="U25" s="140"/>
      <c r="V25" s="140"/>
      <c r="W25" s="140"/>
      <c r="X25" s="142"/>
      <c r="Y25" s="95"/>
      <c r="Z25" s="95"/>
      <c r="AA25" s="95"/>
      <c r="AB25" s="95"/>
    </row>
    <row r="26" spans="1:28" ht="60" customHeight="1">
      <c r="A26" s="44">
        <v>19</v>
      </c>
      <c r="B26" s="88" t="s">
        <v>58</v>
      </c>
      <c r="C26" s="48" t="s">
        <v>59</v>
      </c>
      <c r="D26" s="89" t="s">
        <v>120</v>
      </c>
      <c r="E26" s="48" t="s">
        <v>121</v>
      </c>
      <c r="F26" s="44">
        <v>44</v>
      </c>
      <c r="G26" s="48" t="s">
        <v>130</v>
      </c>
      <c r="H26" s="115" t="s">
        <v>131</v>
      </c>
      <c r="I26" s="16"/>
      <c r="J26" s="44" t="s">
        <v>24</v>
      </c>
      <c r="K26" s="48" t="s">
        <v>25</v>
      </c>
      <c r="L26" s="48" t="s">
        <v>132</v>
      </c>
      <c r="M26" s="8"/>
      <c r="N26" s="8"/>
      <c r="O26" s="8"/>
      <c r="P26" s="8"/>
      <c r="Q26" s="8"/>
      <c r="R26" s="92">
        <f>M26</f>
        <v>0</v>
      </c>
      <c r="S26" s="92">
        <f>N26</f>
        <v>0</v>
      </c>
      <c r="T26" s="92">
        <f>O26</f>
        <v>0</v>
      </c>
      <c r="U26" s="92">
        <f>P26</f>
        <v>0</v>
      </c>
      <c r="V26" s="92">
        <f>Q26</f>
        <v>0</v>
      </c>
      <c r="W26" s="44" t="s">
        <v>27</v>
      </c>
      <c r="X26" s="9"/>
      <c r="Y26" s="95"/>
      <c r="Z26" s="95"/>
      <c r="AA26" s="95"/>
      <c r="AB26" s="95"/>
    </row>
    <row r="27" spans="1:28" ht="60" customHeight="1">
      <c r="A27" s="143">
        <v>20</v>
      </c>
      <c r="B27" s="143" t="s">
        <v>58</v>
      </c>
      <c r="C27" s="165" t="s">
        <v>59</v>
      </c>
      <c r="D27" s="152" t="s">
        <v>120</v>
      </c>
      <c r="E27" s="162" t="s">
        <v>121</v>
      </c>
      <c r="F27" s="143">
        <v>45</v>
      </c>
      <c r="G27" s="162" t="s">
        <v>133</v>
      </c>
      <c r="H27" s="145" t="s">
        <v>134</v>
      </c>
      <c r="I27" s="161"/>
      <c r="J27" s="155" t="s">
        <v>45</v>
      </c>
      <c r="K27" s="162" t="s">
        <v>135</v>
      </c>
      <c r="L27" s="48" t="s">
        <v>136</v>
      </c>
      <c r="M27" s="8"/>
      <c r="N27" s="8"/>
      <c r="O27" s="8"/>
      <c r="P27" s="8"/>
      <c r="Q27" s="8"/>
      <c r="R27" s="166" t="str">
        <f>IF(M28,M27/M28*100,"0")</f>
        <v>0</v>
      </c>
      <c r="S27" s="166" t="str">
        <f>IF(N28,N27/N28*100,"0")</f>
        <v>0</v>
      </c>
      <c r="T27" s="166" t="str">
        <f>IF(O28,O27/O28*100,"0")</f>
        <v>0</v>
      </c>
      <c r="U27" s="166" t="str">
        <f>IF(P28,P27/P28*100,"0")</f>
        <v>0</v>
      </c>
      <c r="V27" s="166" t="str">
        <f>IF(Q28,Q27/Q28*100,"0")</f>
        <v>0</v>
      </c>
      <c r="W27" s="143" t="s">
        <v>27</v>
      </c>
      <c r="X27" s="182"/>
      <c r="Y27" s="95"/>
      <c r="Z27" s="95"/>
      <c r="AA27" s="95"/>
      <c r="AB27" s="95"/>
    </row>
    <row r="28" spans="1:28" ht="42" customHeight="1">
      <c r="A28" s="140"/>
      <c r="B28" s="140"/>
      <c r="C28" s="140"/>
      <c r="D28" s="140"/>
      <c r="E28" s="140"/>
      <c r="F28" s="140"/>
      <c r="G28" s="140"/>
      <c r="H28" s="142"/>
      <c r="I28" s="142"/>
      <c r="J28" s="140"/>
      <c r="K28" s="140"/>
      <c r="L28" s="48" t="s">
        <v>137</v>
      </c>
      <c r="M28" s="8"/>
      <c r="N28" s="8"/>
      <c r="O28" s="8"/>
      <c r="P28" s="8"/>
      <c r="Q28" s="8"/>
      <c r="R28" s="140"/>
      <c r="S28" s="140"/>
      <c r="T28" s="140"/>
      <c r="U28" s="140"/>
      <c r="V28" s="140"/>
      <c r="W28" s="140"/>
      <c r="X28" s="142"/>
      <c r="Y28" s="95"/>
      <c r="Z28" s="95"/>
      <c r="AA28" s="95"/>
      <c r="AB28" s="95"/>
    </row>
    <row r="29" spans="1:28" ht="27.75" customHeight="1">
      <c r="A29" s="163">
        <v>21</v>
      </c>
      <c r="B29" s="163" t="s">
        <v>58</v>
      </c>
      <c r="C29" s="170" t="s">
        <v>59</v>
      </c>
      <c r="D29" s="184" t="s">
        <v>120</v>
      </c>
      <c r="E29" s="171" t="s">
        <v>121</v>
      </c>
      <c r="F29" s="163">
        <v>46</v>
      </c>
      <c r="G29" s="171" t="s">
        <v>138</v>
      </c>
      <c r="H29" s="180" t="s">
        <v>139</v>
      </c>
      <c r="I29" s="187"/>
      <c r="J29" s="181" t="s">
        <v>45</v>
      </c>
      <c r="K29" s="171" t="s">
        <v>140</v>
      </c>
      <c r="L29" s="48" t="s">
        <v>141</v>
      </c>
      <c r="M29" s="127">
        <f>M14</f>
        <v>0</v>
      </c>
      <c r="N29" s="127">
        <f>N14</f>
        <v>0</v>
      </c>
      <c r="O29" s="127">
        <f>O14</f>
        <v>0</v>
      </c>
      <c r="P29" s="127">
        <f>P14</f>
        <v>0</v>
      </c>
      <c r="Q29" s="8"/>
      <c r="R29" s="179" t="str">
        <f>IF(M32,(1-((M29-M30+M31)/(M32)))*100,"0")</f>
        <v>0</v>
      </c>
      <c r="S29" s="179" t="str">
        <f>IF(N32,(1-((N29-N30+N31)/(N32)))*100,"0")</f>
        <v>0</v>
      </c>
      <c r="T29" s="179" t="str">
        <f>IF(O32,(1-((O29-O30+O31)/(O32)))*100,"0")</f>
        <v>0</v>
      </c>
      <c r="U29" s="179" t="str">
        <f>IF(P32,(1-((P29-P30+P31)/(P32)))*100,"0")</f>
        <v>0</v>
      </c>
      <c r="V29" s="179" t="str">
        <f>IF(Q32,(1-((Q29-Q30+Q31)/(Q32)))*100,"0")</f>
        <v>0</v>
      </c>
      <c r="W29" s="163" t="s">
        <v>27</v>
      </c>
      <c r="X29" s="176"/>
      <c r="Y29" s="95"/>
      <c r="Z29" s="95"/>
      <c r="AA29" s="95"/>
      <c r="AB29" s="95"/>
    </row>
    <row r="30" spans="1:28" ht="27.75" customHeight="1">
      <c r="A30" s="164"/>
      <c r="B30" s="164"/>
      <c r="C30" s="164"/>
      <c r="D30" s="164"/>
      <c r="E30" s="164"/>
      <c r="F30" s="164"/>
      <c r="G30" s="164"/>
      <c r="H30" s="177"/>
      <c r="I30" s="177"/>
      <c r="J30" s="164"/>
      <c r="K30" s="164"/>
      <c r="L30" s="48" t="s">
        <v>142</v>
      </c>
      <c r="M30" s="8"/>
      <c r="N30" s="8"/>
      <c r="O30" s="8"/>
      <c r="P30" s="8"/>
      <c r="Q30" s="8"/>
      <c r="R30" s="164"/>
      <c r="S30" s="164"/>
      <c r="T30" s="164"/>
      <c r="U30" s="164"/>
      <c r="V30" s="164"/>
      <c r="W30" s="164"/>
      <c r="X30" s="177"/>
      <c r="Y30" s="95"/>
      <c r="Z30" s="95"/>
      <c r="AA30" s="95"/>
      <c r="AB30" s="95"/>
    </row>
    <row r="31" spans="1:28" ht="27.75" customHeight="1">
      <c r="A31" s="164"/>
      <c r="B31" s="164"/>
      <c r="C31" s="164"/>
      <c r="D31" s="164"/>
      <c r="E31" s="164"/>
      <c r="F31" s="164"/>
      <c r="G31" s="164"/>
      <c r="H31" s="177"/>
      <c r="I31" s="177"/>
      <c r="J31" s="164"/>
      <c r="K31" s="164"/>
      <c r="L31" s="48" t="s">
        <v>143</v>
      </c>
      <c r="M31" s="8"/>
      <c r="N31" s="8"/>
      <c r="O31" s="8"/>
      <c r="P31" s="8"/>
      <c r="Q31" s="8"/>
      <c r="R31" s="164"/>
      <c r="S31" s="164"/>
      <c r="T31" s="164"/>
      <c r="U31" s="164"/>
      <c r="V31" s="164"/>
      <c r="W31" s="164"/>
      <c r="X31" s="177"/>
      <c r="Y31" s="95"/>
      <c r="Z31" s="95"/>
      <c r="AA31" s="95"/>
      <c r="AB31" s="95"/>
    </row>
    <row r="32" spans="1:28" ht="27.75" customHeight="1">
      <c r="A32" s="164"/>
      <c r="B32" s="164"/>
      <c r="C32" s="164"/>
      <c r="D32" s="164"/>
      <c r="E32" s="164"/>
      <c r="F32" s="164"/>
      <c r="G32" s="164"/>
      <c r="H32" s="177"/>
      <c r="I32" s="177"/>
      <c r="J32" s="164"/>
      <c r="K32" s="164"/>
      <c r="L32" s="90" t="s">
        <v>144</v>
      </c>
      <c r="M32" s="8"/>
      <c r="N32" s="127">
        <f>M29</f>
        <v>0</v>
      </c>
      <c r="O32" s="127">
        <f>N29</f>
        <v>0</v>
      </c>
      <c r="P32" s="127">
        <f>O29</f>
        <v>0</v>
      </c>
      <c r="Q32" s="8"/>
      <c r="R32" s="164"/>
      <c r="S32" s="164"/>
      <c r="T32" s="164"/>
      <c r="U32" s="164"/>
      <c r="V32" s="164"/>
      <c r="W32" s="164"/>
      <c r="X32" s="177"/>
      <c r="Y32" s="95"/>
      <c r="Z32" s="95"/>
      <c r="AA32" s="95"/>
      <c r="AB32" s="95"/>
    </row>
    <row r="33" spans="1:28" ht="60" customHeight="1">
      <c r="A33" s="44">
        <v>22</v>
      </c>
      <c r="B33" s="88" t="s">
        <v>58</v>
      </c>
      <c r="C33" s="48" t="s">
        <v>59</v>
      </c>
      <c r="D33" s="89" t="s">
        <v>120</v>
      </c>
      <c r="E33" s="48" t="s">
        <v>121</v>
      </c>
      <c r="F33" s="44">
        <v>53</v>
      </c>
      <c r="G33" s="48" t="s">
        <v>145</v>
      </c>
      <c r="H33" s="43" t="s">
        <v>146</v>
      </c>
      <c r="I33" s="16"/>
      <c r="J33" s="44" t="s">
        <v>24</v>
      </c>
      <c r="K33" s="48" t="s">
        <v>25</v>
      </c>
      <c r="L33" s="48" t="s">
        <v>147</v>
      </c>
      <c r="M33" s="8"/>
      <c r="N33" s="8"/>
      <c r="O33" s="8"/>
      <c r="P33" s="8"/>
      <c r="Q33" s="8"/>
      <c r="R33" s="92">
        <f>M33</f>
        <v>0</v>
      </c>
      <c r="S33" s="92">
        <f>N33</f>
        <v>0</v>
      </c>
      <c r="T33" s="92">
        <f>O33</f>
        <v>0</v>
      </c>
      <c r="U33" s="92">
        <f>P33</f>
        <v>0</v>
      </c>
      <c r="V33" s="92">
        <f>Q33</f>
        <v>0</v>
      </c>
      <c r="W33" s="44" t="s">
        <v>27</v>
      </c>
      <c r="X33" s="9"/>
      <c r="Y33" s="95"/>
      <c r="Z33" s="95"/>
      <c r="AA33" s="95"/>
      <c r="AB33" s="95"/>
    </row>
    <row r="34" spans="1:28" ht="40.5" customHeight="1">
      <c r="A34" s="143">
        <v>23</v>
      </c>
      <c r="B34" s="143" t="s">
        <v>58</v>
      </c>
      <c r="C34" s="165" t="s">
        <v>59</v>
      </c>
      <c r="D34" s="152" t="s">
        <v>120</v>
      </c>
      <c r="E34" s="162" t="s">
        <v>121</v>
      </c>
      <c r="F34" s="143">
        <v>55</v>
      </c>
      <c r="G34" s="162" t="s">
        <v>148</v>
      </c>
      <c r="H34" s="145" t="s">
        <v>149</v>
      </c>
      <c r="I34" s="161"/>
      <c r="J34" s="155" t="s">
        <v>45</v>
      </c>
      <c r="K34" s="162" t="s">
        <v>150</v>
      </c>
      <c r="L34" s="48" t="s">
        <v>151</v>
      </c>
      <c r="M34" s="8"/>
      <c r="N34" s="8"/>
      <c r="O34" s="8"/>
      <c r="P34" s="8"/>
      <c r="Q34" s="8"/>
      <c r="R34" s="160" t="str">
        <f>IF(M35,M34/M35*100,"0")</f>
        <v>0</v>
      </c>
      <c r="S34" s="160" t="str">
        <f>IF(N35,N34/N35*100,"0")</f>
        <v>0</v>
      </c>
      <c r="T34" s="160" t="str">
        <f>IF(O35,O34/O35*100,"0")</f>
        <v>0</v>
      </c>
      <c r="U34" s="160" t="str">
        <f>IF(P35,P34/P35*100,"0")</f>
        <v>0</v>
      </c>
      <c r="V34" s="160" t="str">
        <f>IF(Q35,Q34/Q35*100,"0")</f>
        <v>0</v>
      </c>
      <c r="W34" s="143" t="s">
        <v>27</v>
      </c>
      <c r="X34" s="173"/>
      <c r="Y34" s="95"/>
      <c r="Z34" s="95"/>
      <c r="AA34" s="95"/>
      <c r="AB34" s="95"/>
    </row>
    <row r="35" spans="1:28" ht="40.5" customHeight="1">
      <c r="A35" s="140"/>
      <c r="B35" s="140"/>
      <c r="C35" s="140"/>
      <c r="D35" s="140"/>
      <c r="E35" s="140"/>
      <c r="F35" s="140"/>
      <c r="G35" s="140"/>
      <c r="H35" s="142"/>
      <c r="I35" s="142"/>
      <c r="J35" s="140"/>
      <c r="K35" s="140"/>
      <c r="L35" s="91" t="s">
        <v>152</v>
      </c>
      <c r="M35" s="94">
        <f>M14</f>
        <v>0</v>
      </c>
      <c r="N35" s="94">
        <f>N14</f>
        <v>0</v>
      </c>
      <c r="O35" s="94">
        <f>O14</f>
        <v>0</v>
      </c>
      <c r="P35" s="94">
        <f>P14</f>
        <v>0</v>
      </c>
      <c r="Q35" s="94">
        <f>Q14</f>
        <v>0</v>
      </c>
      <c r="R35" s="140"/>
      <c r="S35" s="140"/>
      <c r="T35" s="140"/>
      <c r="U35" s="140"/>
      <c r="V35" s="140"/>
      <c r="W35" s="140"/>
      <c r="X35" s="142"/>
      <c r="Y35" s="95"/>
      <c r="Z35" s="95"/>
      <c r="AA35" s="95"/>
      <c r="AB35" s="95"/>
    </row>
    <row r="36" spans="1:28" ht="90" customHeight="1">
      <c r="A36" s="44">
        <v>24</v>
      </c>
      <c r="B36" s="88" t="s">
        <v>58</v>
      </c>
      <c r="C36" s="48" t="s">
        <v>59</v>
      </c>
      <c r="D36" s="89" t="s">
        <v>120</v>
      </c>
      <c r="E36" s="48" t="s">
        <v>121</v>
      </c>
      <c r="F36" s="44">
        <v>57</v>
      </c>
      <c r="G36" s="48" t="s">
        <v>153</v>
      </c>
      <c r="H36" s="43" t="s">
        <v>154</v>
      </c>
      <c r="I36" s="16"/>
      <c r="J36" s="44" t="s">
        <v>24</v>
      </c>
      <c r="K36" s="48" t="s">
        <v>25</v>
      </c>
      <c r="L36" s="48" t="s">
        <v>155</v>
      </c>
      <c r="M36" s="8"/>
      <c r="N36" s="8"/>
      <c r="O36" s="8"/>
      <c r="P36" s="8"/>
      <c r="Q36" s="8"/>
      <c r="R36" s="92">
        <f t="shared" ref="R36:V39" si="4">M36</f>
        <v>0</v>
      </c>
      <c r="S36" s="92">
        <f t="shared" si="4"/>
        <v>0</v>
      </c>
      <c r="T36" s="92">
        <f t="shared" si="4"/>
        <v>0</v>
      </c>
      <c r="U36" s="92">
        <f t="shared" si="4"/>
        <v>0</v>
      </c>
      <c r="V36" s="92">
        <f t="shared" si="4"/>
        <v>0</v>
      </c>
      <c r="W36" s="44" t="s">
        <v>27</v>
      </c>
      <c r="X36" s="9"/>
      <c r="Y36" s="95"/>
      <c r="Z36" s="95"/>
      <c r="AA36" s="95"/>
      <c r="AB36" s="95"/>
    </row>
    <row r="37" spans="1:28" ht="75" customHeight="1">
      <c r="A37" s="44">
        <v>25</v>
      </c>
      <c r="B37" s="88" t="s">
        <v>58</v>
      </c>
      <c r="C37" s="48" t="s">
        <v>59</v>
      </c>
      <c r="D37" s="89" t="s">
        <v>120</v>
      </c>
      <c r="E37" s="48" t="s">
        <v>121</v>
      </c>
      <c r="F37" s="44">
        <v>58</v>
      </c>
      <c r="G37" s="48" t="s">
        <v>156</v>
      </c>
      <c r="H37" s="43" t="s">
        <v>157</v>
      </c>
      <c r="I37" s="16"/>
      <c r="J37" s="44" t="s">
        <v>24</v>
      </c>
      <c r="K37" s="48" t="s">
        <v>25</v>
      </c>
      <c r="L37" s="48" t="s">
        <v>158</v>
      </c>
      <c r="M37" s="8"/>
      <c r="N37" s="8"/>
      <c r="O37" s="8"/>
      <c r="P37" s="8"/>
      <c r="Q37" s="8"/>
      <c r="R37" s="92">
        <f t="shared" si="4"/>
        <v>0</v>
      </c>
      <c r="S37" s="92">
        <f t="shared" si="4"/>
        <v>0</v>
      </c>
      <c r="T37" s="92">
        <f t="shared" si="4"/>
        <v>0</v>
      </c>
      <c r="U37" s="92">
        <f t="shared" si="4"/>
        <v>0</v>
      </c>
      <c r="V37" s="92">
        <f t="shared" si="4"/>
        <v>0</v>
      </c>
      <c r="W37" s="44" t="s">
        <v>27</v>
      </c>
      <c r="X37" s="9"/>
      <c r="Y37" s="95"/>
      <c r="Z37" s="95"/>
      <c r="AA37" s="95"/>
      <c r="AB37" s="95"/>
    </row>
    <row r="38" spans="1:28" ht="60" customHeight="1">
      <c r="A38" s="44">
        <v>26</v>
      </c>
      <c r="B38" s="88" t="s">
        <v>58</v>
      </c>
      <c r="C38" s="48" t="s">
        <v>59</v>
      </c>
      <c r="D38" s="89" t="s">
        <v>120</v>
      </c>
      <c r="E38" s="48" t="s">
        <v>121</v>
      </c>
      <c r="F38" s="44">
        <v>61</v>
      </c>
      <c r="G38" s="48" t="s">
        <v>159</v>
      </c>
      <c r="H38" s="43" t="s">
        <v>160</v>
      </c>
      <c r="I38" s="16"/>
      <c r="J38" s="44" t="s">
        <v>24</v>
      </c>
      <c r="K38" s="48" t="s">
        <v>25</v>
      </c>
      <c r="L38" s="48" t="s">
        <v>161</v>
      </c>
      <c r="M38" s="8"/>
      <c r="N38" s="8"/>
      <c r="O38" s="8"/>
      <c r="P38" s="8"/>
      <c r="Q38" s="8"/>
      <c r="R38" s="92">
        <f t="shared" si="4"/>
        <v>0</v>
      </c>
      <c r="S38" s="92">
        <f t="shared" si="4"/>
        <v>0</v>
      </c>
      <c r="T38" s="92">
        <f t="shared" si="4"/>
        <v>0</v>
      </c>
      <c r="U38" s="92">
        <f t="shared" si="4"/>
        <v>0</v>
      </c>
      <c r="V38" s="92">
        <f t="shared" si="4"/>
        <v>0</v>
      </c>
      <c r="W38" s="44" t="s">
        <v>27</v>
      </c>
      <c r="X38" s="9"/>
      <c r="Y38" s="95"/>
      <c r="Z38" s="95"/>
      <c r="AA38" s="95"/>
      <c r="AB38" s="95"/>
    </row>
    <row r="39" spans="1:28" ht="60" customHeight="1">
      <c r="A39" s="44">
        <v>27</v>
      </c>
      <c r="B39" s="88" t="s">
        <v>58</v>
      </c>
      <c r="C39" s="48" t="s">
        <v>59</v>
      </c>
      <c r="D39" s="89" t="s">
        <v>162</v>
      </c>
      <c r="E39" s="48" t="s">
        <v>163</v>
      </c>
      <c r="F39" s="44">
        <v>64</v>
      </c>
      <c r="G39" s="48" t="s">
        <v>164</v>
      </c>
      <c r="H39" s="43" t="s">
        <v>165</v>
      </c>
      <c r="I39" s="16"/>
      <c r="J39" s="44" t="s">
        <v>24</v>
      </c>
      <c r="K39" s="48" t="s">
        <v>25</v>
      </c>
      <c r="L39" s="48" t="s">
        <v>166</v>
      </c>
      <c r="M39" s="8"/>
      <c r="N39" s="8"/>
      <c r="O39" s="8"/>
      <c r="P39" s="8"/>
      <c r="Q39" s="8"/>
      <c r="R39" s="93">
        <f t="shared" si="4"/>
        <v>0</v>
      </c>
      <c r="S39" s="93">
        <f t="shared" si="4"/>
        <v>0</v>
      </c>
      <c r="T39" s="93">
        <f t="shared" si="4"/>
        <v>0</v>
      </c>
      <c r="U39" s="93">
        <f t="shared" si="4"/>
        <v>0</v>
      </c>
      <c r="V39" s="93">
        <f t="shared" si="4"/>
        <v>0</v>
      </c>
      <c r="W39" s="44" t="s">
        <v>27</v>
      </c>
      <c r="X39" s="9"/>
      <c r="Y39" s="95"/>
      <c r="Z39" s="95"/>
      <c r="AA39" s="95"/>
      <c r="AB39" s="95"/>
    </row>
  </sheetData>
  <sheetProtection algorithmName="SHA-512" hashValue="AF7udlXFGohJXBDblyejxvH9wh50fK+HWqf/2WrzPA4Zl7hOb20su5od7fzbIEIj+vcX16X5NaMON5f5Ihe+cg==" saltValue="gCJb936V7Ph5S1Zae5Ro5g==" spinCount="100000" sheet="1" formatCells="0" formatColumns="0" formatRows="0"/>
  <mergeCells count="178">
    <mergeCell ref="X1:X2"/>
    <mergeCell ref="F27:F28"/>
    <mergeCell ref="S5:S6"/>
    <mergeCell ref="U5:U6"/>
    <mergeCell ref="W9:W10"/>
    <mergeCell ref="H27:H28"/>
    <mergeCell ref="R18:R19"/>
    <mergeCell ref="I13:I14"/>
    <mergeCell ref="K13:K14"/>
    <mergeCell ref="K7:K8"/>
    <mergeCell ref="K24:K25"/>
    <mergeCell ref="T24:T25"/>
    <mergeCell ref="T18:T19"/>
    <mergeCell ref="V18:V19"/>
    <mergeCell ref="W24:W25"/>
    <mergeCell ref="B1:B2"/>
    <mergeCell ref="H7:H8"/>
    <mergeCell ref="J7:J8"/>
    <mergeCell ref="A18:A19"/>
    <mergeCell ref="L1:L2"/>
    <mergeCell ref="B24:B25"/>
    <mergeCell ref="I5:I6"/>
    <mergeCell ref="D24:D25"/>
    <mergeCell ref="A5:A6"/>
    <mergeCell ref="B5:B6"/>
    <mergeCell ref="D5:D6"/>
    <mergeCell ref="C13:C14"/>
    <mergeCell ref="C24:C25"/>
    <mergeCell ref="E24:E25"/>
    <mergeCell ref="A1:A2"/>
    <mergeCell ref="A24:A25"/>
    <mergeCell ref="V13:V14"/>
    <mergeCell ref="X13:X14"/>
    <mergeCell ref="X7:X8"/>
    <mergeCell ref="T29:T32"/>
    <mergeCell ref="V29:V32"/>
    <mergeCell ref="R24:R25"/>
    <mergeCell ref="E34:E35"/>
    <mergeCell ref="G34:G35"/>
    <mergeCell ref="C9:C10"/>
    <mergeCell ref="E9:E10"/>
    <mergeCell ref="S9:S10"/>
    <mergeCell ref="U18:U19"/>
    <mergeCell ref="G29:G32"/>
    <mergeCell ref="I29:I32"/>
    <mergeCell ref="A34:A35"/>
    <mergeCell ref="C7:C8"/>
    <mergeCell ref="X9:X10"/>
    <mergeCell ref="E7:E8"/>
    <mergeCell ref="A29:A32"/>
    <mergeCell ref="G1:G2"/>
    <mergeCell ref="I1:I2"/>
    <mergeCell ref="T34:T35"/>
    <mergeCell ref="S29:S32"/>
    <mergeCell ref="U29:U32"/>
    <mergeCell ref="H18:H19"/>
    <mergeCell ref="R9:R10"/>
    <mergeCell ref="H5:H6"/>
    <mergeCell ref="R5:R6"/>
    <mergeCell ref="J5:J6"/>
    <mergeCell ref="E18:E19"/>
    <mergeCell ref="D29:D32"/>
    <mergeCell ref="F29:F32"/>
    <mergeCell ref="T5:T6"/>
    <mergeCell ref="X27:X28"/>
    <mergeCell ref="W34:W35"/>
    <mergeCell ref="V5:V6"/>
    <mergeCell ref="I27:I28"/>
    <mergeCell ref="K18:K19"/>
    <mergeCell ref="S18:S19"/>
    <mergeCell ref="X24:X25"/>
    <mergeCell ref="R27:R28"/>
    <mergeCell ref="S13:S14"/>
    <mergeCell ref="J24:J25"/>
    <mergeCell ref="U13:U14"/>
    <mergeCell ref="B34:B35"/>
    <mergeCell ref="G24:G25"/>
    <mergeCell ref="X18:X19"/>
    <mergeCell ref="I24:I25"/>
    <mergeCell ref="J18:J19"/>
    <mergeCell ref="J13:J14"/>
    <mergeCell ref="U27:U28"/>
    <mergeCell ref="X34:X35"/>
    <mergeCell ref="S7:S8"/>
    <mergeCell ref="U7:U8"/>
    <mergeCell ref="J27:J28"/>
    <mergeCell ref="W1:W2"/>
    <mergeCell ref="T9:T10"/>
    <mergeCell ref="W7:W8"/>
    <mergeCell ref="V9:V10"/>
    <mergeCell ref="V27:V28"/>
    <mergeCell ref="V24:V25"/>
    <mergeCell ref="X5:X6"/>
    <mergeCell ref="S24:S25"/>
    <mergeCell ref="U24:U25"/>
    <mergeCell ref="W18:W19"/>
    <mergeCell ref="X29:X32"/>
    <mergeCell ref="K34:K35"/>
    <mergeCell ref="U9:U10"/>
    <mergeCell ref="R29:R32"/>
    <mergeCell ref="J29:J32"/>
    <mergeCell ref="K5:K6"/>
    <mergeCell ref="W5:W6"/>
    <mergeCell ref="U34:U35"/>
    <mergeCell ref="R7:R8"/>
    <mergeCell ref="S27:S28"/>
    <mergeCell ref="W27:W28"/>
    <mergeCell ref="H24:H25"/>
    <mergeCell ref="T27:T28"/>
    <mergeCell ref="K9:K10"/>
    <mergeCell ref="W13:W14"/>
    <mergeCell ref="D34:D35"/>
    <mergeCell ref="F7:F8"/>
    <mergeCell ref="W29:W32"/>
    <mergeCell ref="F34:F35"/>
    <mergeCell ref="D27:D28"/>
    <mergeCell ref="E13:E14"/>
    <mergeCell ref="G13:G14"/>
    <mergeCell ref="J34:J35"/>
    <mergeCell ref="G7:G8"/>
    <mergeCell ref="I7:I8"/>
    <mergeCell ref="E29:E32"/>
    <mergeCell ref="E27:E28"/>
    <mergeCell ref="D9:D10"/>
    <mergeCell ref="F9:F10"/>
    <mergeCell ref="I34:I35"/>
    <mergeCell ref="G9:G10"/>
    <mergeCell ref="I9:I10"/>
    <mergeCell ref="G27:G28"/>
    <mergeCell ref="H29:H32"/>
    <mergeCell ref="V34:V35"/>
    <mergeCell ref="K27:K28"/>
    <mergeCell ref="B13:B14"/>
    <mergeCell ref="D13:D14"/>
    <mergeCell ref="D7:D8"/>
    <mergeCell ref="B29:B32"/>
    <mergeCell ref="S34:S35"/>
    <mergeCell ref="G18:G19"/>
    <mergeCell ref="G5:G6"/>
    <mergeCell ref="F13:F14"/>
    <mergeCell ref="H13:H14"/>
    <mergeCell ref="D18:D19"/>
    <mergeCell ref="T13:T14"/>
    <mergeCell ref="C27:C28"/>
    <mergeCell ref="T7:T8"/>
    <mergeCell ref="V7:V8"/>
    <mergeCell ref="B27:B28"/>
    <mergeCell ref="C29:C32"/>
    <mergeCell ref="F5:F6"/>
    <mergeCell ref="C34:C35"/>
    <mergeCell ref="B7:B8"/>
    <mergeCell ref="C18:C19"/>
    <mergeCell ref="F24:F25"/>
    <mergeCell ref="C5:C6"/>
    <mergeCell ref="H9:H10"/>
    <mergeCell ref="R13:R14"/>
    <mergeCell ref="J9:J10"/>
    <mergeCell ref="A7:A8"/>
    <mergeCell ref="C1:C2"/>
    <mergeCell ref="E1:E2"/>
    <mergeCell ref="M1:Q1"/>
    <mergeCell ref="H34:H35"/>
    <mergeCell ref="F18:F19"/>
    <mergeCell ref="A27:A28"/>
    <mergeCell ref="I18:I19"/>
    <mergeCell ref="H1:H2"/>
    <mergeCell ref="J1:J2"/>
    <mergeCell ref="R1:V1"/>
    <mergeCell ref="K1:K2"/>
    <mergeCell ref="A9:A10"/>
    <mergeCell ref="D1:D2"/>
    <mergeCell ref="F1:F2"/>
    <mergeCell ref="E5:E6"/>
    <mergeCell ref="B18:B19"/>
    <mergeCell ref="R34:R35"/>
    <mergeCell ref="K29:K32"/>
    <mergeCell ref="B9:B10"/>
    <mergeCell ref="A13:A1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F10" sqref="F10"/>
    </sheetView>
  </sheetViews>
  <sheetFormatPr baseColWidth="10" defaultRowHeight="14.4"/>
  <cols>
    <col min="1" max="1" width="32.44140625" customWidth="1"/>
    <col min="2" max="2" width="15.33203125" customWidth="1"/>
    <col min="3" max="3" width="14.33203125" customWidth="1"/>
  </cols>
  <sheetData>
    <row r="1" spans="1:4" ht="30" customHeight="1">
      <c r="A1" s="124" t="s">
        <v>167</v>
      </c>
      <c r="B1" s="124" t="s">
        <v>168</v>
      </c>
      <c r="C1" s="124" t="s">
        <v>169</v>
      </c>
      <c r="D1" s="124" t="s">
        <v>170</v>
      </c>
    </row>
    <row r="2" spans="1:4" ht="15.75" customHeight="1">
      <c r="A2" s="123" t="s">
        <v>171</v>
      </c>
      <c r="B2" s="125">
        <v>18</v>
      </c>
      <c r="C2" s="125">
        <v>9</v>
      </c>
      <c r="D2" s="125">
        <f t="shared" ref="D2:D19" si="0">B2+C2</f>
        <v>27</v>
      </c>
    </row>
    <row r="3" spans="1:4" ht="15.75" customHeight="1">
      <c r="A3" s="123" t="s">
        <v>172</v>
      </c>
      <c r="B3" s="125">
        <v>6</v>
      </c>
      <c r="C3" s="125">
        <v>1</v>
      </c>
      <c r="D3" s="125">
        <f t="shared" si="0"/>
        <v>7</v>
      </c>
    </row>
    <row r="4" spans="1:4" ht="15.75" customHeight="1">
      <c r="A4" s="123" t="s">
        <v>173</v>
      </c>
      <c r="B4" s="125">
        <v>3</v>
      </c>
      <c r="C4" s="125">
        <v>5</v>
      </c>
      <c r="D4" s="125">
        <f t="shared" si="0"/>
        <v>8</v>
      </c>
    </row>
    <row r="5" spans="1:4" ht="15.75" customHeight="1">
      <c r="A5" s="123" t="s">
        <v>174</v>
      </c>
      <c r="B5" s="125">
        <v>2</v>
      </c>
      <c r="C5" s="125">
        <v>0</v>
      </c>
      <c r="D5" s="125">
        <f t="shared" si="0"/>
        <v>2</v>
      </c>
    </row>
    <row r="6" spans="1:4" ht="15.75" customHeight="1">
      <c r="A6" s="123" t="s">
        <v>175</v>
      </c>
      <c r="B6" s="125">
        <v>4</v>
      </c>
      <c r="C6" s="125">
        <v>0</v>
      </c>
      <c r="D6" s="125">
        <f t="shared" si="0"/>
        <v>4</v>
      </c>
    </row>
    <row r="7" spans="1:4" ht="15.75" customHeight="1">
      <c r="A7" s="123" t="s">
        <v>176</v>
      </c>
      <c r="B7" s="125">
        <v>6</v>
      </c>
      <c r="C7" s="125">
        <v>0</v>
      </c>
      <c r="D7" s="125">
        <f t="shared" si="0"/>
        <v>6</v>
      </c>
    </row>
    <row r="8" spans="1:4" ht="15.75" customHeight="1">
      <c r="A8" s="123" t="s">
        <v>177</v>
      </c>
      <c r="B8" s="125">
        <v>2</v>
      </c>
      <c r="C8" s="125">
        <v>3</v>
      </c>
      <c r="D8" s="125">
        <f t="shared" si="0"/>
        <v>5</v>
      </c>
    </row>
    <row r="9" spans="1:4" ht="15.75" customHeight="1">
      <c r="A9" s="123" t="s">
        <v>178</v>
      </c>
      <c r="B9" s="125">
        <v>4</v>
      </c>
      <c r="C9" s="125">
        <v>6</v>
      </c>
      <c r="D9" s="125">
        <f t="shared" si="0"/>
        <v>10</v>
      </c>
    </row>
    <row r="10" spans="1:4" ht="15.75" customHeight="1">
      <c r="A10" s="123" t="s">
        <v>179</v>
      </c>
      <c r="B10" s="125">
        <v>0</v>
      </c>
      <c r="C10" s="125">
        <v>3</v>
      </c>
      <c r="D10" s="125">
        <f t="shared" si="0"/>
        <v>3</v>
      </c>
    </row>
    <row r="11" spans="1:4" ht="15.75" customHeight="1">
      <c r="A11" s="123" t="s">
        <v>180</v>
      </c>
      <c r="B11" s="125">
        <v>2</v>
      </c>
      <c r="C11" s="125">
        <v>0</v>
      </c>
      <c r="D11" s="125">
        <f t="shared" si="0"/>
        <v>2</v>
      </c>
    </row>
    <row r="12" spans="1:4" ht="15.75" customHeight="1">
      <c r="A12" s="123" t="s">
        <v>181</v>
      </c>
      <c r="B12" s="125">
        <v>2</v>
      </c>
      <c r="C12" s="125">
        <v>0</v>
      </c>
      <c r="D12" s="125">
        <f t="shared" si="0"/>
        <v>2</v>
      </c>
    </row>
    <row r="13" spans="1:4" ht="15.75" customHeight="1">
      <c r="A13" s="123" t="s">
        <v>182</v>
      </c>
      <c r="B13" s="125">
        <v>8</v>
      </c>
      <c r="C13" s="125">
        <v>0</v>
      </c>
      <c r="D13" s="125">
        <f t="shared" si="0"/>
        <v>8</v>
      </c>
    </row>
    <row r="14" spans="1:4" ht="15.75" customHeight="1">
      <c r="A14" s="123" t="s">
        <v>183</v>
      </c>
      <c r="B14" s="125">
        <v>1</v>
      </c>
      <c r="C14" s="125">
        <v>0</v>
      </c>
      <c r="D14" s="125">
        <f t="shared" si="0"/>
        <v>1</v>
      </c>
    </row>
    <row r="15" spans="1:4" ht="15.75" customHeight="1">
      <c r="A15" s="123" t="s">
        <v>184</v>
      </c>
      <c r="B15" s="125">
        <v>6</v>
      </c>
      <c r="C15" s="125">
        <v>2</v>
      </c>
      <c r="D15" s="125">
        <f t="shared" si="0"/>
        <v>8</v>
      </c>
    </row>
    <row r="16" spans="1:4" ht="15.75" customHeight="1">
      <c r="A16" s="123" t="s">
        <v>185</v>
      </c>
      <c r="B16" s="125">
        <v>5</v>
      </c>
      <c r="C16" s="125">
        <v>2</v>
      </c>
      <c r="D16" s="125">
        <f t="shared" si="0"/>
        <v>7</v>
      </c>
    </row>
    <row r="17" spans="1:4" ht="15.75" customHeight="1">
      <c r="A17" s="123" t="s">
        <v>186</v>
      </c>
      <c r="B17" s="125">
        <v>9</v>
      </c>
      <c r="C17" s="125">
        <v>1</v>
      </c>
      <c r="D17" s="125">
        <f t="shared" si="0"/>
        <v>10</v>
      </c>
    </row>
    <row r="18" spans="1:4" ht="15.75" customHeight="1">
      <c r="A18" s="123" t="s">
        <v>187</v>
      </c>
      <c r="B18" s="125">
        <v>1</v>
      </c>
      <c r="C18" s="125">
        <v>0</v>
      </c>
      <c r="D18" s="125">
        <f t="shared" si="0"/>
        <v>1</v>
      </c>
    </row>
    <row r="19" spans="1:4" ht="15.75" customHeight="1">
      <c r="A19" s="123" t="s">
        <v>188</v>
      </c>
      <c r="B19" s="125">
        <v>12</v>
      </c>
      <c r="C19" s="125">
        <v>0</v>
      </c>
      <c r="D19" s="125">
        <f t="shared" si="0"/>
        <v>12</v>
      </c>
    </row>
    <row r="20" spans="1:4" ht="15.75" customHeight="1">
      <c r="A20" s="123"/>
      <c r="B20" s="125">
        <f>SUM(B2:B19)</f>
        <v>91</v>
      </c>
      <c r="C20" s="125">
        <f>SUM(C2:C19)</f>
        <v>32</v>
      </c>
      <c r="D20" s="125">
        <f>SUM(D2:D19)</f>
        <v>123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2"/>
  <sheetViews>
    <sheetView topLeftCell="E6" zoomScale="85" zoomScaleNormal="85" workbookViewId="0">
      <selection activeCell="R1" sqref="R1:V1"/>
    </sheetView>
  </sheetViews>
  <sheetFormatPr baseColWidth="10" defaultRowHeight="14.4"/>
  <cols>
    <col min="3" max="3" width="40" customWidth="1"/>
    <col min="5" max="5" width="40" customWidth="1"/>
    <col min="7" max="7" width="40" customWidth="1"/>
    <col min="8" max="8" width="26.5546875" customWidth="1"/>
    <col min="9" max="9" width="45.6640625" customWidth="1"/>
    <col min="11" max="12" width="27.5546875" customWidth="1"/>
    <col min="13" max="22" width="11.44140625" style="1" customWidth="1"/>
    <col min="23" max="23" width="13.6640625" customWidth="1"/>
    <col min="24" max="24" width="29" customWidth="1"/>
  </cols>
  <sheetData>
    <row r="1" spans="1:24" s="31" customFormat="1" ht="18.75" customHeight="1">
      <c r="A1" s="153" t="s">
        <v>0</v>
      </c>
      <c r="B1" s="153" t="s">
        <v>1</v>
      </c>
      <c r="C1" s="153" t="s">
        <v>2</v>
      </c>
      <c r="D1" s="153" t="s">
        <v>3</v>
      </c>
      <c r="E1" s="153" t="s">
        <v>4</v>
      </c>
      <c r="F1" s="153" t="s">
        <v>5</v>
      </c>
      <c r="G1" s="153" t="s">
        <v>6</v>
      </c>
      <c r="H1" s="190" t="s">
        <v>7</v>
      </c>
      <c r="I1" s="158" t="s">
        <v>8</v>
      </c>
      <c r="J1" s="153" t="s">
        <v>9</v>
      </c>
      <c r="K1" s="151" t="s">
        <v>10</v>
      </c>
      <c r="L1" s="151" t="s">
        <v>11</v>
      </c>
      <c r="M1" s="148" t="s">
        <v>12</v>
      </c>
      <c r="N1" s="149"/>
      <c r="O1" s="149"/>
      <c r="P1" s="149"/>
      <c r="Q1" s="150"/>
      <c r="R1" s="136" t="s">
        <v>13</v>
      </c>
      <c r="S1" s="137"/>
      <c r="T1" s="137"/>
      <c r="U1" s="137"/>
      <c r="V1" s="138"/>
      <c r="W1" s="151" t="s">
        <v>14</v>
      </c>
      <c r="X1" s="157" t="s">
        <v>15</v>
      </c>
    </row>
    <row r="2" spans="1:24" s="31" customFormat="1" ht="24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2"/>
    </row>
    <row r="3" spans="1:24" ht="120" customHeight="1">
      <c r="A3" s="44">
        <v>1</v>
      </c>
      <c r="B3" s="45" t="s">
        <v>189</v>
      </c>
      <c r="C3" s="46" t="s">
        <v>190</v>
      </c>
      <c r="D3" s="47" t="s">
        <v>191</v>
      </c>
      <c r="E3" s="46" t="s">
        <v>192</v>
      </c>
      <c r="F3" s="44">
        <v>6</v>
      </c>
      <c r="G3" s="47" t="s">
        <v>193</v>
      </c>
      <c r="H3" s="116" t="s">
        <v>194</v>
      </c>
      <c r="I3" s="17"/>
      <c r="J3" s="44" t="s">
        <v>24</v>
      </c>
      <c r="K3" s="47" t="s">
        <v>25</v>
      </c>
      <c r="L3" s="47" t="s">
        <v>195</v>
      </c>
      <c r="M3" s="25"/>
      <c r="N3" s="25"/>
      <c r="O3" s="25"/>
      <c r="P3" s="25"/>
      <c r="Q3" s="25"/>
      <c r="R3" s="52">
        <f t="shared" ref="R3:V8" si="0">M3</f>
        <v>0</v>
      </c>
      <c r="S3" s="52">
        <f t="shared" si="0"/>
        <v>0</v>
      </c>
      <c r="T3" s="52">
        <f t="shared" si="0"/>
        <v>0</v>
      </c>
      <c r="U3" s="52">
        <f t="shared" si="0"/>
        <v>0</v>
      </c>
      <c r="V3" s="52">
        <f t="shared" si="0"/>
        <v>0</v>
      </c>
      <c r="W3" s="44" t="s">
        <v>27</v>
      </c>
      <c r="X3" s="26"/>
    </row>
    <row r="4" spans="1:24" ht="120" customHeight="1">
      <c r="A4" s="44">
        <v>2</v>
      </c>
      <c r="B4" s="45" t="s">
        <v>189</v>
      </c>
      <c r="C4" s="46" t="s">
        <v>190</v>
      </c>
      <c r="D4" s="47" t="s">
        <v>191</v>
      </c>
      <c r="E4" s="46" t="s">
        <v>192</v>
      </c>
      <c r="F4" s="44">
        <v>16</v>
      </c>
      <c r="G4" s="47" t="s">
        <v>196</v>
      </c>
      <c r="H4" s="117" t="s">
        <v>197</v>
      </c>
      <c r="I4" s="17"/>
      <c r="J4" s="44" t="s">
        <v>24</v>
      </c>
      <c r="K4" s="47" t="s">
        <v>25</v>
      </c>
      <c r="L4" s="46" t="s">
        <v>198</v>
      </c>
      <c r="M4" s="25"/>
      <c r="N4" s="25"/>
      <c r="O4" s="25"/>
      <c r="P4" s="25"/>
      <c r="Q4" s="25"/>
      <c r="R4" s="52">
        <f t="shared" si="0"/>
        <v>0</v>
      </c>
      <c r="S4" s="52">
        <f t="shared" si="0"/>
        <v>0</v>
      </c>
      <c r="T4" s="52">
        <f t="shared" si="0"/>
        <v>0</v>
      </c>
      <c r="U4" s="52">
        <f t="shared" si="0"/>
        <v>0</v>
      </c>
      <c r="V4" s="52">
        <f t="shared" si="0"/>
        <v>0</v>
      </c>
      <c r="W4" s="44" t="s">
        <v>27</v>
      </c>
      <c r="X4" s="26"/>
    </row>
    <row r="5" spans="1:24" ht="120" customHeight="1">
      <c r="A5" s="44">
        <v>3</v>
      </c>
      <c r="B5" s="45" t="s">
        <v>189</v>
      </c>
      <c r="C5" s="46" t="s">
        <v>190</v>
      </c>
      <c r="D5" s="47" t="s">
        <v>199</v>
      </c>
      <c r="E5" s="46" t="s">
        <v>200</v>
      </c>
      <c r="F5" s="44">
        <v>12</v>
      </c>
      <c r="G5" s="47" t="s">
        <v>201</v>
      </c>
      <c r="H5" s="116" t="s">
        <v>202</v>
      </c>
      <c r="I5" s="17"/>
      <c r="J5" s="44" t="s">
        <v>24</v>
      </c>
      <c r="K5" s="47" t="s">
        <v>25</v>
      </c>
      <c r="L5" s="47" t="s">
        <v>203</v>
      </c>
      <c r="M5" s="25"/>
      <c r="N5" s="25"/>
      <c r="O5" s="25"/>
      <c r="P5" s="25"/>
      <c r="Q5" s="25"/>
      <c r="R5" s="52">
        <f t="shared" si="0"/>
        <v>0</v>
      </c>
      <c r="S5" s="52">
        <f t="shared" si="0"/>
        <v>0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27</v>
      </c>
      <c r="X5" s="26"/>
    </row>
    <row r="6" spans="1:24" ht="120" customHeight="1">
      <c r="A6" s="44">
        <v>4</v>
      </c>
      <c r="B6" s="45" t="s">
        <v>189</v>
      </c>
      <c r="C6" s="46" t="s">
        <v>190</v>
      </c>
      <c r="D6" s="47" t="s">
        <v>199</v>
      </c>
      <c r="E6" s="46" t="s">
        <v>200</v>
      </c>
      <c r="F6" s="44">
        <v>15</v>
      </c>
      <c r="G6" s="47" t="s">
        <v>204</v>
      </c>
      <c r="H6" s="116" t="s">
        <v>205</v>
      </c>
      <c r="I6" s="17"/>
      <c r="J6" s="44" t="s">
        <v>24</v>
      </c>
      <c r="K6" s="47" t="s">
        <v>25</v>
      </c>
      <c r="L6" s="47" t="s">
        <v>206</v>
      </c>
      <c r="M6" s="25"/>
      <c r="N6" s="25"/>
      <c r="O6" s="25"/>
      <c r="P6" s="25"/>
      <c r="Q6" s="25"/>
      <c r="R6" s="52">
        <f t="shared" si="0"/>
        <v>0</v>
      </c>
      <c r="S6" s="52">
        <f t="shared" si="0"/>
        <v>0</v>
      </c>
      <c r="T6" s="52">
        <f t="shared" si="0"/>
        <v>0</v>
      </c>
      <c r="U6" s="52">
        <f t="shared" si="0"/>
        <v>0</v>
      </c>
      <c r="V6" s="52">
        <f t="shared" si="0"/>
        <v>0</v>
      </c>
      <c r="W6" s="44" t="s">
        <v>27</v>
      </c>
      <c r="X6" s="26"/>
    </row>
    <row r="7" spans="1:24" ht="120" customHeight="1">
      <c r="A7" s="44">
        <v>5</v>
      </c>
      <c r="B7" s="45" t="s">
        <v>189</v>
      </c>
      <c r="C7" s="46" t="s">
        <v>190</v>
      </c>
      <c r="D7" s="47" t="s">
        <v>199</v>
      </c>
      <c r="E7" s="46" t="s">
        <v>200</v>
      </c>
      <c r="F7" s="44">
        <v>18</v>
      </c>
      <c r="G7" s="47" t="s">
        <v>207</v>
      </c>
      <c r="H7" s="116" t="s">
        <v>208</v>
      </c>
      <c r="I7" s="17"/>
      <c r="J7" s="44" t="s">
        <v>24</v>
      </c>
      <c r="K7" s="47" t="s">
        <v>25</v>
      </c>
      <c r="L7" s="47" t="s">
        <v>209</v>
      </c>
      <c r="M7" s="25"/>
      <c r="N7" s="25"/>
      <c r="O7" s="25"/>
      <c r="P7" s="25"/>
      <c r="Q7" s="25"/>
      <c r="R7" s="52">
        <f t="shared" si="0"/>
        <v>0</v>
      </c>
      <c r="S7" s="52">
        <f t="shared" si="0"/>
        <v>0</v>
      </c>
      <c r="T7" s="52">
        <f t="shared" si="0"/>
        <v>0</v>
      </c>
      <c r="U7" s="52">
        <f t="shared" si="0"/>
        <v>0</v>
      </c>
      <c r="V7" s="52">
        <f t="shared" si="0"/>
        <v>0</v>
      </c>
      <c r="W7" s="44" t="s">
        <v>27</v>
      </c>
      <c r="X7" s="26"/>
    </row>
    <row r="8" spans="1:24" ht="120" customHeight="1">
      <c r="A8" s="44">
        <v>6</v>
      </c>
      <c r="B8" s="45" t="s">
        <v>189</v>
      </c>
      <c r="C8" s="46" t="s">
        <v>190</v>
      </c>
      <c r="D8" s="47" t="s">
        <v>199</v>
      </c>
      <c r="E8" s="46" t="s">
        <v>200</v>
      </c>
      <c r="F8" s="44">
        <v>19</v>
      </c>
      <c r="G8" s="47" t="s">
        <v>210</v>
      </c>
      <c r="H8" s="116" t="s">
        <v>211</v>
      </c>
      <c r="I8" s="17"/>
      <c r="J8" s="44" t="s">
        <v>24</v>
      </c>
      <c r="K8" s="47" t="s">
        <v>25</v>
      </c>
      <c r="L8" s="47" t="s">
        <v>212</v>
      </c>
      <c r="M8" s="25"/>
      <c r="N8" s="25"/>
      <c r="O8" s="25"/>
      <c r="P8" s="25"/>
      <c r="Q8" s="25"/>
      <c r="R8" s="52">
        <f t="shared" si="0"/>
        <v>0</v>
      </c>
      <c r="S8" s="52">
        <f t="shared" si="0"/>
        <v>0</v>
      </c>
      <c r="T8" s="52">
        <f t="shared" si="0"/>
        <v>0</v>
      </c>
      <c r="U8" s="52">
        <f t="shared" si="0"/>
        <v>0</v>
      </c>
      <c r="V8" s="52">
        <f t="shared" si="0"/>
        <v>0</v>
      </c>
      <c r="W8" s="44" t="s">
        <v>27</v>
      </c>
      <c r="X8" s="26"/>
    </row>
    <row r="9" spans="1:24" ht="120" customHeight="1">
      <c r="A9" s="143">
        <v>7</v>
      </c>
      <c r="B9" s="143" t="s">
        <v>189</v>
      </c>
      <c r="C9" s="189" t="s">
        <v>190</v>
      </c>
      <c r="D9" s="152" t="s">
        <v>199</v>
      </c>
      <c r="E9" s="189" t="s">
        <v>200</v>
      </c>
      <c r="F9" s="143">
        <v>20</v>
      </c>
      <c r="G9" s="152" t="s">
        <v>213</v>
      </c>
      <c r="H9" s="145" t="s">
        <v>214</v>
      </c>
      <c r="I9" s="145"/>
      <c r="J9" s="155" t="s">
        <v>45</v>
      </c>
      <c r="K9" s="152" t="s">
        <v>215</v>
      </c>
      <c r="L9" s="47" t="s">
        <v>216</v>
      </c>
      <c r="M9" s="25"/>
      <c r="N9" s="25"/>
      <c r="O9" s="25"/>
      <c r="P9" s="25"/>
      <c r="Q9" s="25"/>
      <c r="R9" s="188" t="str">
        <f>IF(M10,M9/M10*100,"0")</f>
        <v>0</v>
      </c>
      <c r="S9" s="188" t="str">
        <f>IF(N10,N9/N10*100,"0")</f>
        <v>0</v>
      </c>
      <c r="T9" s="188" t="str">
        <f>IF(O10,O9/O10*100,"0")</f>
        <v>0</v>
      </c>
      <c r="U9" s="188" t="str">
        <f>IF(P10,P9/P10*100,"0")</f>
        <v>0</v>
      </c>
      <c r="V9" s="188" t="str">
        <f>IF(Q10,Q9/Q10*100,"0")</f>
        <v>0</v>
      </c>
      <c r="W9" s="143" t="s">
        <v>27</v>
      </c>
      <c r="X9" s="141"/>
    </row>
    <row r="10" spans="1:24" ht="120" customHeight="1">
      <c r="A10" s="140"/>
      <c r="B10" s="140"/>
      <c r="C10" s="140"/>
      <c r="D10" s="140"/>
      <c r="E10" s="140"/>
      <c r="F10" s="140"/>
      <c r="G10" s="140"/>
      <c r="H10" s="142"/>
      <c r="I10" s="142"/>
      <c r="J10" s="140"/>
      <c r="K10" s="140"/>
      <c r="L10" s="47" t="s">
        <v>217</v>
      </c>
      <c r="M10" s="25"/>
      <c r="N10" s="25"/>
      <c r="O10" s="25"/>
      <c r="P10" s="25"/>
      <c r="Q10" s="112"/>
      <c r="R10" s="140"/>
      <c r="S10" s="140"/>
      <c r="T10" s="140"/>
      <c r="U10" s="140"/>
      <c r="V10" s="140"/>
      <c r="W10" s="140"/>
      <c r="X10" s="142"/>
    </row>
    <row r="32" spans="5:5">
      <c r="E32" s="27"/>
    </row>
  </sheetData>
  <sheetProtection algorithmName="SHA-512" hashValue="OqnyWEeXAE2UcYwOQ9a5HHo1SxcNjWvJKJe9QxJdtVf5LuKx5ZnadVz+x9ZhhyIAyZwzEyUaaPQ9FVdAyTqfQQ==" saltValue="2G+Aa2LwoGyg9izWB6MxUQ==" spinCount="100000" sheet="1" formatCells="0" formatColumns="0" formatRows="0"/>
  <mergeCells count="34">
    <mergeCell ref="A9:A10"/>
    <mergeCell ref="U9:U10"/>
    <mergeCell ref="D1:D2"/>
    <mergeCell ref="F1:F2"/>
    <mergeCell ref="H1:H2"/>
    <mergeCell ref="J1:J2"/>
    <mergeCell ref="A1:A2"/>
    <mergeCell ref="B1:B2"/>
    <mergeCell ref="L1:L2"/>
    <mergeCell ref="B9:B10"/>
    <mergeCell ref="X1:X2"/>
    <mergeCell ref="D9:D10"/>
    <mergeCell ref="W9:W10"/>
    <mergeCell ref="F9:F10"/>
    <mergeCell ref="X9:X10"/>
    <mergeCell ref="G1:G2"/>
    <mergeCell ref="I1:I2"/>
    <mergeCell ref="R9:R10"/>
    <mergeCell ref="G9:G10"/>
    <mergeCell ref="I9:I10"/>
    <mergeCell ref="K9:K10"/>
    <mergeCell ref="W1:W2"/>
    <mergeCell ref="T9:T10"/>
    <mergeCell ref="C9:C10"/>
    <mergeCell ref="V9:V10"/>
    <mergeCell ref="E9:E10"/>
    <mergeCell ref="S9:S10"/>
    <mergeCell ref="R1:V1"/>
    <mergeCell ref="H9:H10"/>
    <mergeCell ref="J9:J10"/>
    <mergeCell ref="C1:C2"/>
    <mergeCell ref="E1:E2"/>
    <mergeCell ref="K1:K2"/>
    <mergeCell ref="M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38"/>
  <sheetViews>
    <sheetView topLeftCell="E1" zoomScale="85" zoomScaleNormal="85" workbookViewId="0">
      <selection activeCell="Q3" sqref="Q3"/>
    </sheetView>
  </sheetViews>
  <sheetFormatPr baseColWidth="10" defaultRowHeight="14.4"/>
  <cols>
    <col min="1" max="1" width="11.5546875" style="1" customWidth="1"/>
    <col min="3" max="3" width="38.6640625" style="22" customWidth="1"/>
    <col min="5" max="5" width="28.88671875" style="22" customWidth="1"/>
    <col min="7" max="7" width="28.88671875" style="22" customWidth="1"/>
    <col min="8" max="8" width="11.44140625" customWidth="1"/>
    <col min="9" max="9" width="45.6640625" customWidth="1"/>
    <col min="11" max="11" width="34.109375" style="22" customWidth="1"/>
    <col min="12" max="12" width="28.88671875" style="31" customWidth="1"/>
    <col min="13" max="22" width="11.44140625" style="1" customWidth="1"/>
    <col min="23" max="23" width="13.44140625" customWidth="1"/>
    <col min="24" max="24" width="33.6640625" customWidth="1"/>
  </cols>
  <sheetData>
    <row r="1" spans="1:32" s="1" customFormat="1" ht="18.75" customHeight="1">
      <c r="A1" s="153" t="s">
        <v>0</v>
      </c>
      <c r="B1" s="153" t="s">
        <v>1</v>
      </c>
      <c r="C1" s="153" t="s">
        <v>2</v>
      </c>
      <c r="D1" s="153" t="s">
        <v>3</v>
      </c>
      <c r="E1" s="153" t="s">
        <v>4</v>
      </c>
      <c r="F1" s="153" t="s">
        <v>5</v>
      </c>
      <c r="G1" s="153" t="s">
        <v>6</v>
      </c>
      <c r="H1" s="191" t="s">
        <v>7</v>
      </c>
      <c r="I1" s="158" t="s">
        <v>8</v>
      </c>
      <c r="J1" s="153" t="s">
        <v>9</v>
      </c>
      <c r="K1" s="151" t="s">
        <v>10</v>
      </c>
      <c r="L1" s="151" t="s">
        <v>11</v>
      </c>
      <c r="M1" s="148" t="s">
        <v>12</v>
      </c>
      <c r="N1" s="149"/>
      <c r="O1" s="149"/>
      <c r="P1" s="149"/>
      <c r="Q1" s="150"/>
      <c r="R1" s="136" t="s">
        <v>13</v>
      </c>
      <c r="S1" s="137"/>
      <c r="T1" s="137"/>
      <c r="U1" s="137"/>
      <c r="V1" s="138"/>
      <c r="W1" s="151" t="s">
        <v>14</v>
      </c>
      <c r="X1" s="193" t="s">
        <v>15</v>
      </c>
    </row>
    <row r="2" spans="1:32" s="1" customFormat="1" ht="24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2"/>
    </row>
    <row r="3" spans="1:32" ht="165" customHeight="1">
      <c r="A3" s="44">
        <v>1</v>
      </c>
      <c r="B3" s="45" t="s">
        <v>218</v>
      </c>
      <c r="C3" s="48" t="s">
        <v>219</v>
      </c>
      <c r="D3" s="47" t="s">
        <v>220</v>
      </c>
      <c r="E3" s="48" t="s">
        <v>221</v>
      </c>
      <c r="F3" s="44">
        <v>19</v>
      </c>
      <c r="G3" s="51" t="s">
        <v>222</v>
      </c>
      <c r="H3" s="115" t="s">
        <v>223</v>
      </c>
      <c r="I3" s="16" t="s">
        <v>224</v>
      </c>
      <c r="J3" s="44" t="s">
        <v>24</v>
      </c>
      <c r="K3" s="47" t="s">
        <v>25</v>
      </c>
      <c r="L3" s="47" t="s">
        <v>225</v>
      </c>
      <c r="M3" s="25">
        <v>3</v>
      </c>
      <c r="N3" s="25">
        <v>3</v>
      </c>
      <c r="O3" s="25">
        <v>3</v>
      </c>
      <c r="P3" s="25">
        <v>3</v>
      </c>
      <c r="Q3" s="25">
        <v>3</v>
      </c>
      <c r="R3" s="52">
        <f>IF(M3="","",M3)</f>
        <v>3</v>
      </c>
      <c r="S3" s="52">
        <f>IF(N3="","",N3)</f>
        <v>3</v>
      </c>
      <c r="T3" s="52">
        <f>IF(O3="","",O3)</f>
        <v>3</v>
      </c>
      <c r="U3" s="52">
        <f>IF(P3="","",P3)</f>
        <v>3</v>
      </c>
      <c r="V3" s="52">
        <f>IF(Q3="","",Q3)</f>
        <v>3</v>
      </c>
      <c r="W3" s="44" t="s">
        <v>27</v>
      </c>
      <c r="X3" s="26" t="s">
        <v>28</v>
      </c>
    </row>
    <row r="4" spans="1:32" ht="75" customHeight="1">
      <c r="A4" s="143">
        <v>2</v>
      </c>
      <c r="B4" s="143" t="s">
        <v>218</v>
      </c>
      <c r="C4" s="162" t="s">
        <v>219</v>
      </c>
      <c r="D4" s="152" t="s">
        <v>220</v>
      </c>
      <c r="E4" s="162" t="s">
        <v>221</v>
      </c>
      <c r="F4" s="143">
        <v>20</v>
      </c>
      <c r="G4" s="162" t="s">
        <v>226</v>
      </c>
      <c r="H4" s="192" t="s">
        <v>227</v>
      </c>
      <c r="I4" s="161"/>
      <c r="J4" s="155" t="s">
        <v>45</v>
      </c>
      <c r="K4" s="162" t="s">
        <v>228</v>
      </c>
      <c r="L4" s="47" t="s">
        <v>229</v>
      </c>
      <c r="M4" s="25"/>
      <c r="N4" s="25"/>
      <c r="O4" s="25"/>
      <c r="P4" s="25"/>
      <c r="Q4" s="25"/>
      <c r="R4" s="139" t="str">
        <f>IF(M5,M4/M5*100,"0")</f>
        <v>0</v>
      </c>
      <c r="S4" s="139" t="str">
        <f>IF(N5,N4/N5*100,"0")</f>
        <v>0</v>
      </c>
      <c r="T4" s="139" t="str">
        <f>IF(O5,O4/O5*100,"0")</f>
        <v>0</v>
      </c>
      <c r="U4" s="139" t="str">
        <f>IF(P5,P4/P5*100,"0")</f>
        <v>0</v>
      </c>
      <c r="V4" s="139" t="str">
        <f>IF(Q5,Q4/Q5*100,"0")</f>
        <v>0</v>
      </c>
      <c r="W4" s="143" t="s">
        <v>27</v>
      </c>
      <c r="X4" s="141"/>
    </row>
    <row r="5" spans="1:32" ht="75" customHeight="1">
      <c r="A5" s="140"/>
      <c r="B5" s="140"/>
      <c r="C5" s="140"/>
      <c r="D5" s="140"/>
      <c r="E5" s="140"/>
      <c r="F5" s="140"/>
      <c r="G5" s="140"/>
      <c r="H5" s="142"/>
      <c r="I5" s="142"/>
      <c r="J5" s="140"/>
      <c r="K5" s="140"/>
      <c r="L5" s="47" t="s">
        <v>230</v>
      </c>
      <c r="M5" s="25"/>
      <c r="N5" s="25"/>
      <c r="O5" s="25"/>
      <c r="P5" s="25"/>
      <c r="Q5" s="25"/>
      <c r="R5" s="140"/>
      <c r="S5" s="140"/>
      <c r="T5" s="140"/>
      <c r="U5" s="140"/>
      <c r="V5" s="140"/>
      <c r="W5" s="140"/>
      <c r="X5" s="142"/>
    </row>
    <row r="6" spans="1:32" ht="75" customHeight="1">
      <c r="A6" s="143">
        <v>3</v>
      </c>
      <c r="B6" s="143" t="s">
        <v>218</v>
      </c>
      <c r="C6" s="162" t="s">
        <v>219</v>
      </c>
      <c r="D6" s="152" t="s">
        <v>220</v>
      </c>
      <c r="E6" s="162" t="s">
        <v>221</v>
      </c>
      <c r="F6" s="143">
        <v>21</v>
      </c>
      <c r="G6" s="162" t="s">
        <v>231</v>
      </c>
      <c r="H6" s="145" t="s">
        <v>232</v>
      </c>
      <c r="I6" s="161"/>
      <c r="J6" s="155" t="s">
        <v>45</v>
      </c>
      <c r="K6" s="162" t="s">
        <v>233</v>
      </c>
      <c r="L6" s="47" t="s">
        <v>234</v>
      </c>
      <c r="M6" s="25"/>
      <c r="N6" s="25"/>
      <c r="O6" s="25"/>
      <c r="P6" s="25"/>
      <c r="Q6" s="25"/>
      <c r="R6" s="139" t="str">
        <f>IF(M7,M6/M7*100,"0")</f>
        <v>0</v>
      </c>
      <c r="S6" s="139" t="str">
        <f>IF(N7,N6/N7*100,"0")</f>
        <v>0</v>
      </c>
      <c r="T6" s="139" t="str">
        <f>IF(O7,O6/O7*100,"0")</f>
        <v>0</v>
      </c>
      <c r="U6" s="139" t="str">
        <f>IF(P7,P6/P7*100,"0")</f>
        <v>0</v>
      </c>
      <c r="V6" s="139" t="str">
        <f>IF(Q7,Q6/Q7*100,"0")</f>
        <v>0</v>
      </c>
      <c r="W6" s="143" t="s">
        <v>27</v>
      </c>
      <c r="X6" s="141"/>
    </row>
    <row r="7" spans="1:32" ht="75" customHeight="1">
      <c r="A7" s="140"/>
      <c r="B7" s="140"/>
      <c r="C7" s="140"/>
      <c r="D7" s="140"/>
      <c r="E7" s="140"/>
      <c r="F7" s="140"/>
      <c r="G7" s="140"/>
      <c r="H7" s="142"/>
      <c r="I7" s="142"/>
      <c r="J7" s="140"/>
      <c r="K7" s="140"/>
      <c r="L7" s="98" t="s">
        <v>235</v>
      </c>
      <c r="M7" s="21"/>
      <c r="N7" s="21"/>
      <c r="O7" s="21"/>
      <c r="P7" s="21"/>
      <c r="Q7" s="21"/>
      <c r="R7" s="140"/>
      <c r="S7" s="140"/>
      <c r="T7" s="140"/>
      <c r="U7" s="140"/>
      <c r="V7" s="140"/>
      <c r="W7" s="140"/>
      <c r="X7" s="142"/>
    </row>
    <row r="8" spans="1:32" ht="75" customHeight="1">
      <c r="A8" s="143">
        <v>4</v>
      </c>
      <c r="B8" s="143" t="s">
        <v>218</v>
      </c>
      <c r="C8" s="162" t="s">
        <v>219</v>
      </c>
      <c r="D8" s="152" t="s">
        <v>220</v>
      </c>
      <c r="E8" s="162" t="s">
        <v>221</v>
      </c>
      <c r="F8" s="143">
        <v>22</v>
      </c>
      <c r="G8" s="162" t="s">
        <v>236</v>
      </c>
      <c r="H8" s="145" t="s">
        <v>237</v>
      </c>
      <c r="I8" s="161"/>
      <c r="J8" s="155" t="s">
        <v>45</v>
      </c>
      <c r="K8" s="162" t="s">
        <v>238</v>
      </c>
      <c r="L8" s="47" t="s">
        <v>239</v>
      </c>
      <c r="M8" s="25"/>
      <c r="N8" s="25"/>
      <c r="O8" s="25"/>
      <c r="P8" s="25"/>
      <c r="Q8" s="25"/>
      <c r="R8" s="139" t="str">
        <f>IF(M9,M8/M9*100,"0")</f>
        <v>0</v>
      </c>
      <c r="S8" s="139" t="str">
        <f>IF(N9,N8/N9*100,"0")</f>
        <v>0</v>
      </c>
      <c r="T8" s="139" t="str">
        <f>IF(O9,O8/O9*100,"0")</f>
        <v>0</v>
      </c>
      <c r="U8" s="139" t="str">
        <f>IF(P9,P8/P9*100,"0")</f>
        <v>0</v>
      </c>
      <c r="V8" s="139" t="str">
        <f>IF(Q9,Q8/Q9*100,"0")</f>
        <v>0</v>
      </c>
      <c r="W8" s="143" t="s">
        <v>27</v>
      </c>
      <c r="X8" s="141"/>
      <c r="AF8" s="27"/>
    </row>
    <row r="9" spans="1:32" ht="75" customHeight="1">
      <c r="A9" s="140"/>
      <c r="B9" s="140"/>
      <c r="C9" s="140"/>
      <c r="D9" s="140"/>
      <c r="E9" s="140"/>
      <c r="F9" s="140"/>
      <c r="G9" s="140"/>
      <c r="H9" s="142"/>
      <c r="I9" s="142"/>
      <c r="J9" s="140"/>
      <c r="K9" s="140"/>
      <c r="L9" s="99" t="s">
        <v>235</v>
      </c>
      <c r="M9" s="100">
        <f>M7</f>
        <v>0</v>
      </c>
      <c r="N9" s="100">
        <f>N7</f>
        <v>0</v>
      </c>
      <c r="O9" s="100">
        <f>O7</f>
        <v>0</v>
      </c>
      <c r="P9" s="100">
        <f>P7</f>
        <v>0</v>
      </c>
      <c r="Q9" s="100">
        <f>Q7</f>
        <v>0</v>
      </c>
      <c r="R9" s="140"/>
      <c r="S9" s="140"/>
      <c r="T9" s="140"/>
      <c r="U9" s="140"/>
      <c r="V9" s="140"/>
      <c r="W9" s="140"/>
      <c r="X9" s="142"/>
    </row>
    <row r="10" spans="1:32" ht="158.25" customHeight="1">
      <c r="A10" s="44">
        <v>5</v>
      </c>
      <c r="B10" s="45" t="s">
        <v>218</v>
      </c>
      <c r="C10" s="48" t="s">
        <v>219</v>
      </c>
      <c r="D10" s="47" t="s">
        <v>240</v>
      </c>
      <c r="E10" s="48" t="s">
        <v>241</v>
      </c>
      <c r="F10" s="44">
        <v>3</v>
      </c>
      <c r="G10" s="51" t="s">
        <v>242</v>
      </c>
      <c r="H10" s="115" t="s">
        <v>243</v>
      </c>
      <c r="I10" s="19"/>
      <c r="J10" s="44" t="s">
        <v>24</v>
      </c>
      <c r="K10" s="47" t="s">
        <v>25</v>
      </c>
      <c r="L10" s="47" t="s">
        <v>244</v>
      </c>
      <c r="M10" s="25"/>
      <c r="N10" s="25"/>
      <c r="O10" s="25"/>
      <c r="P10" s="25"/>
      <c r="Q10" s="25"/>
      <c r="R10" s="52">
        <f t="shared" ref="R10:V11" si="0">M10</f>
        <v>0</v>
      </c>
      <c r="S10" s="52">
        <f t="shared" si="0"/>
        <v>0</v>
      </c>
      <c r="T10" s="52">
        <f t="shared" si="0"/>
        <v>0</v>
      </c>
      <c r="U10" s="52">
        <f t="shared" si="0"/>
        <v>0</v>
      </c>
      <c r="V10" s="52">
        <f t="shared" si="0"/>
        <v>0</v>
      </c>
      <c r="W10" s="44" t="s">
        <v>27</v>
      </c>
      <c r="X10" s="26"/>
    </row>
    <row r="11" spans="1:32" ht="165" customHeight="1">
      <c r="A11" s="44">
        <v>6</v>
      </c>
      <c r="B11" s="45" t="s">
        <v>218</v>
      </c>
      <c r="C11" s="48" t="s">
        <v>219</v>
      </c>
      <c r="D11" s="47" t="s">
        <v>240</v>
      </c>
      <c r="E11" s="48" t="s">
        <v>241</v>
      </c>
      <c r="F11" s="44">
        <v>7</v>
      </c>
      <c r="G11" s="51" t="s">
        <v>245</v>
      </c>
      <c r="H11" s="115" t="s">
        <v>246</v>
      </c>
      <c r="I11" s="19"/>
      <c r="J11" s="44" t="s">
        <v>24</v>
      </c>
      <c r="K11" s="47" t="s">
        <v>25</v>
      </c>
      <c r="L11" s="47" t="s">
        <v>247</v>
      </c>
      <c r="M11" s="25"/>
      <c r="N11" s="25"/>
      <c r="O11" s="25"/>
      <c r="P11" s="25"/>
      <c r="Q11" s="25"/>
      <c r="R11" s="52">
        <f t="shared" si="0"/>
        <v>0</v>
      </c>
      <c r="S11" s="52">
        <f t="shared" si="0"/>
        <v>0</v>
      </c>
      <c r="T11" s="52">
        <f t="shared" si="0"/>
        <v>0</v>
      </c>
      <c r="U11" s="52">
        <f t="shared" si="0"/>
        <v>0</v>
      </c>
      <c r="V11" s="52">
        <f t="shared" si="0"/>
        <v>0</v>
      </c>
      <c r="W11" s="44" t="s">
        <v>27</v>
      </c>
      <c r="X11" s="26"/>
    </row>
    <row r="12" spans="1:32" ht="75" customHeight="1">
      <c r="A12" s="143">
        <v>7</v>
      </c>
      <c r="B12" s="143" t="s">
        <v>218</v>
      </c>
      <c r="C12" s="162" t="s">
        <v>219</v>
      </c>
      <c r="D12" s="152" t="s">
        <v>240</v>
      </c>
      <c r="E12" s="162" t="s">
        <v>241</v>
      </c>
      <c r="F12" s="143">
        <v>17</v>
      </c>
      <c r="G12" s="162" t="s">
        <v>248</v>
      </c>
      <c r="H12" s="145" t="s">
        <v>249</v>
      </c>
      <c r="I12" s="161"/>
      <c r="J12" s="155" t="s">
        <v>45</v>
      </c>
      <c r="K12" s="162" t="s">
        <v>250</v>
      </c>
      <c r="L12" s="47" t="s">
        <v>251</v>
      </c>
      <c r="M12" s="25"/>
      <c r="N12" s="25"/>
      <c r="O12" s="25"/>
      <c r="P12" s="25"/>
      <c r="Q12" s="25"/>
      <c r="R12" s="139" t="str">
        <f>IF(M13,M12/M13*100,"0")</f>
        <v>0</v>
      </c>
      <c r="S12" s="139" t="str">
        <f>IF(N13,N12/N13*100,"0")</f>
        <v>0</v>
      </c>
      <c r="T12" s="139" t="str">
        <f>IF(O13,O12/O13*100,"0")</f>
        <v>0</v>
      </c>
      <c r="U12" s="139" t="str">
        <f>IF(P13,P12/P13*100,"0")</f>
        <v>0</v>
      </c>
      <c r="V12" s="139" t="str">
        <f>IF(Q13,Q12/Q13*100,"0")</f>
        <v>0</v>
      </c>
      <c r="W12" s="143" t="s">
        <v>27</v>
      </c>
      <c r="X12" s="141"/>
    </row>
    <row r="13" spans="1:32" ht="75" customHeight="1">
      <c r="A13" s="140"/>
      <c r="B13" s="140"/>
      <c r="C13" s="140"/>
      <c r="D13" s="140"/>
      <c r="E13" s="140"/>
      <c r="F13" s="140"/>
      <c r="G13" s="140"/>
      <c r="H13" s="142"/>
      <c r="I13" s="142"/>
      <c r="J13" s="140"/>
      <c r="K13" s="140"/>
      <c r="L13" s="46" t="s">
        <v>252</v>
      </c>
      <c r="M13" s="25"/>
      <c r="N13" s="25"/>
      <c r="O13" s="25"/>
      <c r="P13" s="25"/>
      <c r="Q13" s="25"/>
      <c r="R13" s="140"/>
      <c r="S13" s="140"/>
      <c r="T13" s="140"/>
      <c r="U13" s="140"/>
      <c r="V13" s="140"/>
      <c r="W13" s="140"/>
      <c r="X13" s="142"/>
    </row>
    <row r="14" spans="1:32" ht="75" customHeight="1">
      <c r="A14" s="143">
        <v>8</v>
      </c>
      <c r="B14" s="143" t="s">
        <v>218</v>
      </c>
      <c r="C14" s="162" t="s">
        <v>219</v>
      </c>
      <c r="D14" s="152" t="s">
        <v>240</v>
      </c>
      <c r="E14" s="162" t="s">
        <v>241</v>
      </c>
      <c r="F14" s="143">
        <v>18</v>
      </c>
      <c r="G14" s="162" t="s">
        <v>253</v>
      </c>
      <c r="H14" s="192" t="s">
        <v>254</v>
      </c>
      <c r="I14" s="161"/>
      <c r="J14" s="155" t="s">
        <v>45</v>
      </c>
      <c r="K14" s="162" t="s">
        <v>255</v>
      </c>
      <c r="L14" s="46" t="s">
        <v>256</v>
      </c>
      <c r="M14" s="25"/>
      <c r="N14" s="25"/>
      <c r="O14" s="25"/>
      <c r="P14" s="25"/>
      <c r="Q14" s="25"/>
      <c r="R14" s="139" t="str">
        <f>IF(M15,M14/M15*100,"0")</f>
        <v>0</v>
      </c>
      <c r="S14" s="139" t="str">
        <f>IF(N15,N14/N15*100,"0")</f>
        <v>0</v>
      </c>
      <c r="T14" s="139" t="str">
        <f>IF(O15,O14/O15*100,"0")</f>
        <v>0</v>
      </c>
      <c r="U14" s="139" t="str">
        <f>IF(P15,P14/P15*100,"0")</f>
        <v>0</v>
      </c>
      <c r="V14" s="139" t="str">
        <f>IF(Q15,Q14/Q15*100,"0")</f>
        <v>0</v>
      </c>
      <c r="W14" s="143" t="s">
        <v>27</v>
      </c>
      <c r="X14" s="141"/>
    </row>
    <row r="15" spans="1:32" ht="75" customHeight="1">
      <c r="A15" s="140"/>
      <c r="B15" s="140"/>
      <c r="C15" s="140"/>
      <c r="D15" s="140"/>
      <c r="E15" s="140"/>
      <c r="F15" s="140"/>
      <c r="G15" s="140"/>
      <c r="H15" s="142"/>
      <c r="I15" s="142"/>
      <c r="J15" s="140"/>
      <c r="K15" s="140"/>
      <c r="L15" s="46" t="s">
        <v>257</v>
      </c>
      <c r="M15" s="25"/>
      <c r="N15" s="25"/>
      <c r="O15" s="25"/>
      <c r="P15" s="25"/>
      <c r="Q15" s="25"/>
      <c r="R15" s="140"/>
      <c r="S15" s="140"/>
      <c r="T15" s="140"/>
      <c r="U15" s="140"/>
      <c r="V15" s="140"/>
      <c r="W15" s="140"/>
      <c r="X15" s="142"/>
    </row>
    <row r="16" spans="1:32">
      <c r="A16" s="30"/>
      <c r="B16" s="27"/>
      <c r="C16" s="28"/>
      <c r="D16" s="27"/>
      <c r="E16" s="28"/>
      <c r="F16" s="27"/>
      <c r="G16" s="28"/>
      <c r="H16" s="27"/>
      <c r="I16" s="27"/>
      <c r="J16" s="27"/>
      <c r="K16" s="28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7"/>
      <c r="X16" s="27"/>
    </row>
    <row r="17" spans="1:24">
      <c r="A17" s="30"/>
      <c r="B17" s="27"/>
      <c r="C17" s="28"/>
      <c r="D17" s="27"/>
      <c r="E17" s="28"/>
      <c r="F17" s="27"/>
      <c r="G17" s="28"/>
      <c r="H17" s="27"/>
      <c r="I17" s="27"/>
      <c r="J17" s="27"/>
      <c r="K17" s="28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7"/>
      <c r="X17" s="27"/>
    </row>
    <row r="18" spans="1:24">
      <c r="A18" s="30"/>
      <c r="B18" s="27"/>
      <c r="C18" s="28"/>
      <c r="D18" s="27"/>
      <c r="E18" s="28"/>
      <c r="F18" s="27"/>
      <c r="G18" s="28"/>
      <c r="H18" s="27"/>
      <c r="I18" s="27"/>
      <c r="J18" s="27"/>
      <c r="K18" s="28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7"/>
      <c r="X18" s="27"/>
    </row>
    <row r="19" spans="1:24">
      <c r="A19" s="30"/>
      <c r="B19" s="27"/>
      <c r="C19" s="28"/>
      <c r="D19" s="27"/>
      <c r="E19" s="28"/>
      <c r="F19" s="27"/>
      <c r="G19" s="28"/>
      <c r="H19" s="27"/>
      <c r="I19" s="27"/>
      <c r="J19" s="27"/>
      <c r="K19" s="28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7"/>
      <c r="X19" s="27"/>
    </row>
    <row r="20" spans="1:24">
      <c r="A20" s="30"/>
      <c r="B20" s="27"/>
      <c r="C20" s="28"/>
      <c r="D20" s="27"/>
      <c r="E20" s="28"/>
      <c r="F20" s="27"/>
      <c r="G20" s="28"/>
      <c r="H20" s="27"/>
      <c r="I20" s="27"/>
      <c r="J20" s="27"/>
      <c r="K20" s="28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7"/>
      <c r="X20" s="27"/>
    </row>
    <row r="21" spans="1:24">
      <c r="A21" s="30"/>
      <c r="B21" s="27"/>
      <c r="C21" s="28"/>
      <c r="D21" s="27"/>
      <c r="E21" s="28"/>
      <c r="F21" s="27"/>
      <c r="G21" s="28"/>
      <c r="H21" s="27"/>
      <c r="I21" s="27"/>
      <c r="J21" s="27"/>
      <c r="K21" s="28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7"/>
      <c r="X21" s="27"/>
    </row>
    <row r="22" spans="1:24">
      <c r="A22" s="30"/>
      <c r="B22" s="27"/>
      <c r="C22" s="28"/>
      <c r="D22" s="27"/>
      <c r="E22" s="28"/>
      <c r="F22" s="27"/>
      <c r="G22" s="28"/>
      <c r="H22" s="27"/>
      <c r="I22" s="27"/>
      <c r="J22" s="27"/>
      <c r="K22" s="28"/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7"/>
      <c r="X22" s="27"/>
    </row>
    <row r="23" spans="1:24">
      <c r="A23" s="30"/>
      <c r="B23" s="27"/>
      <c r="C23" s="28"/>
      <c r="D23" s="27"/>
      <c r="E23" s="28"/>
      <c r="F23" s="27"/>
      <c r="G23" s="28"/>
      <c r="H23" s="27"/>
      <c r="I23" s="27"/>
      <c r="J23" s="27"/>
      <c r="K23" s="28"/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7"/>
      <c r="X23" s="27"/>
    </row>
    <row r="24" spans="1:24">
      <c r="A24" s="30"/>
      <c r="B24" s="27"/>
      <c r="C24" s="28"/>
      <c r="D24" s="27"/>
      <c r="E24" s="28"/>
      <c r="F24" s="27"/>
      <c r="G24" s="28"/>
      <c r="H24" s="27"/>
      <c r="I24" s="27"/>
      <c r="J24" s="27"/>
      <c r="K24" s="28"/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7"/>
      <c r="X24" s="27"/>
    </row>
    <row r="25" spans="1:24">
      <c r="A25" s="30"/>
      <c r="B25" s="27"/>
      <c r="C25" s="28"/>
      <c r="D25" s="27"/>
      <c r="E25" s="28"/>
      <c r="F25" s="27"/>
      <c r="G25" s="28"/>
      <c r="H25" s="27"/>
      <c r="I25" s="27"/>
      <c r="J25" s="27"/>
      <c r="K25" s="28"/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7"/>
      <c r="X25" s="27"/>
    </row>
    <row r="26" spans="1:24">
      <c r="A26" s="30"/>
      <c r="B26" s="27"/>
      <c r="C26" s="28"/>
      <c r="D26" s="27"/>
      <c r="E26" s="28"/>
      <c r="F26" s="27"/>
      <c r="G26" s="28"/>
      <c r="H26" s="27"/>
      <c r="I26" s="27"/>
      <c r="J26" s="27"/>
      <c r="K26" s="28"/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7"/>
      <c r="X26" s="27"/>
    </row>
    <row r="27" spans="1:24">
      <c r="A27" s="30"/>
      <c r="B27" s="27"/>
      <c r="C27" s="28"/>
      <c r="D27" s="27"/>
      <c r="E27" s="28"/>
      <c r="F27" s="27"/>
      <c r="G27" s="28"/>
      <c r="H27" s="27"/>
      <c r="I27" s="27"/>
      <c r="J27" s="27"/>
      <c r="K27" s="28"/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7"/>
      <c r="X27" s="27"/>
    </row>
    <row r="28" spans="1:24">
      <c r="A28" s="30"/>
      <c r="B28" s="27"/>
      <c r="C28" s="28"/>
      <c r="D28" s="27"/>
      <c r="E28" s="28"/>
      <c r="F28" s="27"/>
      <c r="G28" s="28"/>
      <c r="H28" s="27"/>
      <c r="I28" s="27"/>
      <c r="J28" s="27"/>
      <c r="K28" s="28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7"/>
      <c r="X28" s="27"/>
    </row>
    <row r="29" spans="1:24">
      <c r="A29" s="30"/>
      <c r="B29" s="27"/>
      <c r="C29" s="28"/>
      <c r="D29" s="27"/>
      <c r="E29" s="28"/>
      <c r="F29" s="27"/>
      <c r="G29" s="28"/>
      <c r="H29" s="27"/>
      <c r="I29" s="27"/>
      <c r="J29" s="27"/>
      <c r="K29" s="28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7"/>
      <c r="X29" s="27"/>
    </row>
    <row r="30" spans="1:24">
      <c r="A30" s="30"/>
      <c r="B30" s="27"/>
      <c r="C30" s="28"/>
      <c r="D30" s="27"/>
      <c r="E30" s="28"/>
      <c r="F30" s="27"/>
      <c r="G30" s="28"/>
      <c r="H30" s="27"/>
      <c r="I30" s="27"/>
      <c r="J30" s="27"/>
      <c r="K30" s="28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7"/>
      <c r="X30" s="27"/>
    </row>
    <row r="31" spans="1:24">
      <c r="A31" s="30"/>
      <c r="B31" s="27"/>
      <c r="C31" s="28"/>
      <c r="D31" s="27"/>
      <c r="E31" s="28"/>
      <c r="F31" s="27"/>
      <c r="G31" s="28"/>
      <c r="H31" s="27"/>
      <c r="I31" s="27"/>
      <c r="J31" s="27"/>
      <c r="K31" s="28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7"/>
      <c r="X31" s="27"/>
    </row>
    <row r="32" spans="1:24">
      <c r="A32" s="30"/>
      <c r="B32" s="27"/>
      <c r="C32" s="28"/>
      <c r="D32" s="27"/>
      <c r="E32" s="28"/>
      <c r="F32" s="27"/>
      <c r="G32" s="28"/>
      <c r="H32" s="27"/>
      <c r="I32" s="27"/>
      <c r="J32" s="27"/>
      <c r="K32" s="28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7"/>
      <c r="X32" s="27"/>
    </row>
    <row r="33" spans="1:24">
      <c r="A33" s="30"/>
      <c r="B33" s="27"/>
      <c r="C33" s="28"/>
      <c r="D33" s="27"/>
      <c r="E33" s="28"/>
      <c r="F33" s="27"/>
      <c r="G33" s="28"/>
      <c r="H33" s="27"/>
      <c r="I33" s="27"/>
      <c r="J33" s="27"/>
      <c r="K33" s="28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7"/>
      <c r="X33" s="27"/>
    </row>
    <row r="34" spans="1:24">
      <c r="A34" s="30"/>
      <c r="B34" s="27"/>
      <c r="C34" s="28"/>
      <c r="D34" s="27"/>
      <c r="E34" s="28"/>
      <c r="F34" s="27"/>
      <c r="G34" s="28"/>
      <c r="H34" s="27"/>
      <c r="I34" s="27"/>
      <c r="J34" s="27"/>
      <c r="K34" s="28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7"/>
      <c r="X34" s="27"/>
    </row>
    <row r="35" spans="1:24">
      <c r="A35" s="30"/>
      <c r="B35" s="27"/>
      <c r="C35" s="28"/>
      <c r="D35" s="27"/>
      <c r="E35" s="28"/>
      <c r="F35" s="27"/>
      <c r="G35" s="28"/>
      <c r="H35" s="27"/>
      <c r="I35" s="27"/>
      <c r="J35" s="27"/>
      <c r="K35" s="28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7"/>
      <c r="X35" s="27"/>
    </row>
    <row r="36" spans="1:24">
      <c r="A36" s="30"/>
      <c r="B36" s="27"/>
      <c r="C36" s="28"/>
      <c r="D36" s="27"/>
      <c r="E36" s="28"/>
      <c r="F36" s="27"/>
      <c r="G36" s="28"/>
      <c r="H36" s="27"/>
      <c r="I36" s="27"/>
      <c r="J36" s="27"/>
      <c r="K36" s="28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7"/>
      <c r="X36" s="27"/>
    </row>
    <row r="37" spans="1:24">
      <c r="A37" s="30"/>
      <c r="B37" s="27"/>
      <c r="C37" s="28"/>
      <c r="D37" s="27"/>
      <c r="E37" s="28"/>
      <c r="F37" s="27"/>
      <c r="G37" s="28"/>
      <c r="H37" s="27"/>
      <c r="I37" s="27"/>
      <c r="J37" s="27"/>
      <c r="K37" s="28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7"/>
      <c r="X37" s="27"/>
    </row>
    <row r="38" spans="1:24">
      <c r="A38" s="30"/>
      <c r="B38" s="27"/>
      <c r="C38" s="28"/>
      <c r="D38" s="27"/>
      <c r="E38" s="28"/>
      <c r="F38" s="27"/>
      <c r="G38" s="28"/>
      <c r="H38" s="27"/>
      <c r="I38" s="27"/>
      <c r="J38" s="27"/>
      <c r="K38" s="28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7"/>
      <c r="X38" s="27"/>
    </row>
    <row r="39" spans="1:24">
      <c r="A39" s="30"/>
      <c r="B39" s="27"/>
      <c r="C39" s="28"/>
      <c r="D39" s="27"/>
      <c r="E39" s="28"/>
      <c r="F39" s="27"/>
      <c r="G39" s="28"/>
      <c r="H39" s="27"/>
      <c r="I39" s="27"/>
      <c r="J39" s="27"/>
      <c r="K39" s="28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7"/>
      <c r="X39" s="27"/>
    </row>
    <row r="40" spans="1:24">
      <c r="A40" s="30"/>
      <c r="B40" s="27"/>
      <c r="C40" s="28"/>
      <c r="D40" s="27"/>
      <c r="E40" s="28"/>
      <c r="F40" s="27"/>
      <c r="G40" s="28"/>
      <c r="H40" s="27"/>
      <c r="I40" s="27"/>
      <c r="J40" s="27"/>
      <c r="K40" s="28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7"/>
      <c r="X40" s="27"/>
    </row>
    <row r="41" spans="1:24">
      <c r="A41" s="30"/>
      <c r="B41" s="27"/>
      <c r="C41" s="28"/>
      <c r="D41" s="27"/>
      <c r="E41" s="28"/>
      <c r="F41" s="27"/>
      <c r="G41" s="28"/>
      <c r="H41" s="27"/>
      <c r="I41" s="27"/>
      <c r="J41" s="27"/>
      <c r="K41" s="28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7"/>
      <c r="X41" s="27"/>
    </row>
    <row r="42" spans="1:24">
      <c r="A42" s="30"/>
      <c r="B42" s="27"/>
      <c r="C42" s="28"/>
      <c r="D42" s="27"/>
      <c r="E42" s="28"/>
      <c r="F42" s="27"/>
      <c r="G42" s="28"/>
      <c r="H42" s="27"/>
      <c r="I42" s="27"/>
      <c r="J42" s="27"/>
      <c r="K42" s="28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7"/>
      <c r="X42" s="27"/>
    </row>
    <row r="43" spans="1:24">
      <c r="A43" s="30"/>
      <c r="B43" s="27"/>
      <c r="C43" s="28"/>
      <c r="D43" s="27"/>
      <c r="E43" s="28"/>
      <c r="F43" s="27"/>
      <c r="G43" s="28"/>
      <c r="H43" s="27"/>
      <c r="I43" s="27"/>
      <c r="J43" s="27"/>
      <c r="K43" s="28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7"/>
      <c r="X43" s="27"/>
    </row>
    <row r="44" spans="1:24">
      <c r="A44" s="30"/>
      <c r="B44" s="27"/>
      <c r="C44" s="28"/>
      <c r="D44" s="27"/>
      <c r="E44" s="28"/>
      <c r="F44" s="27"/>
      <c r="G44" s="28"/>
      <c r="H44" s="27"/>
      <c r="I44" s="27"/>
      <c r="J44" s="27"/>
      <c r="K44" s="28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7"/>
      <c r="X44" s="27"/>
    </row>
    <row r="45" spans="1:24">
      <c r="A45" s="30"/>
      <c r="B45" s="27"/>
      <c r="C45" s="28"/>
      <c r="D45" s="27"/>
      <c r="E45" s="28"/>
      <c r="F45" s="27"/>
      <c r="G45" s="28"/>
      <c r="H45" s="27"/>
      <c r="I45" s="27"/>
      <c r="J45" s="27"/>
      <c r="K45" s="28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7"/>
      <c r="X45" s="27"/>
    </row>
    <row r="46" spans="1:24">
      <c r="A46" s="30"/>
      <c r="B46" s="27"/>
      <c r="C46" s="28"/>
      <c r="D46" s="27"/>
      <c r="E46" s="28"/>
      <c r="F46" s="27"/>
      <c r="G46" s="28"/>
      <c r="H46" s="27"/>
      <c r="I46" s="27"/>
      <c r="J46" s="27"/>
      <c r="K46" s="28"/>
      <c r="L46" s="29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27"/>
      <c r="X46" s="27"/>
    </row>
    <row r="47" spans="1:24">
      <c r="A47" s="30"/>
      <c r="B47" s="27"/>
      <c r="C47" s="28"/>
      <c r="D47" s="27"/>
      <c r="E47" s="28"/>
      <c r="F47" s="27"/>
      <c r="G47" s="28"/>
      <c r="H47" s="27"/>
      <c r="I47" s="27"/>
      <c r="J47" s="27"/>
      <c r="K47" s="28"/>
      <c r="L47" s="29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27"/>
      <c r="X47" s="27"/>
    </row>
    <row r="48" spans="1:24">
      <c r="A48" s="30"/>
      <c r="B48" s="27"/>
      <c r="C48" s="28"/>
      <c r="D48" s="27"/>
      <c r="E48" s="28"/>
      <c r="F48" s="27"/>
      <c r="G48" s="28"/>
      <c r="H48" s="27"/>
      <c r="I48" s="27"/>
      <c r="J48" s="27"/>
      <c r="K48" s="28"/>
      <c r="L48" s="29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27"/>
      <c r="X48" s="27"/>
    </row>
    <row r="49" spans="1:24">
      <c r="A49" s="30"/>
      <c r="B49" s="27"/>
      <c r="C49" s="28"/>
      <c r="D49" s="27"/>
      <c r="E49" s="28"/>
      <c r="F49" s="27"/>
      <c r="G49" s="28"/>
      <c r="H49" s="27"/>
      <c r="I49" s="27"/>
      <c r="J49" s="27"/>
      <c r="K49" s="28"/>
      <c r="L49" s="29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27"/>
      <c r="X49" s="27"/>
    </row>
    <row r="50" spans="1:24">
      <c r="A50" s="30"/>
      <c r="B50" s="27"/>
      <c r="C50" s="28"/>
      <c r="D50" s="27"/>
      <c r="E50" s="28"/>
      <c r="F50" s="27"/>
      <c r="G50" s="28"/>
      <c r="H50" s="27"/>
      <c r="I50" s="27"/>
      <c r="J50" s="27"/>
      <c r="K50" s="28"/>
      <c r="L50" s="29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27"/>
      <c r="X50" s="27"/>
    </row>
    <row r="51" spans="1:24">
      <c r="A51" s="30"/>
      <c r="B51" s="27"/>
      <c r="C51" s="28"/>
      <c r="D51" s="27"/>
      <c r="E51" s="28"/>
      <c r="F51" s="27"/>
      <c r="G51" s="28"/>
      <c r="H51" s="27"/>
      <c r="I51" s="27"/>
      <c r="J51" s="27"/>
      <c r="K51" s="28"/>
      <c r="L51" s="29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27"/>
      <c r="X51" s="27"/>
    </row>
    <row r="52" spans="1:24">
      <c r="A52" s="30"/>
      <c r="B52" s="27"/>
      <c r="C52" s="28"/>
      <c r="D52" s="27"/>
      <c r="E52" s="28"/>
      <c r="F52" s="27"/>
      <c r="G52" s="28"/>
      <c r="H52" s="27"/>
      <c r="I52" s="27"/>
      <c r="J52" s="27"/>
      <c r="K52" s="28"/>
      <c r="L52" s="29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27"/>
      <c r="X52" s="27"/>
    </row>
    <row r="53" spans="1:24">
      <c r="A53" s="30"/>
      <c r="B53" s="27"/>
      <c r="C53" s="28"/>
      <c r="D53" s="27"/>
      <c r="E53" s="28"/>
      <c r="F53" s="27"/>
      <c r="G53" s="28"/>
      <c r="H53" s="27"/>
      <c r="I53" s="27"/>
      <c r="J53" s="27"/>
      <c r="K53" s="28"/>
      <c r="L53" s="29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27"/>
      <c r="X53" s="27"/>
    </row>
    <row r="54" spans="1:24">
      <c r="A54" s="30"/>
      <c r="B54" s="27"/>
      <c r="C54" s="28"/>
      <c r="D54" s="27"/>
      <c r="E54" s="28"/>
      <c r="F54" s="27"/>
      <c r="G54" s="28"/>
      <c r="H54" s="27"/>
      <c r="I54" s="27"/>
      <c r="J54" s="27"/>
      <c r="K54" s="28"/>
      <c r="L54" s="29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27"/>
      <c r="X54" s="27"/>
    </row>
    <row r="55" spans="1:24">
      <c r="A55" s="30"/>
      <c r="B55" s="27"/>
      <c r="C55" s="28"/>
      <c r="D55" s="27"/>
      <c r="E55" s="28"/>
      <c r="F55" s="27"/>
      <c r="G55" s="28"/>
      <c r="H55" s="27"/>
      <c r="I55" s="27"/>
      <c r="J55" s="27"/>
      <c r="K55" s="28"/>
      <c r="L55" s="29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27"/>
      <c r="X55" s="27"/>
    </row>
    <row r="56" spans="1:24">
      <c r="A56" s="30"/>
      <c r="B56" s="27"/>
      <c r="C56" s="28"/>
      <c r="D56" s="27"/>
      <c r="E56" s="28"/>
      <c r="F56" s="27"/>
      <c r="G56" s="28"/>
      <c r="H56" s="27"/>
      <c r="I56" s="27"/>
      <c r="J56" s="27"/>
      <c r="K56" s="28"/>
      <c r="L56" s="29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27"/>
      <c r="X56" s="27"/>
    </row>
    <row r="57" spans="1:24">
      <c r="A57" s="30"/>
      <c r="B57" s="27"/>
      <c r="C57" s="28"/>
      <c r="D57" s="27"/>
      <c r="E57" s="28"/>
      <c r="F57" s="27"/>
      <c r="G57" s="28"/>
      <c r="H57" s="27"/>
      <c r="I57" s="27"/>
      <c r="J57" s="27"/>
      <c r="K57" s="28"/>
      <c r="L57" s="29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27"/>
      <c r="X57" s="27"/>
    </row>
    <row r="58" spans="1:24">
      <c r="A58" s="30"/>
      <c r="B58" s="27"/>
      <c r="C58" s="28"/>
      <c r="D58" s="27"/>
      <c r="E58" s="28"/>
      <c r="F58" s="27"/>
      <c r="G58" s="28"/>
      <c r="H58" s="27"/>
      <c r="I58" s="27"/>
      <c r="J58" s="27"/>
      <c r="K58" s="28"/>
      <c r="L58" s="29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27"/>
      <c r="X58" s="27"/>
    </row>
    <row r="59" spans="1:24">
      <c r="A59" s="30"/>
      <c r="B59" s="27"/>
      <c r="C59" s="28"/>
      <c r="D59" s="27"/>
      <c r="E59" s="28"/>
      <c r="F59" s="27"/>
      <c r="G59" s="28"/>
      <c r="H59" s="27"/>
      <c r="I59" s="27"/>
      <c r="J59" s="27"/>
      <c r="K59" s="28"/>
      <c r="L59" s="29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27"/>
      <c r="X59" s="27"/>
    </row>
    <row r="60" spans="1:24">
      <c r="A60" s="30"/>
      <c r="B60" s="27"/>
      <c r="C60" s="28"/>
      <c r="D60" s="27"/>
      <c r="E60" s="28"/>
      <c r="F60" s="27"/>
      <c r="G60" s="28"/>
      <c r="H60" s="27"/>
      <c r="I60" s="27"/>
      <c r="J60" s="27"/>
      <c r="K60" s="28"/>
      <c r="L60" s="29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27"/>
      <c r="X60" s="27"/>
    </row>
    <row r="61" spans="1:24">
      <c r="A61" s="30"/>
      <c r="B61" s="27"/>
      <c r="C61" s="28"/>
      <c r="D61" s="27"/>
      <c r="E61" s="28"/>
      <c r="F61" s="27"/>
      <c r="G61" s="28"/>
      <c r="H61" s="27"/>
      <c r="I61" s="27"/>
      <c r="J61" s="27"/>
      <c r="K61" s="28"/>
      <c r="L61" s="29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27"/>
      <c r="X61" s="27"/>
    </row>
    <row r="62" spans="1:24">
      <c r="A62" s="30"/>
      <c r="B62" s="27"/>
      <c r="C62" s="28"/>
      <c r="D62" s="27"/>
      <c r="E62" s="28"/>
      <c r="F62" s="27"/>
      <c r="G62" s="28"/>
      <c r="H62" s="27"/>
      <c r="I62" s="27"/>
      <c r="J62" s="27"/>
      <c r="K62" s="28"/>
      <c r="L62" s="29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27"/>
      <c r="X62" s="27"/>
    </row>
    <row r="63" spans="1:24">
      <c r="A63" s="30"/>
      <c r="B63" s="27"/>
      <c r="C63" s="28"/>
      <c r="D63" s="27"/>
      <c r="E63" s="28"/>
      <c r="F63" s="27"/>
      <c r="G63" s="28"/>
      <c r="H63" s="27"/>
      <c r="I63" s="27"/>
      <c r="J63" s="27"/>
      <c r="K63" s="28"/>
      <c r="L63" s="29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27"/>
      <c r="X63" s="27"/>
    </row>
    <row r="64" spans="1:24">
      <c r="A64" s="30"/>
      <c r="B64" s="27"/>
      <c r="C64" s="28"/>
      <c r="D64" s="27"/>
      <c r="E64" s="28"/>
      <c r="F64" s="27"/>
      <c r="G64" s="28"/>
      <c r="H64" s="27"/>
      <c r="I64" s="27"/>
      <c r="J64" s="27"/>
      <c r="K64" s="28"/>
      <c r="L64" s="29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27"/>
      <c r="X64" s="27"/>
    </row>
    <row r="65" spans="1:24">
      <c r="A65" s="30"/>
      <c r="B65" s="27"/>
      <c r="C65" s="28"/>
      <c r="D65" s="27"/>
      <c r="E65" s="28"/>
      <c r="F65" s="27"/>
      <c r="G65" s="28"/>
      <c r="H65" s="27"/>
      <c r="I65" s="27"/>
      <c r="J65" s="27"/>
      <c r="K65" s="28"/>
      <c r="L65" s="29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27"/>
      <c r="X65" s="27"/>
    </row>
    <row r="66" spans="1:24">
      <c r="A66" s="30"/>
      <c r="B66" s="27"/>
      <c r="C66" s="28"/>
      <c r="D66" s="27"/>
      <c r="E66" s="28"/>
      <c r="F66" s="27"/>
      <c r="G66" s="28"/>
      <c r="H66" s="27"/>
      <c r="I66" s="27"/>
      <c r="J66" s="27"/>
      <c r="K66" s="28"/>
      <c r="L66" s="29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27"/>
      <c r="X66" s="27"/>
    </row>
    <row r="67" spans="1:24">
      <c r="A67" s="30"/>
      <c r="B67" s="27"/>
      <c r="C67" s="28"/>
      <c r="D67" s="27"/>
      <c r="E67" s="28"/>
      <c r="F67" s="27"/>
      <c r="G67" s="28"/>
      <c r="H67" s="27"/>
      <c r="I67" s="27"/>
      <c r="J67" s="27"/>
      <c r="K67" s="28"/>
      <c r="L67" s="29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27"/>
      <c r="X67" s="27"/>
    </row>
    <row r="68" spans="1:24">
      <c r="A68" s="30"/>
      <c r="B68" s="27"/>
      <c r="C68" s="28"/>
      <c r="D68" s="27"/>
      <c r="E68" s="28"/>
      <c r="F68" s="27"/>
      <c r="G68" s="28"/>
      <c r="H68" s="27"/>
      <c r="I68" s="27"/>
      <c r="J68" s="27"/>
      <c r="K68" s="28"/>
      <c r="L68" s="29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27"/>
      <c r="X68" s="27"/>
    </row>
    <row r="69" spans="1:24">
      <c r="A69" s="30"/>
      <c r="B69" s="27"/>
      <c r="C69" s="28"/>
      <c r="D69" s="27"/>
      <c r="E69" s="28"/>
      <c r="F69" s="27"/>
      <c r="G69" s="28"/>
      <c r="H69" s="27"/>
      <c r="I69" s="27"/>
      <c r="J69" s="27"/>
      <c r="K69" s="28"/>
      <c r="L69" s="29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27"/>
      <c r="X69" s="27"/>
    </row>
    <row r="70" spans="1:24">
      <c r="A70" s="30"/>
      <c r="B70" s="27"/>
      <c r="C70" s="28"/>
      <c r="D70" s="27"/>
      <c r="E70" s="28"/>
      <c r="F70" s="27"/>
      <c r="G70" s="28"/>
      <c r="H70" s="27"/>
      <c r="I70" s="27"/>
      <c r="J70" s="27"/>
      <c r="K70" s="28"/>
      <c r="L70" s="29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27"/>
      <c r="X70" s="27"/>
    </row>
    <row r="71" spans="1:24">
      <c r="A71" s="30"/>
      <c r="B71" s="27"/>
      <c r="C71" s="28"/>
      <c r="D71" s="27"/>
      <c r="E71" s="28"/>
      <c r="F71" s="27"/>
      <c r="G71" s="28"/>
      <c r="H71" s="27"/>
      <c r="I71" s="27"/>
      <c r="J71" s="27"/>
      <c r="K71" s="28"/>
      <c r="L71" s="29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27"/>
      <c r="X71" s="27"/>
    </row>
    <row r="72" spans="1:24">
      <c r="A72" s="30"/>
      <c r="B72" s="27"/>
      <c r="C72" s="28"/>
      <c r="D72" s="27"/>
      <c r="E72" s="28"/>
      <c r="F72" s="27"/>
      <c r="G72" s="28"/>
      <c r="H72" s="27"/>
      <c r="I72" s="27"/>
      <c r="J72" s="27"/>
      <c r="K72" s="28"/>
      <c r="L72" s="29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27"/>
      <c r="X72" s="27"/>
    </row>
    <row r="73" spans="1:24">
      <c r="A73" s="30"/>
      <c r="B73" s="27"/>
      <c r="C73" s="28"/>
      <c r="D73" s="27"/>
      <c r="E73" s="28"/>
      <c r="F73" s="27"/>
      <c r="G73" s="28"/>
      <c r="H73" s="27"/>
      <c r="I73" s="27"/>
      <c r="J73" s="27"/>
      <c r="K73" s="28"/>
      <c r="L73" s="29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27"/>
      <c r="X73" s="27"/>
    </row>
    <row r="74" spans="1:24">
      <c r="A74" s="30"/>
      <c r="B74" s="27"/>
      <c r="C74" s="28"/>
      <c r="D74" s="27"/>
      <c r="E74" s="28"/>
      <c r="F74" s="27"/>
      <c r="G74" s="28"/>
      <c r="H74" s="27"/>
      <c r="I74" s="27"/>
      <c r="J74" s="27"/>
      <c r="K74" s="28"/>
      <c r="L74" s="29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27"/>
      <c r="X74" s="27"/>
    </row>
    <row r="75" spans="1:24">
      <c r="A75" s="30"/>
      <c r="B75" s="27"/>
      <c r="C75" s="28"/>
      <c r="D75" s="27"/>
      <c r="E75" s="28"/>
      <c r="F75" s="27"/>
      <c r="G75" s="28"/>
      <c r="H75" s="27"/>
      <c r="I75" s="27"/>
      <c r="J75" s="27"/>
      <c r="K75" s="28"/>
      <c r="L75" s="29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27"/>
      <c r="X75" s="27"/>
    </row>
    <row r="76" spans="1:24">
      <c r="A76" s="30"/>
      <c r="B76" s="27"/>
      <c r="C76" s="28"/>
      <c r="D76" s="27"/>
      <c r="E76" s="28"/>
      <c r="F76" s="27"/>
      <c r="G76" s="28"/>
      <c r="H76" s="27"/>
      <c r="I76" s="27"/>
      <c r="J76" s="27"/>
      <c r="K76" s="28"/>
      <c r="L76" s="29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27"/>
      <c r="X76" s="27"/>
    </row>
    <row r="77" spans="1:24">
      <c r="A77" s="30"/>
      <c r="B77" s="27"/>
      <c r="C77" s="28"/>
      <c r="D77" s="27"/>
      <c r="E77" s="28"/>
      <c r="F77" s="27"/>
      <c r="G77" s="28"/>
      <c r="H77" s="27"/>
      <c r="I77" s="27"/>
      <c r="J77" s="27"/>
      <c r="K77" s="28"/>
      <c r="L77" s="29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27"/>
      <c r="X77" s="27"/>
    </row>
    <row r="78" spans="1:24">
      <c r="A78" s="30"/>
      <c r="B78" s="27"/>
      <c r="C78" s="28"/>
      <c r="D78" s="27"/>
      <c r="E78" s="28"/>
      <c r="F78" s="27"/>
      <c r="G78" s="28"/>
      <c r="H78" s="27"/>
      <c r="I78" s="27"/>
      <c r="J78" s="27"/>
      <c r="K78" s="28"/>
      <c r="L78" s="29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27"/>
      <c r="X78" s="27"/>
    </row>
    <row r="79" spans="1:24">
      <c r="A79" s="30"/>
      <c r="B79" s="27"/>
      <c r="C79" s="28"/>
      <c r="D79" s="27"/>
      <c r="E79" s="28"/>
      <c r="F79" s="27"/>
      <c r="G79" s="28"/>
      <c r="H79" s="27"/>
      <c r="I79" s="27"/>
      <c r="J79" s="27"/>
      <c r="K79" s="28"/>
      <c r="L79" s="29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27"/>
      <c r="X79" s="27"/>
    </row>
    <row r="80" spans="1:24">
      <c r="A80" s="30"/>
      <c r="B80" s="27"/>
      <c r="C80" s="28"/>
      <c r="D80" s="27"/>
      <c r="E80" s="28"/>
      <c r="F80" s="27"/>
      <c r="G80" s="28"/>
      <c r="H80" s="27"/>
      <c r="I80" s="27"/>
      <c r="J80" s="27"/>
      <c r="K80" s="28"/>
      <c r="L80" s="29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27"/>
      <c r="X80" s="27"/>
    </row>
    <row r="81" spans="1:24">
      <c r="A81" s="30"/>
      <c r="B81" s="27"/>
      <c r="C81" s="28"/>
      <c r="D81" s="27"/>
      <c r="E81" s="28"/>
      <c r="F81" s="27"/>
      <c r="G81" s="28"/>
      <c r="H81" s="27"/>
      <c r="I81" s="27"/>
      <c r="J81" s="27"/>
      <c r="K81" s="28"/>
      <c r="L81" s="29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27"/>
      <c r="X81" s="27"/>
    </row>
    <row r="82" spans="1:24">
      <c r="A82" s="30"/>
      <c r="B82" s="27"/>
      <c r="C82" s="28"/>
      <c r="D82" s="27"/>
      <c r="E82" s="28"/>
      <c r="F82" s="27"/>
      <c r="G82" s="28"/>
      <c r="H82" s="27"/>
      <c r="I82" s="27"/>
      <c r="J82" s="27"/>
      <c r="K82" s="28"/>
      <c r="L82" s="29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27"/>
      <c r="X82" s="27"/>
    </row>
    <row r="83" spans="1:24">
      <c r="A83" s="30"/>
      <c r="B83" s="27"/>
      <c r="C83" s="28"/>
      <c r="D83" s="27"/>
      <c r="E83" s="28"/>
      <c r="F83" s="27"/>
      <c r="G83" s="28"/>
      <c r="H83" s="27"/>
      <c r="I83" s="27"/>
      <c r="J83" s="27"/>
      <c r="K83" s="28"/>
      <c r="L83" s="29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27"/>
      <c r="X83" s="27"/>
    </row>
    <row r="84" spans="1:24">
      <c r="A84" s="30"/>
      <c r="B84" s="27"/>
      <c r="C84" s="28"/>
      <c r="D84" s="27"/>
      <c r="E84" s="28"/>
      <c r="F84" s="27"/>
      <c r="G84" s="28"/>
      <c r="H84" s="27"/>
      <c r="I84" s="27"/>
      <c r="J84" s="27"/>
      <c r="K84" s="28"/>
      <c r="L84" s="29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27"/>
      <c r="X84" s="27"/>
    </row>
    <row r="85" spans="1:24">
      <c r="A85" s="30"/>
      <c r="B85" s="27"/>
      <c r="C85" s="28"/>
      <c r="D85" s="27"/>
      <c r="E85" s="28"/>
      <c r="F85" s="27"/>
      <c r="G85" s="28"/>
      <c r="H85" s="27"/>
      <c r="I85" s="27"/>
      <c r="J85" s="27"/>
      <c r="K85" s="28"/>
      <c r="L85" s="29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27"/>
      <c r="X85" s="27"/>
    </row>
    <row r="86" spans="1:24">
      <c r="A86" s="30"/>
      <c r="B86" s="27"/>
      <c r="C86" s="28"/>
      <c r="D86" s="27"/>
      <c r="E86" s="28"/>
      <c r="F86" s="27"/>
      <c r="G86" s="28"/>
      <c r="H86" s="27"/>
      <c r="I86" s="27"/>
      <c r="J86" s="27"/>
      <c r="K86" s="28"/>
      <c r="L86" s="29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27"/>
      <c r="X86" s="27"/>
    </row>
    <row r="87" spans="1:24">
      <c r="A87" s="30"/>
      <c r="B87" s="27"/>
      <c r="C87" s="28"/>
      <c r="D87" s="27"/>
      <c r="E87" s="28"/>
      <c r="F87" s="27"/>
      <c r="G87" s="28"/>
      <c r="H87" s="27"/>
      <c r="I87" s="27"/>
      <c r="J87" s="27"/>
      <c r="K87" s="28"/>
      <c r="L87" s="29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27"/>
      <c r="X87" s="27"/>
    </row>
    <row r="88" spans="1:24">
      <c r="A88" s="30"/>
      <c r="B88" s="27"/>
      <c r="C88" s="28"/>
      <c r="D88" s="27"/>
      <c r="E88" s="28"/>
      <c r="F88" s="27"/>
      <c r="G88" s="28"/>
      <c r="H88" s="27"/>
      <c r="I88" s="27"/>
      <c r="J88" s="27"/>
      <c r="K88" s="28"/>
      <c r="L88" s="29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27"/>
      <c r="X88" s="27"/>
    </row>
    <row r="89" spans="1:24">
      <c r="A89" s="30"/>
      <c r="B89" s="27"/>
      <c r="C89" s="28"/>
      <c r="D89" s="27"/>
      <c r="E89" s="28"/>
      <c r="F89" s="27"/>
      <c r="G89" s="28"/>
      <c r="H89" s="27"/>
      <c r="I89" s="27"/>
      <c r="J89" s="27"/>
      <c r="K89" s="28"/>
      <c r="L89" s="29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27"/>
      <c r="X89" s="27"/>
    </row>
    <row r="90" spans="1:24">
      <c r="A90" s="30"/>
      <c r="B90" s="27"/>
      <c r="C90" s="28"/>
      <c r="D90" s="27"/>
      <c r="E90" s="28"/>
      <c r="F90" s="27"/>
      <c r="G90" s="28"/>
      <c r="H90" s="27"/>
      <c r="I90" s="27"/>
      <c r="J90" s="27"/>
      <c r="K90" s="28"/>
      <c r="L90" s="29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27"/>
      <c r="X90" s="27"/>
    </row>
    <row r="91" spans="1:24">
      <c r="A91" s="30"/>
      <c r="B91" s="27"/>
      <c r="C91" s="28"/>
      <c r="D91" s="27"/>
      <c r="E91" s="28"/>
      <c r="F91" s="27"/>
      <c r="G91" s="28"/>
      <c r="H91" s="27"/>
      <c r="I91" s="27"/>
      <c r="J91" s="27"/>
      <c r="K91" s="28"/>
      <c r="L91" s="29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27"/>
      <c r="X91" s="27"/>
    </row>
    <row r="92" spans="1:24">
      <c r="A92" s="30"/>
      <c r="B92" s="27"/>
      <c r="C92" s="28"/>
      <c r="D92" s="27"/>
      <c r="E92" s="28"/>
      <c r="F92" s="27"/>
      <c r="G92" s="28"/>
      <c r="H92" s="27"/>
      <c r="I92" s="27"/>
      <c r="J92" s="27"/>
      <c r="K92" s="28"/>
      <c r="L92" s="29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27"/>
      <c r="X92" s="27"/>
    </row>
    <row r="93" spans="1:24">
      <c r="A93" s="30"/>
      <c r="B93" s="27"/>
      <c r="C93" s="28"/>
      <c r="D93" s="27"/>
      <c r="E93" s="28"/>
      <c r="F93" s="27"/>
      <c r="G93" s="28"/>
      <c r="H93" s="27"/>
      <c r="I93" s="27"/>
      <c r="J93" s="27"/>
      <c r="K93" s="28"/>
      <c r="L93" s="29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27"/>
      <c r="X93" s="27"/>
    </row>
    <row r="94" spans="1:24">
      <c r="A94" s="30"/>
      <c r="B94" s="27"/>
      <c r="C94" s="28"/>
      <c r="D94" s="27"/>
      <c r="E94" s="28"/>
      <c r="F94" s="27"/>
      <c r="G94" s="28"/>
      <c r="H94" s="27"/>
      <c r="I94" s="27"/>
      <c r="J94" s="27"/>
      <c r="K94" s="28"/>
      <c r="L94" s="29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27"/>
      <c r="X94" s="27"/>
    </row>
    <row r="95" spans="1:24">
      <c r="A95" s="30"/>
      <c r="B95" s="27"/>
      <c r="C95" s="28"/>
      <c r="D95" s="27"/>
      <c r="E95" s="28"/>
      <c r="F95" s="27"/>
      <c r="G95" s="28"/>
      <c r="H95" s="27"/>
      <c r="I95" s="27"/>
      <c r="J95" s="27"/>
      <c r="K95" s="28"/>
      <c r="L95" s="29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27"/>
      <c r="X95" s="27"/>
    </row>
    <row r="96" spans="1:24">
      <c r="A96" s="30"/>
      <c r="B96" s="27"/>
      <c r="C96" s="28"/>
      <c r="D96" s="27"/>
      <c r="E96" s="28"/>
      <c r="F96" s="27"/>
      <c r="G96" s="28"/>
      <c r="H96" s="27"/>
      <c r="I96" s="27"/>
      <c r="J96" s="27"/>
      <c r="K96" s="28"/>
      <c r="L96" s="29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27"/>
      <c r="X96" s="27"/>
    </row>
    <row r="97" spans="1:24">
      <c r="A97" s="30"/>
      <c r="B97" s="27"/>
      <c r="C97" s="28"/>
      <c r="D97" s="27"/>
      <c r="E97" s="28"/>
      <c r="F97" s="27"/>
      <c r="G97" s="28"/>
      <c r="H97" s="27"/>
      <c r="I97" s="27"/>
      <c r="J97" s="27"/>
      <c r="K97" s="28"/>
      <c r="L97" s="29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27"/>
      <c r="X97" s="27"/>
    </row>
    <row r="98" spans="1:24">
      <c r="A98" s="30"/>
      <c r="B98" s="27"/>
      <c r="C98" s="28"/>
      <c r="D98" s="27"/>
      <c r="E98" s="28"/>
      <c r="F98" s="27"/>
      <c r="G98" s="28"/>
      <c r="H98" s="27"/>
      <c r="I98" s="27"/>
      <c r="J98" s="27"/>
      <c r="K98" s="28"/>
      <c r="L98" s="29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27"/>
      <c r="X98" s="27"/>
    </row>
    <row r="99" spans="1:24">
      <c r="A99" s="30"/>
      <c r="B99" s="27"/>
      <c r="C99" s="28"/>
      <c r="D99" s="27"/>
      <c r="E99" s="28"/>
      <c r="F99" s="27"/>
      <c r="G99" s="28"/>
      <c r="H99" s="27"/>
      <c r="I99" s="27"/>
      <c r="J99" s="27"/>
      <c r="K99" s="28"/>
      <c r="L99" s="29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27"/>
      <c r="X99" s="27"/>
    </row>
    <row r="100" spans="1:24">
      <c r="A100" s="30"/>
      <c r="B100" s="27"/>
      <c r="C100" s="28"/>
      <c r="D100" s="27"/>
      <c r="E100" s="28"/>
      <c r="F100" s="27"/>
      <c r="G100" s="28"/>
      <c r="H100" s="27"/>
      <c r="I100" s="27"/>
      <c r="J100" s="27"/>
      <c r="K100" s="28"/>
      <c r="L100" s="29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27"/>
      <c r="X100" s="27"/>
    </row>
    <row r="101" spans="1:24">
      <c r="A101" s="30"/>
      <c r="B101" s="27"/>
      <c r="C101" s="28"/>
      <c r="D101" s="27"/>
      <c r="E101" s="28"/>
      <c r="F101" s="27"/>
      <c r="G101" s="28"/>
      <c r="H101" s="27"/>
      <c r="I101" s="27"/>
      <c r="J101" s="27"/>
      <c r="K101" s="28"/>
      <c r="L101" s="29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27"/>
      <c r="X101" s="27"/>
    </row>
    <row r="102" spans="1:24">
      <c r="A102" s="30"/>
      <c r="B102" s="27"/>
      <c r="C102" s="28"/>
      <c r="D102" s="27"/>
      <c r="E102" s="28"/>
      <c r="F102" s="27"/>
      <c r="G102" s="28"/>
      <c r="H102" s="27"/>
      <c r="I102" s="27"/>
      <c r="J102" s="27"/>
      <c r="K102" s="28"/>
      <c r="L102" s="29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27"/>
      <c r="X102" s="27"/>
    </row>
    <row r="103" spans="1:24">
      <c r="A103" s="30"/>
      <c r="B103" s="27"/>
      <c r="C103" s="28"/>
      <c r="D103" s="27"/>
      <c r="E103" s="28"/>
      <c r="F103" s="27"/>
      <c r="G103" s="28"/>
      <c r="H103" s="27"/>
      <c r="I103" s="27"/>
      <c r="J103" s="27"/>
      <c r="K103" s="28"/>
      <c r="L103" s="29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27"/>
      <c r="X103" s="27"/>
    </row>
    <row r="104" spans="1:24">
      <c r="A104" s="30"/>
      <c r="B104" s="27"/>
      <c r="C104" s="28"/>
      <c r="D104" s="27"/>
      <c r="E104" s="28"/>
      <c r="F104" s="27"/>
      <c r="G104" s="28"/>
      <c r="H104" s="27"/>
      <c r="I104" s="27"/>
      <c r="J104" s="27"/>
      <c r="K104" s="28"/>
      <c r="L104" s="29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27"/>
      <c r="X104" s="27"/>
    </row>
    <row r="105" spans="1:24">
      <c r="A105" s="30"/>
      <c r="B105" s="27"/>
      <c r="C105" s="28"/>
      <c r="D105" s="27"/>
      <c r="E105" s="28"/>
      <c r="F105" s="27"/>
      <c r="G105" s="28"/>
      <c r="H105" s="27"/>
      <c r="I105" s="27"/>
      <c r="J105" s="27"/>
      <c r="K105" s="28"/>
      <c r="L105" s="29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27"/>
      <c r="X105" s="27"/>
    </row>
    <row r="106" spans="1:24">
      <c r="A106" s="30"/>
      <c r="B106" s="27"/>
      <c r="C106" s="28"/>
      <c r="D106" s="27"/>
      <c r="E106" s="28"/>
      <c r="F106" s="27"/>
      <c r="G106" s="28"/>
      <c r="H106" s="27"/>
      <c r="I106" s="27"/>
      <c r="J106" s="27"/>
      <c r="K106" s="28"/>
      <c r="L106" s="29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27"/>
      <c r="X106" s="27"/>
    </row>
    <row r="107" spans="1:24">
      <c r="A107" s="30"/>
      <c r="B107" s="27"/>
      <c r="C107" s="28"/>
      <c r="D107" s="27"/>
      <c r="E107" s="28"/>
      <c r="F107" s="27"/>
      <c r="G107" s="28"/>
      <c r="H107" s="27"/>
      <c r="I107" s="27"/>
      <c r="J107" s="27"/>
      <c r="K107" s="28"/>
      <c r="L107" s="29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27"/>
      <c r="X107" s="27"/>
    </row>
    <row r="108" spans="1:24">
      <c r="A108" s="30"/>
      <c r="B108" s="27"/>
      <c r="C108" s="28"/>
      <c r="D108" s="27"/>
      <c r="E108" s="28"/>
      <c r="F108" s="27"/>
      <c r="G108" s="28"/>
      <c r="H108" s="27"/>
      <c r="I108" s="27"/>
      <c r="J108" s="27"/>
      <c r="K108" s="28"/>
      <c r="L108" s="29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27"/>
      <c r="X108" s="27"/>
    </row>
    <row r="109" spans="1:24">
      <c r="A109" s="30"/>
      <c r="B109" s="27"/>
      <c r="C109" s="28"/>
      <c r="D109" s="27"/>
      <c r="E109" s="28"/>
      <c r="F109" s="27"/>
      <c r="G109" s="28"/>
      <c r="H109" s="27"/>
      <c r="I109" s="27"/>
      <c r="J109" s="27"/>
      <c r="K109" s="28"/>
      <c r="L109" s="29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27"/>
      <c r="X109" s="27"/>
    </row>
    <row r="110" spans="1:24">
      <c r="A110" s="30"/>
      <c r="B110" s="27"/>
      <c r="C110" s="28"/>
      <c r="D110" s="27"/>
      <c r="E110" s="28"/>
      <c r="F110" s="27"/>
      <c r="G110" s="28"/>
      <c r="H110" s="27"/>
      <c r="I110" s="27"/>
      <c r="J110" s="27"/>
      <c r="K110" s="28"/>
      <c r="L110" s="29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27"/>
      <c r="X110" s="27"/>
    </row>
    <row r="111" spans="1:24">
      <c r="A111" s="30"/>
      <c r="B111" s="27"/>
      <c r="C111" s="28"/>
      <c r="D111" s="27"/>
      <c r="E111" s="28"/>
      <c r="F111" s="27"/>
      <c r="G111" s="28"/>
      <c r="H111" s="27"/>
      <c r="I111" s="27"/>
      <c r="J111" s="27"/>
      <c r="K111" s="28"/>
      <c r="L111" s="29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27"/>
      <c r="X111" s="27"/>
    </row>
    <row r="112" spans="1:24">
      <c r="A112" s="30"/>
      <c r="B112" s="27"/>
      <c r="C112" s="28"/>
      <c r="D112" s="27"/>
      <c r="E112" s="28"/>
      <c r="F112" s="27"/>
      <c r="G112" s="28"/>
      <c r="H112" s="27"/>
      <c r="I112" s="27"/>
      <c r="J112" s="27"/>
      <c r="K112" s="28"/>
      <c r="L112" s="29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27"/>
      <c r="X112" s="27"/>
    </row>
    <row r="113" spans="1:24">
      <c r="A113" s="30"/>
      <c r="B113" s="27"/>
      <c r="C113" s="28"/>
      <c r="D113" s="27"/>
      <c r="E113" s="28"/>
      <c r="F113" s="27"/>
      <c r="G113" s="28"/>
      <c r="H113" s="27"/>
      <c r="I113" s="27"/>
      <c r="J113" s="27"/>
      <c r="K113" s="28"/>
      <c r="L113" s="29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27"/>
      <c r="X113" s="27"/>
    </row>
    <row r="114" spans="1:24">
      <c r="A114" s="30"/>
      <c r="B114" s="27"/>
      <c r="C114" s="28"/>
      <c r="D114" s="27"/>
      <c r="E114" s="28"/>
      <c r="F114" s="27"/>
      <c r="G114" s="28"/>
      <c r="H114" s="27"/>
      <c r="I114" s="27"/>
      <c r="J114" s="27"/>
      <c r="K114" s="28"/>
      <c r="L114" s="29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27"/>
      <c r="X114" s="27"/>
    </row>
    <row r="115" spans="1:24">
      <c r="A115" s="30"/>
      <c r="B115" s="27"/>
      <c r="C115" s="28"/>
      <c r="D115" s="27"/>
      <c r="E115" s="28"/>
      <c r="F115" s="27"/>
      <c r="G115" s="28"/>
      <c r="H115" s="27"/>
      <c r="I115" s="27"/>
      <c r="J115" s="27"/>
      <c r="K115" s="28"/>
      <c r="L115" s="29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27"/>
      <c r="X115" s="27"/>
    </row>
    <row r="116" spans="1:24">
      <c r="A116" s="30"/>
      <c r="B116" s="27"/>
      <c r="C116" s="28"/>
      <c r="D116" s="27"/>
      <c r="E116" s="28"/>
      <c r="F116" s="27"/>
      <c r="G116" s="28"/>
      <c r="H116" s="27"/>
      <c r="I116" s="27"/>
      <c r="J116" s="27"/>
      <c r="K116" s="28"/>
      <c r="L116" s="29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27"/>
      <c r="X116" s="27"/>
    </row>
    <row r="117" spans="1:24">
      <c r="A117" s="30"/>
      <c r="B117" s="27"/>
      <c r="C117" s="28"/>
      <c r="D117" s="27"/>
      <c r="E117" s="28"/>
      <c r="F117" s="27"/>
      <c r="G117" s="28"/>
      <c r="H117" s="27"/>
      <c r="I117" s="27"/>
      <c r="J117" s="27"/>
      <c r="K117" s="28"/>
      <c r="L117" s="29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27"/>
      <c r="X117" s="27"/>
    </row>
    <row r="118" spans="1:24">
      <c r="A118" s="30"/>
      <c r="B118" s="27"/>
      <c r="C118" s="28"/>
      <c r="D118" s="27"/>
      <c r="E118" s="28"/>
      <c r="F118" s="27"/>
      <c r="G118" s="28"/>
      <c r="H118" s="27"/>
      <c r="I118" s="27"/>
      <c r="J118" s="27"/>
      <c r="K118" s="28"/>
      <c r="L118" s="29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27"/>
      <c r="X118" s="27"/>
    </row>
    <row r="119" spans="1:24">
      <c r="A119" s="30"/>
      <c r="B119" s="27"/>
      <c r="C119" s="28"/>
      <c r="D119" s="27"/>
      <c r="E119" s="28"/>
      <c r="F119" s="27"/>
      <c r="G119" s="28"/>
      <c r="H119" s="27"/>
      <c r="I119" s="27"/>
      <c r="J119" s="27"/>
      <c r="K119" s="28"/>
      <c r="L119" s="29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27"/>
      <c r="X119" s="27"/>
    </row>
    <row r="120" spans="1:24">
      <c r="A120" s="30"/>
      <c r="B120" s="27"/>
      <c r="C120" s="28"/>
      <c r="D120" s="27"/>
      <c r="E120" s="28"/>
      <c r="F120" s="27"/>
      <c r="G120" s="28"/>
      <c r="H120" s="27"/>
      <c r="I120" s="27"/>
      <c r="J120" s="27"/>
      <c r="K120" s="28"/>
      <c r="L120" s="29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27"/>
      <c r="X120" s="27"/>
    </row>
    <row r="121" spans="1:24">
      <c r="A121" s="30"/>
      <c r="B121" s="27"/>
      <c r="C121" s="28"/>
      <c r="D121" s="27"/>
      <c r="E121" s="28"/>
      <c r="F121" s="27"/>
      <c r="G121" s="28"/>
      <c r="H121" s="27"/>
      <c r="I121" s="27"/>
      <c r="J121" s="27"/>
      <c r="K121" s="28"/>
      <c r="L121" s="29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27"/>
      <c r="X121" s="27"/>
    </row>
    <row r="122" spans="1:24">
      <c r="A122" s="30"/>
      <c r="B122" s="27"/>
      <c r="C122" s="28"/>
      <c r="D122" s="27"/>
      <c r="E122" s="28"/>
      <c r="F122" s="27"/>
      <c r="G122" s="28"/>
      <c r="H122" s="27"/>
      <c r="I122" s="27"/>
      <c r="J122" s="27"/>
      <c r="K122" s="28"/>
      <c r="L122" s="29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27"/>
      <c r="X122" s="27"/>
    </row>
    <row r="123" spans="1:24">
      <c r="A123" s="30"/>
      <c r="B123" s="27"/>
      <c r="C123" s="28"/>
      <c r="D123" s="27"/>
      <c r="E123" s="28"/>
      <c r="F123" s="27"/>
      <c r="G123" s="28"/>
      <c r="H123" s="27"/>
      <c r="I123" s="27"/>
      <c r="J123" s="27"/>
      <c r="K123" s="28"/>
      <c r="L123" s="29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27"/>
      <c r="X123" s="27"/>
    </row>
    <row r="124" spans="1:24">
      <c r="A124" s="30"/>
      <c r="B124" s="27"/>
      <c r="C124" s="28"/>
      <c r="D124" s="27"/>
      <c r="E124" s="28"/>
      <c r="F124" s="27"/>
      <c r="G124" s="28"/>
      <c r="H124" s="27"/>
      <c r="I124" s="27"/>
      <c r="J124" s="27"/>
      <c r="K124" s="28"/>
      <c r="L124" s="29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27"/>
      <c r="X124" s="27"/>
    </row>
    <row r="125" spans="1:24">
      <c r="A125" s="30"/>
      <c r="B125" s="27"/>
      <c r="C125" s="28"/>
      <c r="D125" s="27"/>
      <c r="E125" s="28"/>
      <c r="F125" s="27"/>
      <c r="G125" s="28"/>
      <c r="H125" s="27"/>
      <c r="I125" s="27"/>
      <c r="J125" s="27"/>
      <c r="K125" s="28"/>
      <c r="L125" s="29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27"/>
      <c r="X125" s="27"/>
    </row>
    <row r="126" spans="1:24">
      <c r="A126" s="30"/>
      <c r="B126" s="27"/>
      <c r="C126" s="28"/>
      <c r="D126" s="27"/>
      <c r="E126" s="28"/>
      <c r="F126" s="27"/>
      <c r="G126" s="28"/>
      <c r="H126" s="27"/>
      <c r="I126" s="27"/>
      <c r="J126" s="27"/>
      <c r="K126" s="28"/>
      <c r="L126" s="29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27"/>
      <c r="X126" s="27"/>
    </row>
    <row r="127" spans="1:24">
      <c r="A127" s="30"/>
      <c r="B127" s="27"/>
      <c r="C127" s="28"/>
      <c r="D127" s="27"/>
      <c r="E127" s="28"/>
      <c r="F127" s="27"/>
      <c r="G127" s="28"/>
      <c r="H127" s="27"/>
      <c r="I127" s="27"/>
      <c r="J127" s="27"/>
      <c r="K127" s="28"/>
      <c r="L127" s="29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27"/>
      <c r="X127" s="27"/>
    </row>
    <row r="128" spans="1:24">
      <c r="A128" s="30"/>
      <c r="B128" s="27"/>
      <c r="C128" s="28"/>
      <c r="D128" s="27"/>
      <c r="E128" s="28"/>
      <c r="F128" s="27"/>
      <c r="G128" s="28"/>
      <c r="H128" s="27"/>
      <c r="I128" s="27"/>
      <c r="J128" s="27"/>
      <c r="K128" s="28"/>
      <c r="L128" s="29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27"/>
      <c r="X128" s="27"/>
    </row>
    <row r="129" spans="1:24">
      <c r="A129" s="30"/>
      <c r="B129" s="27"/>
      <c r="C129" s="28"/>
      <c r="D129" s="27"/>
      <c r="E129" s="28"/>
      <c r="F129" s="27"/>
      <c r="G129" s="28"/>
      <c r="H129" s="27"/>
      <c r="I129" s="27"/>
      <c r="J129" s="27"/>
      <c r="K129" s="28"/>
      <c r="L129" s="29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27"/>
      <c r="X129" s="27"/>
    </row>
    <row r="130" spans="1:24">
      <c r="A130" s="30"/>
      <c r="B130" s="27"/>
      <c r="C130" s="28"/>
      <c r="D130" s="27"/>
      <c r="E130" s="28"/>
      <c r="F130" s="27"/>
      <c r="G130" s="28"/>
      <c r="H130" s="27"/>
      <c r="I130" s="27"/>
      <c r="J130" s="27"/>
      <c r="K130" s="28"/>
      <c r="L130" s="29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27"/>
      <c r="X130" s="27"/>
    </row>
    <row r="131" spans="1:24">
      <c r="A131" s="30"/>
      <c r="B131" s="27"/>
      <c r="C131" s="28"/>
      <c r="D131" s="27"/>
      <c r="E131" s="28"/>
      <c r="F131" s="27"/>
      <c r="G131" s="28"/>
      <c r="H131" s="27"/>
      <c r="I131" s="27"/>
      <c r="J131" s="27"/>
      <c r="K131" s="28"/>
      <c r="L131" s="29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27"/>
      <c r="X131" s="27"/>
    </row>
    <row r="132" spans="1:24">
      <c r="A132" s="30"/>
      <c r="B132" s="27"/>
      <c r="C132" s="28"/>
      <c r="D132" s="27"/>
      <c r="E132" s="28"/>
      <c r="F132" s="27"/>
      <c r="G132" s="28"/>
      <c r="H132" s="27"/>
      <c r="I132" s="27"/>
      <c r="J132" s="27"/>
      <c r="K132" s="28"/>
      <c r="L132" s="29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27"/>
      <c r="X132" s="27"/>
    </row>
    <row r="133" spans="1:24">
      <c r="A133" s="30"/>
      <c r="B133" s="27"/>
      <c r="C133" s="28"/>
      <c r="D133" s="27"/>
      <c r="E133" s="28"/>
      <c r="F133" s="27"/>
      <c r="G133" s="28"/>
      <c r="H133" s="27"/>
      <c r="I133" s="27"/>
      <c r="J133" s="27"/>
      <c r="K133" s="28"/>
      <c r="L133" s="29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27"/>
      <c r="X133" s="27"/>
    </row>
    <row r="134" spans="1:24">
      <c r="A134" s="30"/>
      <c r="B134" s="27"/>
      <c r="C134" s="28"/>
      <c r="D134" s="27"/>
      <c r="E134" s="28"/>
      <c r="F134" s="27"/>
      <c r="G134" s="28"/>
      <c r="H134" s="27"/>
      <c r="I134" s="27"/>
      <c r="J134" s="27"/>
      <c r="K134" s="28"/>
      <c r="L134" s="29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27"/>
      <c r="X134" s="27"/>
    </row>
    <row r="135" spans="1:24">
      <c r="A135" s="30"/>
      <c r="B135" s="27"/>
      <c r="C135" s="28"/>
      <c r="D135" s="27"/>
      <c r="E135" s="28"/>
      <c r="F135" s="27"/>
      <c r="G135" s="28"/>
      <c r="H135" s="27"/>
      <c r="I135" s="27"/>
      <c r="J135" s="27"/>
      <c r="K135" s="28"/>
      <c r="L135" s="29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27"/>
      <c r="X135" s="27"/>
    </row>
    <row r="136" spans="1:24">
      <c r="A136" s="30"/>
      <c r="B136" s="27"/>
      <c r="C136" s="28"/>
      <c r="D136" s="27"/>
      <c r="E136" s="28"/>
      <c r="F136" s="27"/>
      <c r="G136" s="28"/>
      <c r="H136" s="27"/>
      <c r="I136" s="27"/>
      <c r="J136" s="27"/>
      <c r="K136" s="28"/>
      <c r="L136" s="29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27"/>
      <c r="X136" s="27"/>
    </row>
    <row r="137" spans="1:24">
      <c r="A137" s="30"/>
      <c r="B137" s="27"/>
      <c r="C137" s="28"/>
      <c r="D137" s="27"/>
      <c r="E137" s="28"/>
      <c r="F137" s="27"/>
      <c r="G137" s="28"/>
      <c r="H137" s="27"/>
      <c r="I137" s="27"/>
      <c r="J137" s="27"/>
      <c r="K137" s="28"/>
      <c r="L137" s="29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27"/>
      <c r="X137" s="27"/>
    </row>
    <row r="138" spans="1:24">
      <c r="A138" s="30"/>
      <c r="B138" s="27"/>
      <c r="C138" s="28"/>
      <c r="D138" s="27"/>
      <c r="E138" s="28"/>
      <c r="F138" s="27"/>
      <c r="G138" s="28"/>
      <c r="H138" s="27"/>
      <c r="I138" s="27"/>
      <c r="J138" s="27"/>
      <c r="K138" s="28"/>
      <c r="L138" s="29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27"/>
      <c r="X138" s="27"/>
    </row>
  </sheetData>
  <sheetProtection algorithmName="SHA-512" hashValue="KZIPpFx+WvaoTgaG/XJpq1Rwd9AxRkzp97dFrNHVRGq9Bux0G7g/XdaJyKnf6FMGEbVK/BcSY2MGFUtPHmRLng==" saltValue="xMqB9yixStkLEcrV+F31og==" spinCount="100000" sheet="1" objects="1" scenarios="1" formatCells="0" formatColumns="0" formatRows="0"/>
  <mergeCells count="106">
    <mergeCell ref="W14:W15"/>
    <mergeCell ref="I4:I5"/>
    <mergeCell ref="S4:S5"/>
    <mergeCell ref="U4:U5"/>
    <mergeCell ref="W4:W5"/>
    <mergeCell ref="V8:V9"/>
    <mergeCell ref="X8:X9"/>
    <mergeCell ref="A1:A2"/>
    <mergeCell ref="X6:X7"/>
    <mergeCell ref="D4:D5"/>
    <mergeCell ref="I12:I13"/>
    <mergeCell ref="K12:K13"/>
    <mergeCell ref="B1:B2"/>
    <mergeCell ref="E6:E7"/>
    <mergeCell ref="U12:U13"/>
    <mergeCell ref="W12:W13"/>
    <mergeCell ref="L1:L2"/>
    <mergeCell ref="X1:X2"/>
    <mergeCell ref="G4:G5"/>
    <mergeCell ref="A14:A15"/>
    <mergeCell ref="I8:I9"/>
    <mergeCell ref="A4:A5"/>
    <mergeCell ref="K8:K9"/>
    <mergeCell ref="K4:K5"/>
    <mergeCell ref="G1:G2"/>
    <mergeCell ref="T6:T7"/>
    <mergeCell ref="I1:I2"/>
    <mergeCell ref="D14:D15"/>
    <mergeCell ref="F14:F15"/>
    <mergeCell ref="B4:B5"/>
    <mergeCell ref="R14:R15"/>
    <mergeCell ref="D6:D7"/>
    <mergeCell ref="F6:F7"/>
    <mergeCell ref="R4:R5"/>
    <mergeCell ref="T4:T5"/>
    <mergeCell ref="F12:F13"/>
    <mergeCell ref="H6:H7"/>
    <mergeCell ref="J6:J7"/>
    <mergeCell ref="G14:G15"/>
    <mergeCell ref="I14:I15"/>
    <mergeCell ref="K14:K15"/>
    <mergeCell ref="W1:W2"/>
    <mergeCell ref="D12:D13"/>
    <mergeCell ref="A8:A9"/>
    <mergeCell ref="C8:C9"/>
    <mergeCell ref="U8:U9"/>
    <mergeCell ref="X4:X5"/>
    <mergeCell ref="W8:W9"/>
    <mergeCell ref="H12:H13"/>
    <mergeCell ref="J12:J13"/>
    <mergeCell ref="V12:V13"/>
    <mergeCell ref="F4:F5"/>
    <mergeCell ref="H4:H5"/>
    <mergeCell ref="R8:R9"/>
    <mergeCell ref="D1:D2"/>
    <mergeCell ref="F1:F2"/>
    <mergeCell ref="B8:B9"/>
    <mergeCell ref="A6:A7"/>
    <mergeCell ref="F8:F9"/>
    <mergeCell ref="A12:A13"/>
    <mergeCell ref="C12:C13"/>
    <mergeCell ref="G6:G7"/>
    <mergeCell ref="T8:T9"/>
    <mergeCell ref="S6:S7"/>
    <mergeCell ref="X12:X13"/>
    <mergeCell ref="T12:T13"/>
    <mergeCell ref="J4:J5"/>
    <mergeCell ref="B6:B7"/>
    <mergeCell ref="X14:X15"/>
    <mergeCell ref="D8:D9"/>
    <mergeCell ref="H8:H9"/>
    <mergeCell ref="E12:E13"/>
    <mergeCell ref="J8:J9"/>
    <mergeCell ref="G12:G13"/>
    <mergeCell ref="I6:I7"/>
    <mergeCell ref="K6:K7"/>
    <mergeCell ref="C6:C7"/>
    <mergeCell ref="S12:S13"/>
    <mergeCell ref="U6:U7"/>
    <mergeCell ref="C14:C15"/>
    <mergeCell ref="W6:W7"/>
    <mergeCell ref="E14:E15"/>
    <mergeCell ref="C4:C5"/>
    <mergeCell ref="S14:S15"/>
    <mergeCell ref="E4:E5"/>
    <mergeCell ref="H14:H15"/>
    <mergeCell ref="J14:J15"/>
    <mergeCell ref="T14:T15"/>
    <mergeCell ref="V14:V15"/>
    <mergeCell ref="E8:E9"/>
    <mergeCell ref="B12:B13"/>
    <mergeCell ref="G8:G9"/>
    <mergeCell ref="S8:S9"/>
    <mergeCell ref="C1:C2"/>
    <mergeCell ref="E1:E2"/>
    <mergeCell ref="R6:R7"/>
    <mergeCell ref="M1:Q1"/>
    <mergeCell ref="B14:B15"/>
    <mergeCell ref="R12:R13"/>
    <mergeCell ref="H1:H2"/>
    <mergeCell ref="J1:J2"/>
    <mergeCell ref="R1:V1"/>
    <mergeCell ref="K1:K2"/>
    <mergeCell ref="V4:V5"/>
    <mergeCell ref="V6:V7"/>
    <mergeCell ref="U14:U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"/>
  <sheetViews>
    <sheetView topLeftCell="G1" zoomScale="91" zoomScaleNormal="91" workbookViewId="0">
      <selection activeCell="R3" sqref="R3"/>
    </sheetView>
  </sheetViews>
  <sheetFormatPr baseColWidth="10" defaultRowHeight="14.4"/>
  <cols>
    <col min="3" max="3" width="28.44140625" customWidth="1"/>
    <col min="5" max="5" width="28.44140625" customWidth="1"/>
    <col min="7" max="7" width="28.44140625" customWidth="1"/>
    <col min="8" max="8" width="11.44140625" customWidth="1"/>
    <col min="9" max="9" width="45.6640625" customWidth="1"/>
    <col min="11" max="12" width="28.44140625" customWidth="1"/>
    <col min="23" max="23" width="17.5546875" customWidth="1"/>
    <col min="24" max="24" width="29" customWidth="1"/>
  </cols>
  <sheetData>
    <row r="1" spans="1:24" s="1" customFormat="1" ht="18.75" customHeight="1">
      <c r="A1" s="153" t="s">
        <v>0</v>
      </c>
      <c r="B1" s="153" t="s">
        <v>1</v>
      </c>
      <c r="C1" s="153" t="s">
        <v>2</v>
      </c>
      <c r="D1" s="153" t="s">
        <v>3</v>
      </c>
      <c r="E1" s="153" t="s">
        <v>4</v>
      </c>
      <c r="F1" s="153" t="s">
        <v>5</v>
      </c>
      <c r="G1" s="153" t="s">
        <v>6</v>
      </c>
      <c r="H1" s="191" t="s">
        <v>7</v>
      </c>
      <c r="I1" s="158" t="s">
        <v>8</v>
      </c>
      <c r="J1" s="153" t="s">
        <v>9</v>
      </c>
      <c r="K1" s="151" t="s">
        <v>10</v>
      </c>
      <c r="L1" s="151" t="s">
        <v>11</v>
      </c>
      <c r="M1" s="148" t="s">
        <v>12</v>
      </c>
      <c r="N1" s="149"/>
      <c r="O1" s="149"/>
      <c r="P1" s="149"/>
      <c r="Q1" s="150"/>
      <c r="R1" s="151" t="s">
        <v>13</v>
      </c>
      <c r="S1" s="137"/>
      <c r="T1" s="137"/>
      <c r="U1" s="137"/>
      <c r="V1" s="138"/>
      <c r="W1" s="151" t="s">
        <v>14</v>
      </c>
      <c r="X1" s="157" t="s">
        <v>15</v>
      </c>
    </row>
    <row r="2" spans="1:24" s="1" customFormat="1" ht="24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2"/>
    </row>
    <row r="3" spans="1:24" ht="150" customHeight="1">
      <c r="A3" s="45">
        <v>1</v>
      </c>
      <c r="B3" s="45" t="s">
        <v>258</v>
      </c>
      <c r="C3" s="46" t="s">
        <v>259</v>
      </c>
      <c r="D3" s="47" t="s">
        <v>260</v>
      </c>
      <c r="E3" s="46" t="s">
        <v>261</v>
      </c>
      <c r="F3" s="44">
        <v>1</v>
      </c>
      <c r="G3" s="47" t="s">
        <v>262</v>
      </c>
      <c r="H3" s="116" t="s">
        <v>263</v>
      </c>
      <c r="I3" s="27"/>
      <c r="J3" s="44" t="s">
        <v>24</v>
      </c>
      <c r="K3" s="47" t="s">
        <v>25</v>
      </c>
      <c r="L3" s="47" t="s">
        <v>264</v>
      </c>
      <c r="M3" s="18"/>
      <c r="N3" s="18"/>
      <c r="O3" s="18"/>
      <c r="P3" s="18"/>
      <c r="Q3" s="18"/>
      <c r="R3" s="52">
        <f t="shared" ref="R3:V4" si="0">M3</f>
        <v>0</v>
      </c>
      <c r="S3" s="52">
        <f t="shared" si="0"/>
        <v>0</v>
      </c>
      <c r="T3" s="52">
        <f t="shared" si="0"/>
        <v>0</v>
      </c>
      <c r="U3" s="52">
        <f t="shared" si="0"/>
        <v>0</v>
      </c>
      <c r="V3" s="52">
        <f t="shared" si="0"/>
        <v>0</v>
      </c>
      <c r="W3" s="44" t="s">
        <v>27</v>
      </c>
      <c r="X3" s="26"/>
    </row>
    <row r="4" spans="1:24" ht="150" customHeight="1">
      <c r="A4" s="45">
        <v>2</v>
      </c>
      <c r="B4" s="45" t="s">
        <v>258</v>
      </c>
      <c r="C4" s="46" t="s">
        <v>259</v>
      </c>
      <c r="D4" s="47" t="s">
        <v>260</v>
      </c>
      <c r="E4" s="46" t="s">
        <v>261</v>
      </c>
      <c r="F4" s="44">
        <v>7</v>
      </c>
      <c r="G4" s="47" t="s">
        <v>265</v>
      </c>
      <c r="H4" s="116" t="s">
        <v>266</v>
      </c>
      <c r="I4" s="17"/>
      <c r="J4" s="44" t="s">
        <v>24</v>
      </c>
      <c r="K4" s="47" t="s">
        <v>25</v>
      </c>
      <c r="L4" s="47" t="s">
        <v>267</v>
      </c>
      <c r="M4" s="18"/>
      <c r="N4" s="18"/>
      <c r="O4" s="18"/>
      <c r="P4" s="18"/>
      <c r="Q4" s="18"/>
      <c r="R4" s="52">
        <f t="shared" si="0"/>
        <v>0</v>
      </c>
      <c r="S4" s="52">
        <f t="shared" si="0"/>
        <v>0</v>
      </c>
      <c r="T4" s="52">
        <f t="shared" si="0"/>
        <v>0</v>
      </c>
      <c r="U4" s="52">
        <f t="shared" si="0"/>
        <v>0</v>
      </c>
      <c r="V4" s="52">
        <f t="shared" si="0"/>
        <v>0</v>
      </c>
      <c r="W4" s="44" t="s">
        <v>27</v>
      </c>
      <c r="X4" s="26"/>
    </row>
  </sheetData>
  <sheetProtection algorithmName="SHA-512" hashValue="eCTFDUz4Fvb+mufVcFZKeiLusdU1BHkTI8bdCrQ3ldtGPajF4xqUQbfbm5Ld+pu+uLbyLB+zXEYHvF01RivX2w==" saltValue="2ZtT2mYRLyBf4SrAFgRQgw==" spinCount="100000" sheet="1" objects="1" scenarios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"/>
  <sheetViews>
    <sheetView topLeftCell="G1" zoomScaleNormal="100" workbookViewId="0">
      <selection activeCell="G4" sqref="G4"/>
    </sheetView>
  </sheetViews>
  <sheetFormatPr baseColWidth="10" defaultRowHeight="14.4"/>
  <cols>
    <col min="1" max="1" width="11.44140625" style="1" customWidth="1"/>
    <col min="3" max="3" width="27.88671875" customWidth="1"/>
    <col min="5" max="5" width="27.88671875" customWidth="1"/>
    <col min="7" max="8" width="27.88671875" customWidth="1"/>
    <col min="9" max="9" width="45.6640625" customWidth="1"/>
    <col min="11" max="11" width="27.88671875" style="22" customWidth="1"/>
    <col min="12" max="12" width="27.88671875" customWidth="1"/>
    <col min="13" max="22" width="11.44140625" style="1" customWidth="1"/>
    <col min="24" max="24" width="29" customWidth="1"/>
  </cols>
  <sheetData>
    <row r="1" spans="1:24" ht="23.4" customHeight="1">
      <c r="A1" s="153" t="s">
        <v>0</v>
      </c>
      <c r="B1" s="153" t="s">
        <v>1</v>
      </c>
      <c r="C1" s="153" t="s">
        <v>2</v>
      </c>
      <c r="D1" s="153" t="s">
        <v>3</v>
      </c>
      <c r="E1" s="153" t="s">
        <v>4</v>
      </c>
      <c r="F1" s="153" t="s">
        <v>5</v>
      </c>
      <c r="G1" s="153" t="s">
        <v>6</v>
      </c>
      <c r="H1" s="191" t="s">
        <v>7</v>
      </c>
      <c r="I1" s="158" t="s">
        <v>8</v>
      </c>
      <c r="J1" s="153" t="s">
        <v>9</v>
      </c>
      <c r="K1" s="151" t="s">
        <v>10</v>
      </c>
      <c r="L1" s="151" t="s">
        <v>11</v>
      </c>
      <c r="M1" s="148" t="s">
        <v>12</v>
      </c>
      <c r="N1" s="149"/>
      <c r="O1" s="149"/>
      <c r="P1" s="149"/>
      <c r="Q1" s="150"/>
      <c r="R1" s="136" t="s">
        <v>13</v>
      </c>
      <c r="S1" s="137"/>
      <c r="T1" s="137"/>
      <c r="U1" s="137"/>
      <c r="V1" s="138"/>
      <c r="W1" s="151" t="s">
        <v>14</v>
      </c>
      <c r="X1" s="157" t="s">
        <v>15</v>
      </c>
    </row>
    <row r="2" spans="1:24" ht="33.6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2"/>
    </row>
    <row r="3" spans="1:24" ht="165" customHeight="1">
      <c r="A3" s="44">
        <v>2</v>
      </c>
      <c r="B3" s="45" t="s">
        <v>268</v>
      </c>
      <c r="C3" s="46" t="s">
        <v>269</v>
      </c>
      <c r="D3" s="47" t="s">
        <v>270</v>
      </c>
      <c r="E3" s="46" t="s">
        <v>271</v>
      </c>
      <c r="F3" s="44">
        <v>6</v>
      </c>
      <c r="G3" s="47" t="s">
        <v>272</v>
      </c>
      <c r="H3" s="116" t="s">
        <v>273</v>
      </c>
      <c r="I3" s="17"/>
      <c r="J3" s="44" t="s">
        <v>24</v>
      </c>
      <c r="K3" s="48" t="s">
        <v>25</v>
      </c>
      <c r="L3" s="47" t="s">
        <v>274</v>
      </c>
      <c r="M3" s="18"/>
      <c r="N3" s="18"/>
      <c r="O3" s="18"/>
      <c r="P3" s="18"/>
      <c r="Q3" s="18"/>
      <c r="R3" s="52">
        <f t="shared" ref="R3:V5" si="0">M3</f>
        <v>0</v>
      </c>
      <c r="S3" s="52">
        <f t="shared" si="0"/>
        <v>0</v>
      </c>
      <c r="T3" s="52">
        <f t="shared" si="0"/>
        <v>0</v>
      </c>
      <c r="U3" s="52">
        <f t="shared" si="0"/>
        <v>0</v>
      </c>
      <c r="V3" s="52">
        <f t="shared" si="0"/>
        <v>0</v>
      </c>
      <c r="W3" s="44" t="s">
        <v>27</v>
      </c>
      <c r="X3" s="26"/>
    </row>
    <row r="4" spans="1:24" ht="165" customHeight="1">
      <c r="A4" s="44">
        <v>3</v>
      </c>
      <c r="B4" s="45" t="s">
        <v>268</v>
      </c>
      <c r="C4" s="46" t="s">
        <v>269</v>
      </c>
      <c r="D4" s="47" t="s">
        <v>270</v>
      </c>
      <c r="E4" s="46" t="s">
        <v>271</v>
      </c>
      <c r="F4" s="44">
        <v>13</v>
      </c>
      <c r="G4" s="47" t="s">
        <v>275</v>
      </c>
      <c r="H4" s="116" t="s">
        <v>276</v>
      </c>
      <c r="I4" s="17"/>
      <c r="J4" s="44" t="s">
        <v>24</v>
      </c>
      <c r="K4" s="48" t="s">
        <v>25</v>
      </c>
      <c r="L4" s="47" t="s">
        <v>277</v>
      </c>
      <c r="M4" s="25"/>
      <c r="N4" s="25"/>
      <c r="O4" s="25"/>
      <c r="P4" s="25"/>
      <c r="Q4" s="25"/>
      <c r="R4" s="52">
        <f t="shared" si="0"/>
        <v>0</v>
      </c>
      <c r="S4" s="52">
        <f t="shared" si="0"/>
        <v>0</v>
      </c>
      <c r="T4" s="52">
        <f t="shared" si="0"/>
        <v>0</v>
      </c>
      <c r="U4" s="52">
        <f t="shared" si="0"/>
        <v>0</v>
      </c>
      <c r="V4" s="52">
        <f t="shared" si="0"/>
        <v>0</v>
      </c>
      <c r="W4" s="44" t="s">
        <v>27</v>
      </c>
      <c r="X4" s="26"/>
    </row>
    <row r="5" spans="1:24" ht="165" customHeight="1">
      <c r="A5" s="44">
        <v>4</v>
      </c>
      <c r="B5" s="45" t="s">
        <v>268</v>
      </c>
      <c r="C5" s="46" t="s">
        <v>269</v>
      </c>
      <c r="D5" s="47" t="s">
        <v>270</v>
      </c>
      <c r="E5" s="46" t="s">
        <v>271</v>
      </c>
      <c r="F5" s="44">
        <v>15</v>
      </c>
      <c r="G5" s="47" t="s">
        <v>278</v>
      </c>
      <c r="H5" s="116" t="s">
        <v>279</v>
      </c>
      <c r="I5" s="17"/>
      <c r="J5" s="44" t="s">
        <v>24</v>
      </c>
      <c r="K5" s="48" t="s">
        <v>25</v>
      </c>
      <c r="L5" s="47" t="s">
        <v>280</v>
      </c>
      <c r="M5" s="18"/>
      <c r="N5" s="18"/>
      <c r="O5" s="18"/>
      <c r="P5" s="18"/>
      <c r="Q5" s="18"/>
      <c r="R5" s="52">
        <f t="shared" si="0"/>
        <v>0</v>
      </c>
      <c r="S5" s="52">
        <f t="shared" si="0"/>
        <v>0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27</v>
      </c>
      <c r="X5" s="26"/>
    </row>
  </sheetData>
  <sheetProtection algorithmName="SHA-512" hashValue="xHr5SJilA3TH5JLdKGOx+RG+pUkr+DiONR1T3R1mGCx+0SI9d0uqKnCqJ96C6bLgEbthzkKFnkJtgaUBKpG2LQ==" saltValue="bGC4MZUrPr5XOOFJTA1m1A==" spinCount="100000" sheet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8"/>
  <sheetViews>
    <sheetView topLeftCell="E5" zoomScale="85" zoomScaleNormal="85" workbookViewId="0">
      <selection activeCell="G3" sqref="G3"/>
    </sheetView>
  </sheetViews>
  <sheetFormatPr baseColWidth="10" defaultRowHeight="14.4"/>
  <cols>
    <col min="1" max="1" width="11.44140625" style="1" customWidth="1"/>
    <col min="3" max="3" width="28.44140625" customWidth="1"/>
    <col min="5" max="5" width="28.44140625" customWidth="1"/>
    <col min="7" max="8" width="28.44140625" customWidth="1"/>
    <col min="9" max="9" width="45.6640625" customWidth="1"/>
    <col min="11" max="12" width="28.44140625" customWidth="1"/>
    <col min="13" max="22" width="11.44140625" style="1" customWidth="1"/>
    <col min="23" max="23" width="13" customWidth="1"/>
    <col min="24" max="24" width="29" customWidth="1"/>
  </cols>
  <sheetData>
    <row r="1" spans="1:24" ht="18.75" customHeight="1">
      <c r="A1" s="153" t="s">
        <v>0</v>
      </c>
      <c r="B1" s="153" t="s">
        <v>1</v>
      </c>
      <c r="C1" s="153" t="s">
        <v>2</v>
      </c>
      <c r="D1" s="153" t="s">
        <v>3</v>
      </c>
      <c r="E1" s="153" t="s">
        <v>4</v>
      </c>
      <c r="F1" s="153" t="s">
        <v>5</v>
      </c>
      <c r="G1" s="153" t="s">
        <v>6</v>
      </c>
      <c r="H1" s="191" t="s">
        <v>7</v>
      </c>
      <c r="I1" s="158" t="s">
        <v>8</v>
      </c>
      <c r="J1" s="153" t="s">
        <v>9</v>
      </c>
      <c r="K1" s="194" t="s">
        <v>10</v>
      </c>
      <c r="L1" s="151" t="s">
        <v>11</v>
      </c>
      <c r="M1" s="148" t="s">
        <v>12</v>
      </c>
      <c r="N1" s="149"/>
      <c r="O1" s="149"/>
      <c r="P1" s="149"/>
      <c r="Q1" s="150"/>
      <c r="R1" s="136" t="s">
        <v>13</v>
      </c>
      <c r="S1" s="137"/>
      <c r="T1" s="137"/>
      <c r="U1" s="137"/>
      <c r="V1" s="138"/>
      <c r="W1" s="151" t="s">
        <v>14</v>
      </c>
      <c r="X1" s="157" t="s">
        <v>15</v>
      </c>
    </row>
    <row r="2" spans="1:24" ht="24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2"/>
    </row>
    <row r="3" spans="1:24" ht="156.75" customHeight="1">
      <c r="A3" s="44">
        <v>1</v>
      </c>
      <c r="B3" s="45" t="s">
        <v>281</v>
      </c>
      <c r="C3" s="47" t="s">
        <v>282</v>
      </c>
      <c r="D3" s="47" t="s">
        <v>283</v>
      </c>
      <c r="E3" s="47" t="s">
        <v>284</v>
      </c>
      <c r="F3" s="44">
        <v>2</v>
      </c>
      <c r="G3" s="104" t="s">
        <v>285</v>
      </c>
      <c r="H3" s="116" t="s">
        <v>286</v>
      </c>
      <c r="I3" s="17"/>
      <c r="J3" s="44" t="s">
        <v>24</v>
      </c>
      <c r="K3" s="47" t="s">
        <v>25</v>
      </c>
      <c r="L3" s="47" t="s">
        <v>287</v>
      </c>
      <c r="M3" s="25"/>
      <c r="N3" s="25"/>
      <c r="O3" s="25"/>
      <c r="P3" s="25"/>
      <c r="Q3" s="25"/>
      <c r="R3" s="52">
        <f t="shared" ref="R3:V8" si="0">M3</f>
        <v>0</v>
      </c>
      <c r="S3" s="52">
        <f t="shared" si="0"/>
        <v>0</v>
      </c>
      <c r="T3" s="52">
        <f t="shared" si="0"/>
        <v>0</v>
      </c>
      <c r="U3" s="52">
        <f t="shared" si="0"/>
        <v>0</v>
      </c>
      <c r="V3" s="52">
        <f t="shared" si="0"/>
        <v>0</v>
      </c>
      <c r="W3" s="44" t="s">
        <v>32</v>
      </c>
      <c r="X3" s="26"/>
    </row>
    <row r="4" spans="1:24" ht="156.75" customHeight="1">
      <c r="A4" s="44">
        <v>2</v>
      </c>
      <c r="B4" s="45" t="s">
        <v>281</v>
      </c>
      <c r="C4" s="47" t="s">
        <v>282</v>
      </c>
      <c r="D4" s="47" t="s">
        <v>283</v>
      </c>
      <c r="E4" s="47" t="s">
        <v>284</v>
      </c>
      <c r="F4" s="44">
        <v>4</v>
      </c>
      <c r="G4" s="104" t="s">
        <v>288</v>
      </c>
      <c r="H4" s="117" t="s">
        <v>289</v>
      </c>
      <c r="I4" s="17"/>
      <c r="J4" s="44" t="s">
        <v>24</v>
      </c>
      <c r="K4" s="47" t="s">
        <v>25</v>
      </c>
      <c r="L4" s="47" t="s">
        <v>290</v>
      </c>
      <c r="M4" s="25"/>
      <c r="N4" s="25"/>
      <c r="O4" s="25"/>
      <c r="P4" s="25"/>
      <c r="Q4" s="25"/>
      <c r="R4" s="52">
        <f t="shared" si="0"/>
        <v>0</v>
      </c>
      <c r="S4" s="52">
        <f t="shared" si="0"/>
        <v>0</v>
      </c>
      <c r="T4" s="52">
        <f t="shared" si="0"/>
        <v>0</v>
      </c>
      <c r="U4" s="52">
        <f t="shared" si="0"/>
        <v>0</v>
      </c>
      <c r="V4" s="52">
        <f t="shared" si="0"/>
        <v>0</v>
      </c>
      <c r="W4" s="44" t="s">
        <v>32</v>
      </c>
      <c r="X4" s="26"/>
    </row>
    <row r="5" spans="1:24" ht="156.75" customHeight="1">
      <c r="A5" s="44">
        <v>3</v>
      </c>
      <c r="B5" s="45" t="s">
        <v>281</v>
      </c>
      <c r="C5" s="47" t="s">
        <v>282</v>
      </c>
      <c r="D5" s="47" t="s">
        <v>283</v>
      </c>
      <c r="E5" s="47" t="s">
        <v>284</v>
      </c>
      <c r="F5" s="44">
        <v>8</v>
      </c>
      <c r="G5" s="104" t="s">
        <v>291</v>
      </c>
      <c r="H5" s="116" t="s">
        <v>292</v>
      </c>
      <c r="I5" s="17"/>
      <c r="J5" s="44" t="s">
        <v>24</v>
      </c>
      <c r="K5" s="47" t="s">
        <v>25</v>
      </c>
      <c r="L5" s="47" t="s">
        <v>293</v>
      </c>
      <c r="M5" s="25"/>
      <c r="N5" s="25"/>
      <c r="O5" s="25"/>
      <c r="P5" s="25"/>
      <c r="Q5" s="25"/>
      <c r="R5" s="52">
        <f t="shared" si="0"/>
        <v>0</v>
      </c>
      <c r="S5" s="52">
        <f t="shared" si="0"/>
        <v>0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32</v>
      </c>
      <c r="X5" s="26"/>
    </row>
    <row r="6" spans="1:24" ht="156.75" customHeight="1">
      <c r="A6" s="44">
        <v>4</v>
      </c>
      <c r="B6" s="45" t="s">
        <v>281</v>
      </c>
      <c r="C6" s="47" t="s">
        <v>282</v>
      </c>
      <c r="D6" s="47" t="s">
        <v>294</v>
      </c>
      <c r="E6" s="47" t="s">
        <v>295</v>
      </c>
      <c r="F6" s="44">
        <v>15</v>
      </c>
      <c r="G6" s="104" t="s">
        <v>296</v>
      </c>
      <c r="H6" s="115" t="s">
        <v>297</v>
      </c>
      <c r="I6" s="17"/>
      <c r="J6" s="44" t="s">
        <v>24</v>
      </c>
      <c r="K6" s="47" t="s">
        <v>25</v>
      </c>
      <c r="L6" s="47" t="s">
        <v>298</v>
      </c>
      <c r="M6" s="25"/>
      <c r="N6" s="25"/>
      <c r="O6" s="25"/>
      <c r="P6" s="25"/>
      <c r="Q6" s="25"/>
      <c r="R6" s="52">
        <f t="shared" si="0"/>
        <v>0</v>
      </c>
      <c r="S6" s="52">
        <f t="shared" si="0"/>
        <v>0</v>
      </c>
      <c r="T6" s="52">
        <f t="shared" si="0"/>
        <v>0</v>
      </c>
      <c r="U6" s="52">
        <f t="shared" si="0"/>
        <v>0</v>
      </c>
      <c r="V6" s="52">
        <f t="shared" si="0"/>
        <v>0</v>
      </c>
      <c r="W6" s="44" t="s">
        <v>32</v>
      </c>
      <c r="X6" s="26"/>
    </row>
    <row r="7" spans="1:24" ht="156.75" customHeight="1">
      <c r="A7" s="44">
        <v>5</v>
      </c>
      <c r="B7" s="44" t="s">
        <v>281</v>
      </c>
      <c r="C7" s="49" t="s">
        <v>282</v>
      </c>
      <c r="D7" s="49" t="s">
        <v>294</v>
      </c>
      <c r="E7" s="47" t="s">
        <v>295</v>
      </c>
      <c r="F7" s="44">
        <v>17</v>
      </c>
      <c r="G7" s="104" t="s">
        <v>299</v>
      </c>
      <c r="H7" s="115" t="s">
        <v>300</v>
      </c>
      <c r="I7" s="17"/>
      <c r="J7" s="44" t="s">
        <v>24</v>
      </c>
      <c r="K7" s="47" t="s">
        <v>25</v>
      </c>
      <c r="L7" s="49" t="s">
        <v>301</v>
      </c>
      <c r="M7" s="25"/>
      <c r="N7" s="25"/>
      <c r="O7" s="25"/>
      <c r="P7" s="25"/>
      <c r="Q7" s="25"/>
      <c r="R7" s="52">
        <f t="shared" si="0"/>
        <v>0</v>
      </c>
      <c r="S7" s="52">
        <f t="shared" si="0"/>
        <v>0</v>
      </c>
      <c r="T7" s="52">
        <f t="shared" si="0"/>
        <v>0</v>
      </c>
      <c r="U7" s="52">
        <f t="shared" si="0"/>
        <v>0</v>
      </c>
      <c r="V7" s="52">
        <f t="shared" si="0"/>
        <v>0</v>
      </c>
      <c r="W7" s="44" t="s">
        <v>32</v>
      </c>
      <c r="X7" s="26"/>
    </row>
    <row r="8" spans="1:24" ht="156.75" customHeight="1">
      <c r="A8" s="44">
        <v>6</v>
      </c>
      <c r="B8" s="45" t="s">
        <v>281</v>
      </c>
      <c r="C8" s="47" t="s">
        <v>282</v>
      </c>
      <c r="D8" s="47" t="s">
        <v>294</v>
      </c>
      <c r="E8" s="47" t="s">
        <v>295</v>
      </c>
      <c r="F8" s="44">
        <v>20</v>
      </c>
      <c r="G8" s="104" t="s">
        <v>302</v>
      </c>
      <c r="H8" s="115" t="s">
        <v>303</v>
      </c>
      <c r="I8" s="17"/>
      <c r="J8" s="44" t="s">
        <v>24</v>
      </c>
      <c r="K8" s="47" t="s">
        <v>25</v>
      </c>
      <c r="L8" s="47" t="s">
        <v>304</v>
      </c>
      <c r="M8" s="25"/>
      <c r="N8" s="25"/>
      <c r="O8" s="25"/>
      <c r="P8" s="25"/>
      <c r="Q8" s="25"/>
      <c r="R8" s="52">
        <f t="shared" si="0"/>
        <v>0</v>
      </c>
      <c r="S8" s="52">
        <f t="shared" si="0"/>
        <v>0</v>
      </c>
      <c r="T8" s="52">
        <f t="shared" si="0"/>
        <v>0</v>
      </c>
      <c r="U8" s="52">
        <f t="shared" si="0"/>
        <v>0</v>
      </c>
      <c r="V8" s="52">
        <f t="shared" si="0"/>
        <v>0</v>
      </c>
      <c r="W8" s="44" t="s">
        <v>32</v>
      </c>
      <c r="X8" s="26"/>
    </row>
  </sheetData>
  <sheetProtection algorithmName="SHA-512" hashValue="4jjh2tfnSpxwsHCw6sQmNweDt5USklJSSmWtnezQkoJLwM+KfgeBlLzlLw21HZBTsMiKma32Ahrxq+fPrweQZA==" saltValue="kKoKlmZ5EN6iVr8gm5GJqw==" spinCount="100000" sheet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"/>
  <sheetViews>
    <sheetView topLeftCell="E1" zoomScale="91" zoomScaleNormal="91" workbookViewId="0">
      <selection activeCell="L1" sqref="L1:L1048576"/>
    </sheetView>
  </sheetViews>
  <sheetFormatPr baseColWidth="10" defaultRowHeight="14.4"/>
  <cols>
    <col min="3" max="3" width="29.33203125" style="22" customWidth="1"/>
    <col min="5" max="5" width="29.33203125" style="22" customWidth="1"/>
    <col min="7" max="8" width="29.33203125" style="22" customWidth="1"/>
    <col min="9" max="9" width="45.6640625" customWidth="1"/>
    <col min="11" max="11" width="29.33203125" style="1" customWidth="1"/>
    <col min="12" max="12" width="29.33203125" style="22" customWidth="1"/>
    <col min="13" max="22" width="11.44140625" style="1" customWidth="1"/>
    <col min="24" max="24" width="29" customWidth="1"/>
  </cols>
  <sheetData>
    <row r="1" spans="1:24" ht="18.75" customHeight="1">
      <c r="A1" s="153" t="s">
        <v>0</v>
      </c>
      <c r="B1" s="153" t="s">
        <v>1</v>
      </c>
      <c r="C1" s="196" t="s">
        <v>2</v>
      </c>
      <c r="D1" s="153" t="s">
        <v>3</v>
      </c>
      <c r="E1" s="196" t="s">
        <v>4</v>
      </c>
      <c r="F1" s="153" t="s">
        <v>5</v>
      </c>
      <c r="G1" s="196" t="s">
        <v>6</v>
      </c>
      <c r="H1" s="200" t="s">
        <v>7</v>
      </c>
      <c r="I1" s="158" t="s">
        <v>8</v>
      </c>
      <c r="J1" s="153" t="s">
        <v>9</v>
      </c>
      <c r="K1" s="151" t="s">
        <v>10</v>
      </c>
      <c r="L1" s="156" t="s">
        <v>11</v>
      </c>
      <c r="M1" s="148" t="s">
        <v>12</v>
      </c>
      <c r="N1" s="149"/>
      <c r="O1" s="149"/>
      <c r="P1" s="149"/>
      <c r="Q1" s="150"/>
      <c r="R1" s="136" t="s">
        <v>13</v>
      </c>
      <c r="S1" s="137"/>
      <c r="T1" s="137"/>
      <c r="U1" s="137"/>
      <c r="V1" s="138"/>
      <c r="W1" s="151" t="s">
        <v>14</v>
      </c>
      <c r="X1" s="157" t="s">
        <v>15</v>
      </c>
    </row>
    <row r="2" spans="1:24" ht="24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2"/>
    </row>
    <row r="3" spans="1:24" ht="95.25" customHeight="1">
      <c r="A3" s="44">
        <v>1</v>
      </c>
      <c r="B3" s="45" t="s">
        <v>305</v>
      </c>
      <c r="C3" s="48" t="s">
        <v>306</v>
      </c>
      <c r="D3" s="47" t="s">
        <v>307</v>
      </c>
      <c r="E3" s="48" t="s">
        <v>308</v>
      </c>
      <c r="F3" s="44">
        <v>1</v>
      </c>
      <c r="G3" s="48" t="s">
        <v>309</v>
      </c>
      <c r="H3" s="18" t="s">
        <v>310</v>
      </c>
      <c r="I3" s="20"/>
      <c r="J3" s="44" t="s">
        <v>24</v>
      </c>
      <c r="K3" s="49" t="s">
        <v>25</v>
      </c>
      <c r="L3" s="48" t="s">
        <v>311</v>
      </c>
      <c r="M3" s="25"/>
      <c r="N3" s="25"/>
      <c r="O3" s="25"/>
      <c r="P3" s="25"/>
      <c r="Q3" s="25"/>
      <c r="R3" s="52">
        <f>M3</f>
        <v>0</v>
      </c>
      <c r="S3" s="52">
        <f>N3</f>
        <v>0</v>
      </c>
      <c r="T3" s="52">
        <f>O3</f>
        <v>0</v>
      </c>
      <c r="U3" s="52">
        <f>P3</f>
        <v>0</v>
      </c>
      <c r="V3" s="52">
        <f>Q3</f>
        <v>0</v>
      </c>
      <c r="W3" s="44" t="s">
        <v>27</v>
      </c>
      <c r="X3" s="26"/>
    </row>
    <row r="4" spans="1:24" ht="57.75" customHeight="1">
      <c r="A4" s="143">
        <v>2</v>
      </c>
      <c r="B4" s="143" t="s">
        <v>305</v>
      </c>
      <c r="C4" s="162" t="s">
        <v>306</v>
      </c>
      <c r="D4" s="152" t="s">
        <v>307</v>
      </c>
      <c r="E4" s="162" t="s">
        <v>308</v>
      </c>
      <c r="F4" s="143">
        <v>2</v>
      </c>
      <c r="G4" s="162" t="s">
        <v>312</v>
      </c>
      <c r="H4" s="145" t="s">
        <v>313</v>
      </c>
      <c r="I4" s="145"/>
      <c r="J4" s="155" t="s">
        <v>45</v>
      </c>
      <c r="K4" s="152" t="s">
        <v>314</v>
      </c>
      <c r="L4" s="48" t="s">
        <v>315</v>
      </c>
      <c r="M4" s="25"/>
      <c r="N4" s="25"/>
      <c r="O4" s="25"/>
      <c r="P4" s="25"/>
      <c r="Q4" s="25"/>
      <c r="R4" s="139" t="str">
        <f>IF(M5,M4/M5*100,"0")</f>
        <v>0</v>
      </c>
      <c r="S4" s="139" t="str">
        <f>IF(N5,N4/N5*100,"0")</f>
        <v>0</v>
      </c>
      <c r="T4" s="139" t="str">
        <f>IF(O5,O4/O5*100,"0")</f>
        <v>0</v>
      </c>
      <c r="U4" s="139" t="str">
        <f>IF(P5,P4/P5*100,"0")</f>
        <v>0</v>
      </c>
      <c r="V4" s="139" t="str">
        <f>IF(Q5,Q4/Q5*100,"0")</f>
        <v>0</v>
      </c>
      <c r="W4" s="143" t="s">
        <v>27</v>
      </c>
      <c r="X4" s="141"/>
    </row>
    <row r="5" spans="1:24" ht="37.5" customHeight="1">
      <c r="A5" s="140"/>
      <c r="B5" s="140"/>
      <c r="C5" s="140"/>
      <c r="D5" s="140"/>
      <c r="E5" s="140"/>
      <c r="F5" s="140"/>
      <c r="G5" s="140"/>
      <c r="H5" s="142"/>
      <c r="I5" s="142"/>
      <c r="J5" s="140"/>
      <c r="K5" s="140"/>
      <c r="L5" s="48" t="s">
        <v>316</v>
      </c>
      <c r="M5" s="25"/>
      <c r="N5" s="25"/>
      <c r="O5" s="25"/>
      <c r="P5" s="25"/>
      <c r="Q5" s="25"/>
      <c r="R5" s="140"/>
      <c r="S5" s="140"/>
      <c r="T5" s="140"/>
      <c r="U5" s="140"/>
      <c r="V5" s="140"/>
      <c r="W5" s="140"/>
      <c r="X5" s="142"/>
    </row>
    <row r="6" spans="1:24" ht="47.25" customHeight="1">
      <c r="A6" s="143">
        <v>3</v>
      </c>
      <c r="B6" s="143" t="s">
        <v>305</v>
      </c>
      <c r="C6" s="162" t="s">
        <v>306</v>
      </c>
      <c r="D6" s="152" t="s">
        <v>307</v>
      </c>
      <c r="E6" s="162" t="s">
        <v>308</v>
      </c>
      <c r="F6" s="143">
        <v>3</v>
      </c>
      <c r="G6" s="162" t="s">
        <v>317</v>
      </c>
      <c r="H6" s="145" t="s">
        <v>318</v>
      </c>
      <c r="I6" s="145"/>
      <c r="J6" s="155" t="s">
        <v>45</v>
      </c>
      <c r="K6" s="152" t="s">
        <v>319</v>
      </c>
      <c r="L6" s="48" t="s">
        <v>320</v>
      </c>
      <c r="M6" s="25"/>
      <c r="N6" s="25"/>
      <c r="O6" s="25"/>
      <c r="P6" s="25"/>
      <c r="Q6" s="25"/>
      <c r="R6" s="139" t="str">
        <f>IF(M7,M6/M7*100,"0")</f>
        <v>0</v>
      </c>
      <c r="S6" s="139" t="str">
        <f>IF(N7,N6/N7*100,"0")</f>
        <v>0</v>
      </c>
      <c r="T6" s="139" t="str">
        <f>IF(O7,O6/O7*100,"0")</f>
        <v>0</v>
      </c>
      <c r="U6" s="139" t="str">
        <f>IF(P7,P6/P7*100,"0")</f>
        <v>0</v>
      </c>
      <c r="V6" s="139" t="str">
        <f>IF(Q7,Q6/Q7*100,"0")</f>
        <v>0</v>
      </c>
      <c r="W6" s="143" t="s">
        <v>27</v>
      </c>
      <c r="X6" s="141"/>
    </row>
    <row r="7" spans="1:24" ht="47.25" customHeight="1">
      <c r="A7" s="140"/>
      <c r="B7" s="140"/>
      <c r="C7" s="140"/>
      <c r="D7" s="140"/>
      <c r="E7" s="140"/>
      <c r="F7" s="140"/>
      <c r="G7" s="140"/>
      <c r="H7" s="142"/>
      <c r="I7" s="142"/>
      <c r="J7" s="140"/>
      <c r="K7" s="140"/>
      <c r="L7" s="90" t="s">
        <v>321</v>
      </c>
      <c r="M7" s="21"/>
      <c r="N7" s="21"/>
      <c r="O7" s="21"/>
      <c r="P7" s="21"/>
      <c r="Q7" s="21"/>
      <c r="R7" s="140"/>
      <c r="S7" s="140"/>
      <c r="T7" s="140"/>
      <c r="U7" s="140"/>
      <c r="V7" s="140"/>
      <c r="W7" s="140"/>
      <c r="X7" s="142"/>
    </row>
    <row r="8" spans="1:24" ht="48.75" customHeight="1">
      <c r="A8" s="143">
        <v>4</v>
      </c>
      <c r="B8" s="143" t="s">
        <v>305</v>
      </c>
      <c r="C8" s="162" t="s">
        <v>306</v>
      </c>
      <c r="D8" s="152" t="s">
        <v>307</v>
      </c>
      <c r="E8" s="195" t="s">
        <v>308</v>
      </c>
      <c r="F8" s="139">
        <v>7</v>
      </c>
      <c r="G8" s="195" t="s">
        <v>322</v>
      </c>
      <c r="H8" s="197" t="s">
        <v>323</v>
      </c>
      <c r="I8" s="197"/>
      <c r="J8" s="199" t="s">
        <v>45</v>
      </c>
      <c r="K8" s="198" t="s">
        <v>324</v>
      </c>
      <c r="L8" s="105" t="s">
        <v>325</v>
      </c>
      <c r="M8" s="25"/>
      <c r="N8" s="25"/>
      <c r="O8" s="25"/>
      <c r="P8" s="25"/>
      <c r="Q8" s="25"/>
      <c r="R8" s="139" t="str">
        <f>IF(M9,M8/M9*100,"0")</f>
        <v>0</v>
      </c>
      <c r="S8" s="139" t="str">
        <f>IF(N9,N8/N9*100,"0")</f>
        <v>0</v>
      </c>
      <c r="T8" s="139" t="str">
        <f>IF(O9,O8/O9*100,"0")</f>
        <v>0</v>
      </c>
      <c r="U8" s="139" t="str">
        <f>IF(P9,P8/P9*100,"0")</f>
        <v>0</v>
      </c>
      <c r="V8" s="139" t="str">
        <f>IF(Q9,Q8/Q9*100,"0")</f>
        <v>0</v>
      </c>
      <c r="W8" s="139" t="s">
        <v>27</v>
      </c>
      <c r="X8" s="141"/>
    </row>
    <row r="9" spans="1:24" ht="48.75" customHeight="1">
      <c r="A9" s="140"/>
      <c r="B9" s="140"/>
      <c r="C9" s="140"/>
      <c r="D9" s="140"/>
      <c r="E9" s="140"/>
      <c r="F9" s="140"/>
      <c r="G9" s="140"/>
      <c r="H9" s="142"/>
      <c r="I9" s="142"/>
      <c r="J9" s="140"/>
      <c r="K9" s="140"/>
      <c r="L9" s="106" t="s">
        <v>326</v>
      </c>
      <c r="M9" s="100">
        <f>'2 EstudiantadoEstProf'!M14</f>
        <v>0</v>
      </c>
      <c r="N9" s="100">
        <f>'2 EstudiantadoEstProf'!N14</f>
        <v>0</v>
      </c>
      <c r="O9" s="100">
        <f>'2 EstudiantadoEstProf'!O14</f>
        <v>0</v>
      </c>
      <c r="P9" s="100">
        <f>'2 EstudiantadoEstProf'!P14</f>
        <v>0</v>
      </c>
      <c r="Q9" s="100">
        <f>'2 EstudiantadoEstProf'!Q14</f>
        <v>0</v>
      </c>
      <c r="R9" s="140"/>
      <c r="S9" s="140"/>
      <c r="T9" s="140"/>
      <c r="U9" s="140"/>
      <c r="V9" s="140"/>
      <c r="W9" s="140"/>
      <c r="X9" s="142"/>
    </row>
    <row r="10" spans="1:24" ht="94.5" customHeight="1">
      <c r="A10" s="44">
        <v>5</v>
      </c>
      <c r="B10" s="45" t="s">
        <v>305</v>
      </c>
      <c r="C10" s="48" t="s">
        <v>306</v>
      </c>
      <c r="D10" s="47" t="s">
        <v>327</v>
      </c>
      <c r="E10" s="48" t="s">
        <v>328</v>
      </c>
      <c r="F10" s="44">
        <v>5</v>
      </c>
      <c r="G10" s="48" t="s">
        <v>329</v>
      </c>
      <c r="H10" s="18" t="s">
        <v>330</v>
      </c>
      <c r="I10" s="17"/>
      <c r="J10" s="44" t="s">
        <v>24</v>
      </c>
      <c r="K10" s="49" t="s">
        <v>25</v>
      </c>
      <c r="L10" s="48" t="s">
        <v>331</v>
      </c>
      <c r="M10" s="25"/>
      <c r="N10" s="25"/>
      <c r="O10" s="25"/>
      <c r="P10" s="25"/>
      <c r="Q10" s="25"/>
      <c r="R10" s="52">
        <f>M10</f>
        <v>0</v>
      </c>
      <c r="S10" s="52">
        <f>N10</f>
        <v>0</v>
      </c>
      <c r="T10" s="52">
        <f>O10</f>
        <v>0</v>
      </c>
      <c r="U10" s="52">
        <f>P10</f>
        <v>0</v>
      </c>
      <c r="V10" s="52">
        <f>Q10</f>
        <v>0</v>
      </c>
      <c r="W10" s="44" t="s">
        <v>27</v>
      </c>
      <c r="X10" s="26"/>
    </row>
  </sheetData>
  <sheetProtection algorithmName="SHA-512" hashValue="ZzrnVOE78why6otV71zdGimuunDyg0YIDkbI86et2nl28pVn1xBTwbjtuBgT4xl1TW5cWQc7SvhutYo1KWgTRQ==" saltValue="9x3MkCrjg5HMy3qB9niX0Q==" spinCount="100000" sheet="1" objects="1" scenarios="1" formatCells="0" formatColumns="0" formatRows="0"/>
  <mergeCells count="70">
    <mergeCell ref="A1:A2"/>
    <mergeCell ref="X8:X9"/>
    <mergeCell ref="I6:I7"/>
    <mergeCell ref="V8:V9"/>
    <mergeCell ref="K6:K7"/>
    <mergeCell ref="D1:D2"/>
    <mergeCell ref="F1:F2"/>
    <mergeCell ref="H1:H2"/>
    <mergeCell ref="U6:U7"/>
    <mergeCell ref="J1:J2"/>
    <mergeCell ref="F6:F7"/>
    <mergeCell ref="X4:X5"/>
    <mergeCell ref="S4:S5"/>
    <mergeCell ref="G1:G2"/>
    <mergeCell ref="T6:T7"/>
    <mergeCell ref="U4:U5"/>
    <mergeCell ref="I1:I2"/>
    <mergeCell ref="W4:W5"/>
    <mergeCell ref="H4:H5"/>
    <mergeCell ref="W8:W9"/>
    <mergeCell ref="I4:I5"/>
    <mergeCell ref="K8:K9"/>
    <mergeCell ref="K4:K5"/>
    <mergeCell ref="D8:D9"/>
    <mergeCell ref="H8:H9"/>
    <mergeCell ref="F4:F5"/>
    <mergeCell ref="J8:J9"/>
    <mergeCell ref="R8:R9"/>
    <mergeCell ref="A8:A9"/>
    <mergeCell ref="C8:C9"/>
    <mergeCell ref="I8:I9"/>
    <mergeCell ref="D6:D7"/>
    <mergeCell ref="A4:A5"/>
    <mergeCell ref="G4:G5"/>
    <mergeCell ref="B4:B5"/>
    <mergeCell ref="C6:C7"/>
    <mergeCell ref="A6:A7"/>
    <mergeCell ref="R6:R7"/>
    <mergeCell ref="V6:V7"/>
    <mergeCell ref="M1:Q1"/>
    <mergeCell ref="X6:X7"/>
    <mergeCell ref="W1:W2"/>
    <mergeCell ref="D4:D5"/>
    <mergeCell ref="J4:J5"/>
    <mergeCell ref="W6:W7"/>
    <mergeCell ref="G6:G7"/>
    <mergeCell ref="B1:B2"/>
    <mergeCell ref="E6:E7"/>
    <mergeCell ref="S6:S7"/>
    <mergeCell ref="L1:L2"/>
    <mergeCell ref="B6:B7"/>
    <mergeCell ref="X1:X2"/>
    <mergeCell ref="B8:B9"/>
    <mergeCell ref="J6:J7"/>
    <mergeCell ref="C1:C2"/>
    <mergeCell ref="S8:S9"/>
    <mergeCell ref="E1:E2"/>
    <mergeCell ref="K1:K2"/>
    <mergeCell ref="F8:F9"/>
    <mergeCell ref="R1:V1"/>
    <mergeCell ref="R4:R5"/>
    <mergeCell ref="E8:E9"/>
    <mergeCell ref="G8:G9"/>
    <mergeCell ref="C4:C5"/>
    <mergeCell ref="T4:T5"/>
    <mergeCell ref="E4:E5"/>
    <mergeCell ref="V4:V5"/>
    <mergeCell ref="H6:H7"/>
    <mergeCell ref="T8:T9"/>
    <mergeCell ref="U8:U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8"/>
  <sheetViews>
    <sheetView topLeftCell="G1" zoomScale="91" zoomScaleNormal="91" workbookViewId="0">
      <selection activeCell="O5" sqref="O5"/>
    </sheetView>
  </sheetViews>
  <sheetFormatPr baseColWidth="10" defaultRowHeight="14.4"/>
  <cols>
    <col min="1" max="1" width="11.44140625" style="1" customWidth="1"/>
    <col min="3" max="3" width="28.44140625" style="22" customWidth="1"/>
    <col min="5" max="5" width="28.44140625" style="22" customWidth="1"/>
    <col min="7" max="7" width="28.44140625" style="23" customWidth="1"/>
    <col min="8" max="8" width="28.44140625" style="22" customWidth="1"/>
    <col min="9" max="9" width="45.6640625" customWidth="1"/>
    <col min="11" max="11" width="28.44140625" style="23" customWidth="1"/>
    <col min="12" max="12" width="28.44140625" customWidth="1"/>
    <col min="13" max="22" width="11.44140625" style="1" customWidth="1"/>
    <col min="24" max="24" width="29" customWidth="1"/>
  </cols>
  <sheetData>
    <row r="1" spans="1:24" ht="18.75" customHeight="1">
      <c r="A1" s="153" t="s">
        <v>0</v>
      </c>
      <c r="B1" s="153" t="s">
        <v>1</v>
      </c>
      <c r="C1" s="196" t="s">
        <v>2</v>
      </c>
      <c r="D1" s="153" t="s">
        <v>3</v>
      </c>
      <c r="E1" s="196" t="s">
        <v>4</v>
      </c>
      <c r="F1" s="153" t="s">
        <v>5</v>
      </c>
      <c r="G1" s="146" t="s">
        <v>6</v>
      </c>
      <c r="H1" s="200" t="s">
        <v>7</v>
      </c>
      <c r="I1" s="158" t="s">
        <v>8</v>
      </c>
      <c r="J1" s="153" t="s">
        <v>9</v>
      </c>
      <c r="K1" s="147" t="s">
        <v>10</v>
      </c>
      <c r="L1" s="156" t="s">
        <v>11</v>
      </c>
      <c r="M1" s="148" t="s">
        <v>12</v>
      </c>
      <c r="N1" s="149"/>
      <c r="O1" s="149"/>
      <c r="P1" s="149"/>
      <c r="Q1" s="150"/>
      <c r="R1" s="136" t="s">
        <v>13</v>
      </c>
      <c r="S1" s="137"/>
      <c r="T1" s="137"/>
      <c r="U1" s="137"/>
      <c r="V1" s="138"/>
      <c r="W1" s="151" t="s">
        <v>14</v>
      </c>
      <c r="X1" s="157" t="s">
        <v>15</v>
      </c>
    </row>
    <row r="2" spans="1:24" ht="24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2"/>
    </row>
    <row r="3" spans="1:24" ht="69.75" customHeight="1">
      <c r="A3" s="143">
        <v>1</v>
      </c>
      <c r="B3" s="143" t="s">
        <v>332</v>
      </c>
      <c r="C3" s="162" t="s">
        <v>333</v>
      </c>
      <c r="D3" s="152" t="s">
        <v>334</v>
      </c>
      <c r="E3" s="162" t="s">
        <v>335</v>
      </c>
      <c r="F3" s="143">
        <v>2</v>
      </c>
      <c r="G3" s="144" t="s">
        <v>336</v>
      </c>
      <c r="H3" s="201" t="s">
        <v>337</v>
      </c>
      <c r="I3" s="192"/>
      <c r="J3" s="155" t="s">
        <v>45</v>
      </c>
      <c r="K3" s="144" t="s">
        <v>338</v>
      </c>
      <c r="L3" s="47" t="s">
        <v>339</v>
      </c>
      <c r="M3" s="25"/>
      <c r="N3" s="25"/>
      <c r="O3" s="25"/>
      <c r="P3" s="25"/>
      <c r="Q3" s="25"/>
      <c r="R3" s="139" t="str">
        <f>IF(M4,M3/M4*100,"0")</f>
        <v>0</v>
      </c>
      <c r="S3" s="139" t="str">
        <f>IF(N4,N3/N4*100,"0")</f>
        <v>0</v>
      </c>
      <c r="T3" s="139" t="str">
        <f>IF(O4,O3/O4*100,"0")</f>
        <v>0</v>
      </c>
      <c r="U3" s="139" t="str">
        <f>IF(P4,P3/P4*100,"0")</f>
        <v>0</v>
      </c>
      <c r="V3" s="139" t="str">
        <f>IF(Q4,Q3/Q4*100,"0")</f>
        <v>0</v>
      </c>
      <c r="W3" s="143" t="s">
        <v>27</v>
      </c>
      <c r="X3" s="141"/>
    </row>
    <row r="4" spans="1:24" ht="69.75" customHeight="1">
      <c r="A4" s="140"/>
      <c r="B4" s="140"/>
      <c r="C4" s="140"/>
      <c r="D4" s="140"/>
      <c r="E4" s="140"/>
      <c r="F4" s="140"/>
      <c r="G4" s="140"/>
      <c r="H4" s="142"/>
      <c r="I4" s="142"/>
      <c r="J4" s="140"/>
      <c r="K4" s="140"/>
      <c r="L4" s="107" t="s">
        <v>340</v>
      </c>
      <c r="M4" s="21"/>
      <c r="N4" s="21"/>
      <c r="O4" s="21"/>
      <c r="P4" s="21"/>
      <c r="Q4" s="21"/>
      <c r="R4" s="140"/>
      <c r="S4" s="140"/>
      <c r="T4" s="140"/>
      <c r="U4" s="140"/>
      <c r="V4" s="140"/>
      <c r="W4" s="140"/>
      <c r="X4" s="142"/>
    </row>
    <row r="5" spans="1:24" ht="76.5" customHeight="1">
      <c r="A5" s="143">
        <v>2</v>
      </c>
      <c r="B5" s="143" t="s">
        <v>332</v>
      </c>
      <c r="C5" s="162" t="s">
        <v>333</v>
      </c>
      <c r="D5" s="152" t="s">
        <v>334</v>
      </c>
      <c r="E5" s="162" t="s">
        <v>335</v>
      </c>
      <c r="F5" s="143">
        <v>3</v>
      </c>
      <c r="G5" s="144" t="s">
        <v>341</v>
      </c>
      <c r="H5" s="201" t="s">
        <v>342</v>
      </c>
      <c r="I5" s="145"/>
      <c r="J5" s="155" t="s">
        <v>45</v>
      </c>
      <c r="K5" s="144" t="s">
        <v>343</v>
      </c>
      <c r="L5" s="47" t="s">
        <v>344</v>
      </c>
      <c r="M5" s="25"/>
      <c r="N5" s="25"/>
      <c r="O5" s="25"/>
      <c r="P5" s="25"/>
      <c r="Q5" s="111"/>
      <c r="R5" s="139" t="str">
        <f>IF(M6,M5/M6*100,"0")</f>
        <v>0</v>
      </c>
      <c r="S5" s="139" t="str">
        <f>IF(N6,N5/N6*100,"0")</f>
        <v>0</v>
      </c>
      <c r="T5" s="139" t="str">
        <f>IF(O6,O5/O6*100,"0")</f>
        <v>0</v>
      </c>
      <c r="U5" s="139" t="str">
        <f>IF(P6,P5/P6*100,"0")</f>
        <v>0</v>
      </c>
      <c r="V5" s="139" t="str">
        <f>IF(Q6,Q5/Q6*100,"0")</f>
        <v>0</v>
      </c>
      <c r="W5" s="143" t="s">
        <v>27</v>
      </c>
      <c r="X5" s="141"/>
    </row>
    <row r="6" spans="1:24" ht="76.5" customHeight="1">
      <c r="A6" s="140"/>
      <c r="B6" s="140"/>
      <c r="C6" s="140"/>
      <c r="D6" s="140"/>
      <c r="E6" s="140"/>
      <c r="F6" s="140"/>
      <c r="G6" s="140"/>
      <c r="H6" s="142"/>
      <c r="I6" s="142"/>
      <c r="J6" s="140"/>
      <c r="K6" s="140"/>
      <c r="L6" s="108" t="s">
        <v>345</v>
      </c>
      <c r="M6" s="100">
        <f>M4</f>
        <v>0</v>
      </c>
      <c r="N6" s="100">
        <f>N4</f>
        <v>0</v>
      </c>
      <c r="O6" s="100">
        <f>O4</f>
        <v>0</v>
      </c>
      <c r="P6" s="100">
        <f>P4</f>
        <v>0</v>
      </c>
      <c r="Q6" s="100">
        <f>Q4</f>
        <v>0</v>
      </c>
      <c r="R6" s="140"/>
      <c r="S6" s="140"/>
      <c r="T6" s="140"/>
      <c r="U6" s="140"/>
      <c r="V6" s="140"/>
      <c r="W6" s="140"/>
      <c r="X6" s="142"/>
    </row>
    <row r="7" spans="1:24" ht="87.75" customHeight="1">
      <c r="A7" s="143">
        <v>3</v>
      </c>
      <c r="B7" s="143" t="s">
        <v>332</v>
      </c>
      <c r="C7" s="162" t="s">
        <v>333</v>
      </c>
      <c r="D7" s="152" t="s">
        <v>334</v>
      </c>
      <c r="E7" s="162" t="s">
        <v>335</v>
      </c>
      <c r="F7" s="143">
        <v>4</v>
      </c>
      <c r="G7" s="144" t="s">
        <v>346</v>
      </c>
      <c r="H7" s="201" t="s">
        <v>347</v>
      </c>
      <c r="I7" s="145"/>
      <c r="J7" s="155" t="s">
        <v>45</v>
      </c>
      <c r="K7" s="144" t="s">
        <v>348</v>
      </c>
      <c r="L7" s="47" t="s">
        <v>349</v>
      </c>
      <c r="M7" s="25"/>
      <c r="N7" s="25"/>
      <c r="O7" s="25"/>
      <c r="P7" s="25"/>
      <c r="Q7" s="111"/>
      <c r="R7" s="139" t="str">
        <f>IF(M8,M7/M8*100,"0")</f>
        <v>0</v>
      </c>
      <c r="S7" s="139" t="str">
        <f>IF(N8,N7/N8*100,"0")</f>
        <v>0</v>
      </c>
      <c r="T7" s="139" t="str">
        <f>IF(O8,O7/O8*100,"0")</f>
        <v>0</v>
      </c>
      <c r="U7" s="139" t="str">
        <f>IF(P8,P7/P8*100,"0")</f>
        <v>0</v>
      </c>
      <c r="V7" s="139" t="str">
        <f>IF(Q8,Q7/Q8*100,"0")</f>
        <v>0</v>
      </c>
      <c r="W7" s="143" t="s">
        <v>27</v>
      </c>
      <c r="X7" s="141"/>
    </row>
    <row r="8" spans="1:24" ht="87.75" customHeight="1">
      <c r="A8" s="140"/>
      <c r="B8" s="140"/>
      <c r="C8" s="140"/>
      <c r="D8" s="140"/>
      <c r="E8" s="140"/>
      <c r="F8" s="140"/>
      <c r="G8" s="140"/>
      <c r="H8" s="142"/>
      <c r="I8" s="142"/>
      <c r="J8" s="140"/>
      <c r="K8" s="140"/>
      <c r="L8" s="108" t="s">
        <v>345</v>
      </c>
      <c r="M8" s="100">
        <f>M4</f>
        <v>0</v>
      </c>
      <c r="N8" s="100">
        <f>N4</f>
        <v>0</v>
      </c>
      <c r="O8" s="100">
        <f>O4</f>
        <v>0</v>
      </c>
      <c r="P8" s="100">
        <f>P4</f>
        <v>0</v>
      </c>
      <c r="Q8" s="100">
        <f>Q4</f>
        <v>0</v>
      </c>
      <c r="R8" s="140"/>
      <c r="S8" s="140"/>
      <c r="T8" s="140"/>
      <c r="U8" s="140"/>
      <c r="V8" s="140"/>
      <c r="W8" s="140"/>
      <c r="X8" s="142"/>
    </row>
    <row r="9" spans="1:24" ht="81.75" customHeight="1">
      <c r="A9" s="143">
        <v>4</v>
      </c>
      <c r="B9" s="143" t="s">
        <v>332</v>
      </c>
      <c r="C9" s="162" t="s">
        <v>333</v>
      </c>
      <c r="D9" s="152" t="s">
        <v>334</v>
      </c>
      <c r="E9" s="162" t="s">
        <v>335</v>
      </c>
      <c r="F9" s="143">
        <v>5</v>
      </c>
      <c r="G9" s="144" t="s">
        <v>350</v>
      </c>
      <c r="H9" s="201" t="s">
        <v>351</v>
      </c>
      <c r="I9" s="145"/>
      <c r="J9" s="155" t="s">
        <v>45</v>
      </c>
      <c r="K9" s="144" t="s">
        <v>352</v>
      </c>
      <c r="L9" s="47" t="s">
        <v>353</v>
      </c>
      <c r="M9" s="25"/>
      <c r="N9" s="25"/>
      <c r="O9" s="25"/>
      <c r="P9" s="25"/>
      <c r="Q9" s="25"/>
      <c r="R9" s="139" t="str">
        <f>IF(M10,M9/M10*100,"0")</f>
        <v>0</v>
      </c>
      <c r="S9" s="139" t="str">
        <f>IF(N10,N9/N10*100,"0")</f>
        <v>0</v>
      </c>
      <c r="T9" s="139" t="str">
        <f>IF(O10,O9/O10*100,"0")</f>
        <v>0</v>
      </c>
      <c r="U9" s="139" t="str">
        <f>IF(P10,P9/P10*100,"0")</f>
        <v>0</v>
      </c>
      <c r="V9" s="139" t="str">
        <f>IF(Q10,Q9/Q10*100,"0")</f>
        <v>0</v>
      </c>
      <c r="W9" s="143" t="s">
        <v>27</v>
      </c>
      <c r="X9" s="141"/>
    </row>
    <row r="10" spans="1:24" ht="81.75" customHeight="1">
      <c r="A10" s="140"/>
      <c r="B10" s="140"/>
      <c r="C10" s="140"/>
      <c r="D10" s="140"/>
      <c r="E10" s="140"/>
      <c r="F10" s="140"/>
      <c r="G10" s="140"/>
      <c r="H10" s="142"/>
      <c r="I10" s="142"/>
      <c r="J10" s="140"/>
      <c r="K10" s="140"/>
      <c r="L10" s="47" t="s">
        <v>354</v>
      </c>
      <c r="M10" s="25"/>
      <c r="N10" s="25"/>
      <c r="O10" s="25"/>
      <c r="P10" s="25"/>
      <c r="Q10" s="25"/>
      <c r="R10" s="140"/>
      <c r="S10" s="140"/>
      <c r="T10" s="140"/>
      <c r="U10" s="140"/>
      <c r="V10" s="140"/>
      <c r="W10" s="140"/>
      <c r="X10" s="142"/>
    </row>
    <row r="11" spans="1:24" ht="79.5" customHeight="1">
      <c r="A11" s="143">
        <v>5</v>
      </c>
      <c r="B11" s="143" t="s">
        <v>332</v>
      </c>
      <c r="C11" s="162" t="s">
        <v>333</v>
      </c>
      <c r="D11" s="152" t="s">
        <v>334</v>
      </c>
      <c r="E11" s="162" t="s">
        <v>335</v>
      </c>
      <c r="F11" s="143">
        <v>6</v>
      </c>
      <c r="G11" s="144" t="s">
        <v>355</v>
      </c>
      <c r="H11" s="201" t="s">
        <v>356</v>
      </c>
      <c r="I11" s="145"/>
      <c r="J11" s="155" t="s">
        <v>45</v>
      </c>
      <c r="K11" s="144" t="s">
        <v>357</v>
      </c>
      <c r="L11" s="47" t="s">
        <v>358</v>
      </c>
      <c r="M11" s="25"/>
      <c r="N11" s="25"/>
      <c r="O11" s="25"/>
      <c r="P11" s="25"/>
      <c r="Q11" s="25"/>
      <c r="R11" s="139" t="str">
        <f>IF(M12,M11/M12*100,"0")</f>
        <v>0</v>
      </c>
      <c r="S11" s="139" t="str">
        <f>IF(N12,N11/N12*100,"0")</f>
        <v>0</v>
      </c>
      <c r="T11" s="139" t="str">
        <f>IF(O12,O11/O12*100,"0")</f>
        <v>0</v>
      </c>
      <c r="U11" s="139" t="str">
        <f>IF(P12,P11/P12*100,"0")</f>
        <v>0</v>
      </c>
      <c r="V11" s="139" t="str">
        <f>IF(Q12,Q11/Q12*100,"0")</f>
        <v>0</v>
      </c>
      <c r="W11" s="143" t="s">
        <v>27</v>
      </c>
      <c r="X11" s="141"/>
    </row>
    <row r="12" spans="1:24" ht="79.5" customHeight="1">
      <c r="A12" s="140"/>
      <c r="B12" s="140"/>
      <c r="C12" s="140"/>
      <c r="D12" s="140"/>
      <c r="E12" s="140"/>
      <c r="F12" s="140"/>
      <c r="G12" s="140"/>
      <c r="H12" s="142"/>
      <c r="I12" s="142"/>
      <c r="J12" s="140"/>
      <c r="K12" s="140"/>
      <c r="L12" s="108" t="s">
        <v>345</v>
      </c>
      <c r="M12" s="100">
        <f>M4</f>
        <v>0</v>
      </c>
      <c r="N12" s="100">
        <f>N4</f>
        <v>0</v>
      </c>
      <c r="O12" s="100">
        <f>O4</f>
        <v>0</v>
      </c>
      <c r="P12" s="100">
        <f>P4</f>
        <v>0</v>
      </c>
      <c r="Q12" s="100">
        <f>Q4</f>
        <v>0</v>
      </c>
      <c r="R12" s="140"/>
      <c r="S12" s="140"/>
      <c r="T12" s="140"/>
      <c r="U12" s="140"/>
      <c r="V12" s="140"/>
      <c r="W12" s="140"/>
      <c r="X12" s="142"/>
    </row>
    <row r="13" spans="1:24" ht="150" customHeight="1">
      <c r="A13" s="44">
        <v>6</v>
      </c>
      <c r="B13" s="45" t="s">
        <v>332</v>
      </c>
      <c r="C13" s="48" t="s">
        <v>333</v>
      </c>
      <c r="D13" s="47" t="s">
        <v>359</v>
      </c>
      <c r="E13" s="48" t="s">
        <v>360</v>
      </c>
      <c r="F13" s="44">
        <v>10</v>
      </c>
      <c r="G13" s="51" t="s">
        <v>361</v>
      </c>
      <c r="H13" s="115" t="s">
        <v>362</v>
      </c>
      <c r="I13" s="17"/>
      <c r="J13" s="44" t="s">
        <v>24</v>
      </c>
      <c r="K13" s="51" t="s">
        <v>25</v>
      </c>
      <c r="L13" s="47" t="s">
        <v>363</v>
      </c>
      <c r="M13" s="25"/>
      <c r="N13" s="25"/>
      <c r="O13" s="25"/>
      <c r="P13" s="25"/>
      <c r="Q13" s="25"/>
      <c r="R13" s="52">
        <f t="shared" ref="R13:V14" si="0">M13</f>
        <v>0</v>
      </c>
      <c r="S13" s="52">
        <f t="shared" si="0"/>
        <v>0</v>
      </c>
      <c r="T13" s="52">
        <f t="shared" si="0"/>
        <v>0</v>
      </c>
      <c r="U13" s="52">
        <f t="shared" si="0"/>
        <v>0</v>
      </c>
      <c r="V13" s="52">
        <f t="shared" si="0"/>
        <v>0</v>
      </c>
      <c r="W13" s="44" t="s">
        <v>27</v>
      </c>
      <c r="X13" s="26"/>
    </row>
    <row r="14" spans="1:24" ht="150" customHeight="1">
      <c r="A14" s="44">
        <v>7</v>
      </c>
      <c r="B14" s="45" t="s">
        <v>332</v>
      </c>
      <c r="C14" s="48" t="s">
        <v>333</v>
      </c>
      <c r="D14" s="47" t="s">
        <v>364</v>
      </c>
      <c r="E14" s="48" t="s">
        <v>365</v>
      </c>
      <c r="F14" s="44">
        <v>13</v>
      </c>
      <c r="G14" s="51" t="s">
        <v>366</v>
      </c>
      <c r="H14" s="115" t="s">
        <v>367</v>
      </c>
      <c r="I14" s="17"/>
      <c r="J14" s="44" t="s">
        <v>24</v>
      </c>
      <c r="K14" s="51" t="s">
        <v>25</v>
      </c>
      <c r="L14" s="47" t="s">
        <v>368</v>
      </c>
      <c r="M14" s="25"/>
      <c r="N14" s="25"/>
      <c r="O14" s="25"/>
      <c r="P14" s="25"/>
      <c r="Q14" s="25"/>
      <c r="R14" s="52">
        <f t="shared" si="0"/>
        <v>0</v>
      </c>
      <c r="S14" s="52">
        <f t="shared" si="0"/>
        <v>0</v>
      </c>
      <c r="T14" s="52">
        <f t="shared" si="0"/>
        <v>0</v>
      </c>
      <c r="U14" s="52">
        <f t="shared" si="0"/>
        <v>0</v>
      </c>
      <c r="V14" s="52">
        <f t="shared" si="0"/>
        <v>0</v>
      </c>
      <c r="W14" s="44" t="s">
        <v>369</v>
      </c>
      <c r="X14" s="26"/>
    </row>
    <row r="15" spans="1:24" ht="73.5" customHeight="1">
      <c r="A15" s="143">
        <v>8</v>
      </c>
      <c r="B15" s="143" t="s">
        <v>332</v>
      </c>
      <c r="C15" s="162" t="s">
        <v>333</v>
      </c>
      <c r="D15" s="152" t="s">
        <v>364</v>
      </c>
      <c r="E15" s="162" t="s">
        <v>365</v>
      </c>
      <c r="F15" s="143">
        <v>14</v>
      </c>
      <c r="G15" s="144" t="s">
        <v>370</v>
      </c>
      <c r="H15" s="201" t="s">
        <v>371</v>
      </c>
      <c r="I15" s="145"/>
      <c r="J15" s="155" t="s">
        <v>45</v>
      </c>
      <c r="K15" s="144" t="s">
        <v>372</v>
      </c>
      <c r="L15" s="47" t="s">
        <v>373</v>
      </c>
      <c r="M15" s="25"/>
      <c r="N15" s="25"/>
      <c r="O15" s="25"/>
      <c r="P15" s="25"/>
      <c r="Q15" s="25"/>
      <c r="R15" s="139" t="str">
        <f>IF(M16,M15/M16*100,"0")</f>
        <v>0</v>
      </c>
      <c r="S15" s="139" t="str">
        <f>IF(N16,N15/N16*100,"0")</f>
        <v>0</v>
      </c>
      <c r="T15" s="139" t="str">
        <f>IF(O16,O15/O16*100,"0")</f>
        <v>0</v>
      </c>
      <c r="U15" s="139" t="str">
        <f>IF(P16,P15/P16*100,"0")</f>
        <v>0</v>
      </c>
      <c r="V15" s="139" t="str">
        <f>IF(Q16,Q15/Q16*100,"0")</f>
        <v>0</v>
      </c>
      <c r="W15" s="143" t="s">
        <v>369</v>
      </c>
      <c r="X15" s="141"/>
    </row>
    <row r="16" spans="1:24" ht="73.5" customHeight="1">
      <c r="A16" s="140"/>
      <c r="B16" s="140"/>
      <c r="C16" s="140"/>
      <c r="D16" s="140"/>
      <c r="E16" s="140"/>
      <c r="F16" s="140"/>
      <c r="G16" s="140"/>
      <c r="H16" s="142"/>
      <c r="I16" s="142"/>
      <c r="J16" s="140"/>
      <c r="K16" s="140"/>
      <c r="L16" s="47" t="s">
        <v>374</v>
      </c>
      <c r="M16" s="25"/>
      <c r="N16" s="25"/>
      <c r="O16" s="25"/>
      <c r="P16" s="25"/>
      <c r="Q16" s="25"/>
      <c r="R16" s="140"/>
      <c r="S16" s="140"/>
      <c r="T16" s="140"/>
      <c r="U16" s="140"/>
      <c r="V16" s="140"/>
      <c r="W16" s="140"/>
      <c r="X16" s="142"/>
    </row>
    <row r="17" spans="1:24" ht="150" customHeight="1">
      <c r="A17" s="44">
        <v>9</v>
      </c>
      <c r="B17" s="45" t="s">
        <v>332</v>
      </c>
      <c r="C17" s="48" t="s">
        <v>333</v>
      </c>
      <c r="D17" s="47" t="s">
        <v>364</v>
      </c>
      <c r="E17" s="48" t="s">
        <v>365</v>
      </c>
      <c r="F17" s="44">
        <v>15</v>
      </c>
      <c r="G17" s="51" t="s">
        <v>375</v>
      </c>
      <c r="H17" s="115" t="s">
        <v>376</v>
      </c>
      <c r="I17" s="17"/>
      <c r="J17" s="44" t="s">
        <v>24</v>
      </c>
      <c r="K17" s="51" t="s">
        <v>25</v>
      </c>
      <c r="L17" s="47" t="s">
        <v>377</v>
      </c>
      <c r="M17" s="25"/>
      <c r="N17" s="25"/>
      <c r="O17" s="25"/>
      <c r="P17" s="25"/>
      <c r="Q17" s="25"/>
      <c r="R17" s="52">
        <f t="shared" ref="R17:V18" si="1">M17</f>
        <v>0</v>
      </c>
      <c r="S17" s="52">
        <f t="shared" si="1"/>
        <v>0</v>
      </c>
      <c r="T17" s="52">
        <f t="shared" si="1"/>
        <v>0</v>
      </c>
      <c r="U17" s="52">
        <f t="shared" si="1"/>
        <v>0</v>
      </c>
      <c r="V17" s="52">
        <f t="shared" si="1"/>
        <v>0</v>
      </c>
      <c r="W17" s="44" t="s">
        <v>27</v>
      </c>
      <c r="X17" s="26"/>
    </row>
    <row r="18" spans="1:24" ht="150" customHeight="1">
      <c r="A18" s="44">
        <v>10</v>
      </c>
      <c r="B18" s="45" t="s">
        <v>332</v>
      </c>
      <c r="C18" s="48" t="s">
        <v>333</v>
      </c>
      <c r="D18" s="47" t="s">
        <v>364</v>
      </c>
      <c r="E18" s="48" t="s">
        <v>365</v>
      </c>
      <c r="F18" s="44">
        <v>16</v>
      </c>
      <c r="G18" s="51" t="s">
        <v>378</v>
      </c>
      <c r="H18" s="115" t="s">
        <v>379</v>
      </c>
      <c r="I18" s="17"/>
      <c r="J18" s="44" t="s">
        <v>24</v>
      </c>
      <c r="K18" s="51" t="s">
        <v>25</v>
      </c>
      <c r="L18" s="47" t="s">
        <v>380</v>
      </c>
      <c r="M18" s="25"/>
      <c r="N18" s="25"/>
      <c r="O18" s="25"/>
      <c r="P18" s="25"/>
      <c r="Q18" s="25"/>
      <c r="R18" s="52">
        <f t="shared" si="1"/>
        <v>0</v>
      </c>
      <c r="S18" s="52">
        <f t="shared" si="1"/>
        <v>0</v>
      </c>
      <c r="T18" s="52">
        <f t="shared" si="1"/>
        <v>0</v>
      </c>
      <c r="U18" s="52">
        <f t="shared" si="1"/>
        <v>0</v>
      </c>
      <c r="V18" s="52">
        <f t="shared" si="1"/>
        <v>0</v>
      </c>
      <c r="W18" s="44" t="s">
        <v>27</v>
      </c>
      <c r="X18" s="26"/>
    </row>
  </sheetData>
  <sheetProtection algorithmName="SHA-512" hashValue="jfcqD3Zs7BjNRDsch3esY5idDYhTie83qmWeAz1EaOIeE4pzxGLWQY7ieEgsYQ3lkGsWElauxVN1iuwxbljOtQ==" saltValue="ut5DgwHLQhVEdn1wUnXw4g==" spinCount="100000" sheet="1" formatCells="0" formatColumns="0" formatRows="0"/>
  <mergeCells count="124">
    <mergeCell ref="X1:X2"/>
    <mergeCell ref="S5:S6"/>
    <mergeCell ref="U5:U6"/>
    <mergeCell ref="W9:W10"/>
    <mergeCell ref="K7:K8"/>
    <mergeCell ref="B5:B6"/>
    <mergeCell ref="D5:D6"/>
    <mergeCell ref="V3:V4"/>
    <mergeCell ref="A15:A16"/>
    <mergeCell ref="C15:C16"/>
    <mergeCell ref="X11:X12"/>
    <mergeCell ref="A1:A2"/>
    <mergeCell ref="A3:A4"/>
    <mergeCell ref="S9:S10"/>
    <mergeCell ref="U3:U4"/>
    <mergeCell ref="B1:B2"/>
    <mergeCell ref="C11:C12"/>
    <mergeCell ref="W3:W4"/>
    <mergeCell ref="H7:H8"/>
    <mergeCell ref="E11:E12"/>
    <mergeCell ref="J7:J8"/>
    <mergeCell ref="L1:L2"/>
    <mergeCell ref="I5:I6"/>
    <mergeCell ref="A5:A6"/>
    <mergeCell ref="E15:E16"/>
    <mergeCell ref="G15:G16"/>
    <mergeCell ref="S15:S16"/>
    <mergeCell ref="B9:B10"/>
    <mergeCell ref="H3:H4"/>
    <mergeCell ref="X9:X10"/>
    <mergeCell ref="R3:R4"/>
    <mergeCell ref="J3:J4"/>
    <mergeCell ref="E7:E8"/>
    <mergeCell ref="C7:C8"/>
    <mergeCell ref="R9:R10"/>
    <mergeCell ref="R5:R6"/>
    <mergeCell ref="H5:H6"/>
    <mergeCell ref="J5:J6"/>
    <mergeCell ref="R11:R12"/>
    <mergeCell ref="T5:T6"/>
    <mergeCell ref="V5:V6"/>
    <mergeCell ref="F15:F16"/>
    <mergeCell ref="X7:X8"/>
    <mergeCell ref="J15:J16"/>
    <mergeCell ref="V15:V16"/>
    <mergeCell ref="C9:C10"/>
    <mergeCell ref="X15:X16"/>
    <mergeCell ref="E9:E10"/>
    <mergeCell ref="X5:X6"/>
    <mergeCell ref="D9:D10"/>
    <mergeCell ref="F9:F10"/>
    <mergeCell ref="T3:T4"/>
    <mergeCell ref="F11:F12"/>
    <mergeCell ref="G9:G10"/>
    <mergeCell ref="I9:I10"/>
    <mergeCell ref="K3:K4"/>
    <mergeCell ref="A9:A10"/>
    <mergeCell ref="C3:C4"/>
    <mergeCell ref="E3:E4"/>
    <mergeCell ref="U9:U10"/>
    <mergeCell ref="B7:B8"/>
    <mergeCell ref="G11:G12"/>
    <mergeCell ref="I11:I12"/>
    <mergeCell ref="K5:K6"/>
    <mergeCell ref="A11:A12"/>
    <mergeCell ref="C5:C6"/>
    <mergeCell ref="S11:S12"/>
    <mergeCell ref="E5:E6"/>
    <mergeCell ref="U11:U12"/>
    <mergeCell ref="W5:W6"/>
    <mergeCell ref="R7:R8"/>
    <mergeCell ref="K11:K12"/>
    <mergeCell ref="B3:B4"/>
    <mergeCell ref="B11:B12"/>
    <mergeCell ref="G7:G8"/>
    <mergeCell ref="D11:D12"/>
    <mergeCell ref="I7:I8"/>
    <mergeCell ref="K1:K2"/>
    <mergeCell ref="F5:F6"/>
    <mergeCell ref="S7:S8"/>
    <mergeCell ref="U7:U8"/>
    <mergeCell ref="T9:T10"/>
    <mergeCell ref="D3:D4"/>
    <mergeCell ref="D1:D2"/>
    <mergeCell ref="F1:F2"/>
    <mergeCell ref="G1:G2"/>
    <mergeCell ref="I1:I2"/>
    <mergeCell ref="S3:S4"/>
    <mergeCell ref="I15:I16"/>
    <mergeCell ref="F7:F8"/>
    <mergeCell ref="K15:K16"/>
    <mergeCell ref="H1:H2"/>
    <mergeCell ref="J1:J2"/>
    <mergeCell ref="U15:U16"/>
    <mergeCell ref="W15:W16"/>
    <mergeCell ref="R1:V1"/>
    <mergeCell ref="W1:W2"/>
    <mergeCell ref="W7:W8"/>
    <mergeCell ref="V9:V10"/>
    <mergeCell ref="V11:V12"/>
    <mergeCell ref="H9:H10"/>
    <mergeCell ref="J9:J10"/>
    <mergeCell ref="F3:F4"/>
    <mergeCell ref="A7:A8"/>
    <mergeCell ref="C1:C2"/>
    <mergeCell ref="X3:X4"/>
    <mergeCell ref="E1:E2"/>
    <mergeCell ref="H11:H12"/>
    <mergeCell ref="R15:R16"/>
    <mergeCell ref="M1:Q1"/>
    <mergeCell ref="J11:J12"/>
    <mergeCell ref="G3:G4"/>
    <mergeCell ref="I3:I4"/>
    <mergeCell ref="D7:D8"/>
    <mergeCell ref="B15:B16"/>
    <mergeCell ref="G5:G6"/>
    <mergeCell ref="W11:W12"/>
    <mergeCell ref="D15:D16"/>
    <mergeCell ref="T11:T12"/>
    <mergeCell ref="T7:T8"/>
    <mergeCell ref="V7:V8"/>
    <mergeCell ref="H15:H16"/>
    <mergeCell ref="T15:T16"/>
    <mergeCell ref="K9:K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8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28.88671875" style="23" customWidth="1"/>
    <col min="5" max="5" width="28.88671875" style="22" customWidth="1"/>
    <col min="7" max="7" width="28.88671875" style="22" customWidth="1"/>
    <col min="8" max="8" width="28.88671875" style="23" customWidth="1"/>
    <col min="9" max="9" width="45.6640625" customWidth="1"/>
    <col min="11" max="11" width="28.88671875" style="22" customWidth="1"/>
    <col min="12" max="12" width="28.88671875" customWidth="1"/>
    <col min="13" max="22" width="11.44140625" style="1" customWidth="1"/>
    <col min="24" max="24" width="29" customWidth="1"/>
  </cols>
  <sheetData>
    <row r="1" spans="1:24" ht="18.75" customHeight="1">
      <c r="A1" s="153" t="s">
        <v>0</v>
      </c>
      <c r="B1" s="153" t="s">
        <v>1</v>
      </c>
      <c r="C1" s="146" t="s">
        <v>2</v>
      </c>
      <c r="D1" s="153" t="s">
        <v>3</v>
      </c>
      <c r="E1" s="196" t="s">
        <v>4</v>
      </c>
      <c r="F1" s="153" t="s">
        <v>5</v>
      </c>
      <c r="G1" s="196" t="s">
        <v>6</v>
      </c>
      <c r="H1" s="159" t="s">
        <v>7</v>
      </c>
      <c r="I1" s="158" t="s">
        <v>8</v>
      </c>
      <c r="J1" s="153" t="s">
        <v>9</v>
      </c>
      <c r="K1" s="156" t="s">
        <v>10</v>
      </c>
      <c r="L1" s="156" t="s">
        <v>11</v>
      </c>
      <c r="M1" s="148" t="s">
        <v>12</v>
      </c>
      <c r="N1" s="149"/>
      <c r="O1" s="149"/>
      <c r="P1" s="149"/>
      <c r="Q1" s="150"/>
      <c r="R1" s="136" t="s">
        <v>13</v>
      </c>
      <c r="S1" s="137"/>
      <c r="T1" s="137"/>
      <c r="U1" s="137"/>
      <c r="V1" s="138"/>
      <c r="W1" s="151" t="s">
        <v>14</v>
      </c>
      <c r="X1" s="157" t="s">
        <v>15</v>
      </c>
    </row>
    <row r="2" spans="1:24" ht="24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2"/>
    </row>
    <row r="3" spans="1:24" ht="69.75" customHeight="1">
      <c r="A3" s="143">
        <v>1</v>
      </c>
      <c r="B3" s="143" t="s">
        <v>381</v>
      </c>
      <c r="C3" s="144" t="s">
        <v>382</v>
      </c>
      <c r="D3" s="152" t="s">
        <v>383</v>
      </c>
      <c r="E3" s="162" t="s">
        <v>384</v>
      </c>
      <c r="F3" s="143">
        <v>1</v>
      </c>
      <c r="G3" s="162" t="s">
        <v>385</v>
      </c>
      <c r="H3" s="145" t="s">
        <v>386</v>
      </c>
      <c r="I3" s="145"/>
      <c r="J3" s="155" t="s">
        <v>45</v>
      </c>
      <c r="K3" s="162" t="s">
        <v>387</v>
      </c>
      <c r="L3" s="47" t="s">
        <v>388</v>
      </c>
      <c r="M3" s="25"/>
      <c r="N3" s="25"/>
      <c r="O3" s="25"/>
      <c r="P3" s="25"/>
      <c r="Q3" s="25"/>
      <c r="R3" s="139" t="str">
        <f>IF(M4,M3/M4*100,"0")</f>
        <v>0</v>
      </c>
      <c r="S3" s="139" t="str">
        <f>IF(N4,N3/N4*100,"0")</f>
        <v>0</v>
      </c>
      <c r="T3" s="139" t="str">
        <f>IF(O4,O3/O4*100,"0")</f>
        <v>0</v>
      </c>
      <c r="U3" s="139" t="str">
        <f>IF(P4,P3/P4*100,"0")</f>
        <v>0</v>
      </c>
      <c r="V3" s="139" t="str">
        <f>IF(Q4,Q3/Q4*100,"0")</f>
        <v>0</v>
      </c>
      <c r="W3" s="143" t="s">
        <v>27</v>
      </c>
      <c r="X3" s="141"/>
    </row>
    <row r="4" spans="1:24" ht="60" customHeight="1">
      <c r="A4" s="140"/>
      <c r="B4" s="140"/>
      <c r="C4" s="140"/>
      <c r="D4" s="140"/>
      <c r="E4" s="140"/>
      <c r="F4" s="140"/>
      <c r="G4" s="140"/>
      <c r="H4" s="142"/>
      <c r="I4" s="142"/>
      <c r="J4" s="140"/>
      <c r="K4" s="140"/>
      <c r="L4" s="108" t="s">
        <v>389</v>
      </c>
      <c r="M4" s="100">
        <f>'8 Deporte universitario'!M7</f>
        <v>0</v>
      </c>
      <c r="N4" s="100">
        <f>'8 Deporte universitario'!N7</f>
        <v>0</v>
      </c>
      <c r="O4" s="100">
        <f>'8 Deporte universitario'!O7</f>
        <v>0</v>
      </c>
      <c r="P4" s="100">
        <f>'8 Deporte universitario'!P7</f>
        <v>0</v>
      </c>
      <c r="Q4" s="100">
        <f>'8 Deporte universitario'!Q7</f>
        <v>0</v>
      </c>
      <c r="R4" s="140"/>
      <c r="S4" s="140"/>
      <c r="T4" s="140"/>
      <c r="U4" s="140"/>
      <c r="V4" s="140"/>
      <c r="W4" s="140"/>
      <c r="X4" s="142"/>
    </row>
    <row r="5" spans="1:24" ht="81.75" customHeight="1">
      <c r="A5" s="143">
        <v>2</v>
      </c>
      <c r="B5" s="143" t="s">
        <v>381</v>
      </c>
      <c r="C5" s="144" t="s">
        <v>382</v>
      </c>
      <c r="D5" s="152" t="s">
        <v>383</v>
      </c>
      <c r="E5" s="162" t="s">
        <v>384</v>
      </c>
      <c r="F5" s="143">
        <v>2</v>
      </c>
      <c r="G5" s="162" t="s">
        <v>390</v>
      </c>
      <c r="H5" s="145" t="s">
        <v>391</v>
      </c>
      <c r="I5" s="145"/>
      <c r="J5" s="155" t="s">
        <v>45</v>
      </c>
      <c r="K5" s="162" t="s">
        <v>392</v>
      </c>
      <c r="L5" s="47" t="s">
        <v>393</v>
      </c>
      <c r="M5" s="25"/>
      <c r="N5" s="25"/>
      <c r="O5" s="25"/>
      <c r="P5" s="25"/>
      <c r="Q5" s="25"/>
      <c r="R5" s="139" t="str">
        <f>IF(M6,M5/M6*100,"0")</f>
        <v>0</v>
      </c>
      <c r="S5" s="139" t="str">
        <f>IF(N6,N5/N6*100,"0")</f>
        <v>0</v>
      </c>
      <c r="T5" s="139" t="str">
        <f>IF(O6,O5/O6*100,"0")</f>
        <v>0</v>
      </c>
      <c r="U5" s="139" t="str">
        <f>IF(P6,P5/P6*100,"0")</f>
        <v>0</v>
      </c>
      <c r="V5" s="139" t="str">
        <f>IF(Q6,Q5/Q6*100,"0")</f>
        <v>0</v>
      </c>
      <c r="W5" s="143" t="s">
        <v>27</v>
      </c>
      <c r="X5" s="141"/>
    </row>
    <row r="6" spans="1:24" ht="48.75" customHeight="1">
      <c r="A6" s="140"/>
      <c r="B6" s="140"/>
      <c r="C6" s="140"/>
      <c r="D6" s="140"/>
      <c r="E6" s="140"/>
      <c r="F6" s="140"/>
      <c r="G6" s="140"/>
      <c r="H6" s="142"/>
      <c r="I6" s="142"/>
      <c r="J6" s="140"/>
      <c r="K6" s="140"/>
      <c r="L6" s="108" t="s">
        <v>389</v>
      </c>
      <c r="M6" s="100">
        <f>'8 Deporte universitario'!M7</f>
        <v>0</v>
      </c>
      <c r="N6" s="100">
        <f>'8 Deporte universitario'!N7</f>
        <v>0</v>
      </c>
      <c r="O6" s="100">
        <f>'8 Deporte universitario'!O7</f>
        <v>0</v>
      </c>
      <c r="P6" s="100">
        <f>'8 Deporte universitario'!P7</f>
        <v>0</v>
      </c>
      <c r="Q6" s="100">
        <f>'8 Deporte universitario'!Q7</f>
        <v>0</v>
      </c>
      <c r="R6" s="140"/>
      <c r="S6" s="140"/>
      <c r="T6" s="140"/>
      <c r="U6" s="140"/>
      <c r="V6" s="140"/>
      <c r="W6" s="140"/>
      <c r="X6" s="142"/>
    </row>
    <row r="7" spans="1:24" ht="69" customHeight="1">
      <c r="A7" s="143">
        <v>3</v>
      </c>
      <c r="B7" s="143" t="s">
        <v>381</v>
      </c>
      <c r="C7" s="165" t="s">
        <v>382</v>
      </c>
      <c r="D7" s="152" t="s">
        <v>383</v>
      </c>
      <c r="E7" s="162" t="s">
        <v>384</v>
      </c>
      <c r="F7" s="143">
        <v>4</v>
      </c>
      <c r="G7" s="162" t="s">
        <v>394</v>
      </c>
      <c r="H7" s="145" t="s">
        <v>395</v>
      </c>
      <c r="I7" s="145"/>
      <c r="J7" s="155" t="s">
        <v>45</v>
      </c>
      <c r="K7" s="162" t="s">
        <v>396</v>
      </c>
      <c r="L7" s="47" t="s">
        <v>397</v>
      </c>
      <c r="M7" s="25"/>
      <c r="N7" s="25"/>
      <c r="O7" s="25"/>
      <c r="P7" s="25"/>
      <c r="Q7" s="25"/>
      <c r="R7" s="139" t="str">
        <f>IF(M8,M7/M8*100,"0")</f>
        <v>0</v>
      </c>
      <c r="S7" s="139" t="str">
        <f>IF(N8,N7/N8*100,"0")</f>
        <v>0</v>
      </c>
      <c r="T7" s="139" t="str">
        <f>IF(O8,O7/O8*100,"0")</f>
        <v>0</v>
      </c>
      <c r="U7" s="139" t="str">
        <f>IF(P8,P7/P8*100,"0")</f>
        <v>0</v>
      </c>
      <c r="V7" s="139" t="str">
        <f>IF(Q8,Q7/Q8*100,"0")</f>
        <v>0</v>
      </c>
      <c r="W7" s="143" t="s">
        <v>27</v>
      </c>
      <c r="X7" s="141"/>
    </row>
    <row r="8" spans="1:24" ht="44.25" customHeight="1">
      <c r="A8" s="140"/>
      <c r="B8" s="140"/>
      <c r="C8" s="140"/>
      <c r="D8" s="140"/>
      <c r="E8" s="140"/>
      <c r="F8" s="140"/>
      <c r="G8" s="140"/>
      <c r="H8" s="142"/>
      <c r="I8" s="142"/>
      <c r="J8" s="140"/>
      <c r="K8" s="140"/>
      <c r="L8" s="47" t="s">
        <v>398</v>
      </c>
      <c r="M8" s="25"/>
      <c r="N8" s="25"/>
      <c r="O8" s="25"/>
      <c r="P8" s="25"/>
      <c r="Q8" s="25"/>
      <c r="R8" s="140"/>
      <c r="S8" s="140"/>
      <c r="T8" s="140"/>
      <c r="U8" s="140"/>
      <c r="V8" s="140"/>
      <c r="W8" s="140"/>
      <c r="X8" s="142"/>
    </row>
  </sheetData>
  <sheetProtection algorithmName="SHA-512" hashValue="xRUwSIUsVunZ2GRyF3BNqLAuXfl6Gfml5wYEjWeub/9bipfXvHfIXmTYApz1FUAwZ7kk8e4z/peq0fUX/hGiRA==" saltValue="jk6TghyflhxLodlTNyLOTw==" spinCount="100000" sheet="1" objects="1" scenarios="1" formatCells="0" formatColumns="0" formatRows="0"/>
  <mergeCells count="70">
    <mergeCell ref="V7:V8"/>
    <mergeCell ref="K7:K8"/>
    <mergeCell ref="J3:J4"/>
    <mergeCell ref="G1:G2"/>
    <mergeCell ref="I1:I2"/>
    <mergeCell ref="R5:R6"/>
    <mergeCell ref="H5:H6"/>
    <mergeCell ref="J5:J6"/>
    <mergeCell ref="K3:K4"/>
    <mergeCell ref="V3:V4"/>
    <mergeCell ref="S3:S4"/>
    <mergeCell ref="T5:T6"/>
    <mergeCell ref="V5:V6"/>
    <mergeCell ref="K5:K6"/>
    <mergeCell ref="X5:X6"/>
    <mergeCell ref="L1:L2"/>
    <mergeCell ref="H1:H2"/>
    <mergeCell ref="I5:I6"/>
    <mergeCell ref="A5:A6"/>
    <mergeCell ref="G5:G6"/>
    <mergeCell ref="S5:S6"/>
    <mergeCell ref="X1:X2"/>
    <mergeCell ref="U5:U6"/>
    <mergeCell ref="R3:R4"/>
    <mergeCell ref="H3:H4"/>
    <mergeCell ref="T3:T4"/>
    <mergeCell ref="A1:A2"/>
    <mergeCell ref="B5:B6"/>
    <mergeCell ref="D5:D6"/>
    <mergeCell ref="C3:C4"/>
    <mergeCell ref="A3:A4"/>
    <mergeCell ref="G3:G4"/>
    <mergeCell ref="D7:D8"/>
    <mergeCell ref="I3:I4"/>
    <mergeCell ref="U3:U4"/>
    <mergeCell ref="D3:D4"/>
    <mergeCell ref="H7:H8"/>
    <mergeCell ref="J7:J8"/>
    <mergeCell ref="T7:T8"/>
    <mergeCell ref="E7:E8"/>
    <mergeCell ref="E3:E4"/>
    <mergeCell ref="B7:B8"/>
    <mergeCell ref="F7:F8"/>
    <mergeCell ref="C5:C6"/>
    <mergeCell ref="R7:R8"/>
    <mergeCell ref="A7:A8"/>
    <mergeCell ref="X7:X8"/>
    <mergeCell ref="C1:C2"/>
    <mergeCell ref="G7:G8"/>
    <mergeCell ref="K1:K2"/>
    <mergeCell ref="F5:F6"/>
    <mergeCell ref="X3:X4"/>
    <mergeCell ref="I7:I8"/>
    <mergeCell ref="E1:E2"/>
    <mergeCell ref="S7:S8"/>
    <mergeCell ref="M1:Q1"/>
    <mergeCell ref="U7:U8"/>
    <mergeCell ref="W1:W2"/>
    <mergeCell ref="W7:W8"/>
    <mergeCell ref="C7:C8"/>
    <mergeCell ref="R1:V1"/>
    <mergeCell ref="E5:E6"/>
    <mergeCell ref="W5:W6"/>
    <mergeCell ref="J1:J2"/>
    <mergeCell ref="B3:B4"/>
    <mergeCell ref="F3:F4"/>
    <mergeCell ref="B1:B2"/>
    <mergeCell ref="W3:W4"/>
    <mergeCell ref="D1:D2"/>
    <mergeCell ref="F1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4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29" style="22" customWidth="1"/>
    <col min="5" max="5" width="29" style="22" customWidth="1"/>
    <col min="7" max="8" width="29" style="22" customWidth="1"/>
    <col min="9" max="9" width="45.6640625" customWidth="1"/>
    <col min="10" max="10" width="11.44140625" customWidth="1"/>
    <col min="11" max="11" width="29" customWidth="1"/>
    <col min="12" max="12" width="29" style="24" customWidth="1"/>
    <col min="18" max="22" width="11.44140625" style="1" customWidth="1"/>
    <col min="24" max="24" width="29" customWidth="1"/>
  </cols>
  <sheetData>
    <row r="1" spans="1:24" ht="28.95" customHeight="1">
      <c r="A1" s="153" t="s">
        <v>0</v>
      </c>
      <c r="B1" s="153" t="s">
        <v>1</v>
      </c>
      <c r="C1" s="196" t="s">
        <v>2</v>
      </c>
      <c r="D1" s="153" t="s">
        <v>3</v>
      </c>
      <c r="E1" s="196" t="s">
        <v>4</v>
      </c>
      <c r="F1" s="153" t="s">
        <v>5</v>
      </c>
      <c r="G1" s="196" t="s">
        <v>6</v>
      </c>
      <c r="H1" s="200" t="s">
        <v>7</v>
      </c>
      <c r="I1" s="158" t="s">
        <v>8</v>
      </c>
      <c r="J1" s="153" t="s">
        <v>9</v>
      </c>
      <c r="K1" s="156" t="s">
        <v>10</v>
      </c>
      <c r="L1" s="202" t="s">
        <v>11</v>
      </c>
      <c r="M1" s="148" t="s">
        <v>12</v>
      </c>
      <c r="N1" s="149"/>
      <c r="O1" s="149"/>
      <c r="P1" s="149"/>
      <c r="Q1" s="150"/>
      <c r="R1" s="136" t="s">
        <v>13</v>
      </c>
      <c r="S1" s="137"/>
      <c r="T1" s="137"/>
      <c r="U1" s="137"/>
      <c r="V1" s="138"/>
      <c r="W1" s="151" t="s">
        <v>14</v>
      </c>
      <c r="X1" s="157" t="s">
        <v>15</v>
      </c>
    </row>
    <row r="2" spans="1:24" ht="28.95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2"/>
    </row>
    <row r="3" spans="1:24" ht="135" customHeight="1">
      <c r="A3" s="44">
        <v>1</v>
      </c>
      <c r="B3" s="45" t="s">
        <v>399</v>
      </c>
      <c r="C3" s="48" t="s">
        <v>400</v>
      </c>
      <c r="D3" s="47" t="s">
        <v>401</v>
      </c>
      <c r="E3" s="48" t="s">
        <v>402</v>
      </c>
      <c r="F3" s="44">
        <v>24</v>
      </c>
      <c r="G3" s="48" t="s">
        <v>403</v>
      </c>
      <c r="H3" s="117" t="s">
        <v>404</v>
      </c>
      <c r="I3" s="17"/>
      <c r="J3" s="44" t="s">
        <v>24</v>
      </c>
      <c r="K3" s="47" t="s">
        <v>25</v>
      </c>
      <c r="L3" s="89" t="s">
        <v>405</v>
      </c>
      <c r="M3" s="26"/>
      <c r="N3" s="26"/>
      <c r="O3" s="26"/>
      <c r="P3" s="26"/>
      <c r="Q3" s="26"/>
      <c r="R3" s="52">
        <f t="shared" ref="R3:V4" si="0">M3</f>
        <v>0</v>
      </c>
      <c r="S3" s="52">
        <f t="shared" si="0"/>
        <v>0</v>
      </c>
      <c r="T3" s="52">
        <f t="shared" si="0"/>
        <v>0</v>
      </c>
      <c r="U3" s="52">
        <f t="shared" si="0"/>
        <v>0</v>
      </c>
      <c r="V3" s="52">
        <f t="shared" si="0"/>
        <v>0</v>
      </c>
      <c r="W3" s="44" t="s">
        <v>27</v>
      </c>
      <c r="X3" s="26"/>
    </row>
    <row r="4" spans="1:24" ht="135" customHeight="1">
      <c r="A4" s="44">
        <v>2</v>
      </c>
      <c r="B4" s="45" t="s">
        <v>399</v>
      </c>
      <c r="C4" s="48" t="s">
        <v>400</v>
      </c>
      <c r="D4" s="47" t="s">
        <v>401</v>
      </c>
      <c r="E4" s="48" t="s">
        <v>402</v>
      </c>
      <c r="F4" s="44">
        <v>25</v>
      </c>
      <c r="G4" s="48" t="s">
        <v>406</v>
      </c>
      <c r="H4" s="116" t="s">
        <v>407</v>
      </c>
      <c r="I4" s="17"/>
      <c r="J4" s="44" t="s">
        <v>24</v>
      </c>
      <c r="K4" s="47" t="s">
        <v>25</v>
      </c>
      <c r="L4" s="89" t="s">
        <v>408</v>
      </c>
      <c r="M4" s="26"/>
      <c r="N4" s="26"/>
      <c r="O4" s="26"/>
      <c r="P4" s="26"/>
      <c r="Q4" s="26"/>
      <c r="R4" s="52">
        <f t="shared" si="0"/>
        <v>0</v>
      </c>
      <c r="S4" s="52">
        <f t="shared" si="0"/>
        <v>0</v>
      </c>
      <c r="T4" s="52">
        <f t="shared" si="0"/>
        <v>0</v>
      </c>
      <c r="U4" s="52">
        <f t="shared" si="0"/>
        <v>0</v>
      </c>
      <c r="V4" s="52">
        <f t="shared" si="0"/>
        <v>0</v>
      </c>
      <c r="W4" s="44" t="s">
        <v>27</v>
      </c>
      <c r="X4" s="26"/>
    </row>
  </sheetData>
  <sheetProtection algorithmName="SHA-512" hashValue="nTm9sBwIEK/j26nCNZarZsdTqaAk/veVWeLkFiyiVVvr7C/3BboHqtgzFXm9jnZaVCKVY6Nh0XnqjDniu+T0TA==" saltValue="hWca0Gnyu9TLqwSfu6L72w==" spinCount="100000" sheet="1" objects="1" scenarios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4"/>
  <sheetViews>
    <sheetView topLeftCell="F1" zoomScale="91" zoomScaleNormal="91" workbookViewId="0">
      <selection activeCell="R1" sqref="R1:V1"/>
    </sheetView>
  </sheetViews>
  <sheetFormatPr baseColWidth="10" defaultRowHeight="14.4"/>
  <cols>
    <col min="3" max="3" width="29" customWidth="1"/>
    <col min="5" max="5" width="29" customWidth="1"/>
    <col min="7" max="8" width="29" customWidth="1"/>
    <col min="9" max="9" width="45.6640625" customWidth="1"/>
    <col min="11" max="12" width="29" customWidth="1"/>
    <col min="13" max="22" width="11.44140625" style="1" customWidth="1"/>
    <col min="24" max="24" width="29" customWidth="1"/>
  </cols>
  <sheetData>
    <row r="1" spans="1:24" ht="27.6" customHeight="1">
      <c r="A1" s="153" t="s">
        <v>0</v>
      </c>
      <c r="B1" s="153" t="s">
        <v>1</v>
      </c>
      <c r="C1" s="196" t="s">
        <v>2</v>
      </c>
      <c r="D1" s="153" t="s">
        <v>3</v>
      </c>
      <c r="E1" s="196" t="s">
        <v>4</v>
      </c>
      <c r="F1" s="153" t="s">
        <v>5</v>
      </c>
      <c r="G1" s="196" t="s">
        <v>6</v>
      </c>
      <c r="H1" s="200" t="s">
        <v>7</v>
      </c>
      <c r="I1" s="158" t="s">
        <v>8</v>
      </c>
      <c r="J1" s="153" t="s">
        <v>9</v>
      </c>
      <c r="K1" s="151" t="s">
        <v>10</v>
      </c>
      <c r="L1" s="151" t="s">
        <v>11</v>
      </c>
      <c r="M1" s="148" t="s">
        <v>12</v>
      </c>
      <c r="N1" s="149"/>
      <c r="O1" s="149"/>
      <c r="P1" s="149"/>
      <c r="Q1" s="150"/>
      <c r="R1" s="136" t="s">
        <v>13</v>
      </c>
      <c r="S1" s="137"/>
      <c r="T1" s="137"/>
      <c r="U1" s="137"/>
      <c r="V1" s="138"/>
      <c r="W1" s="151" t="s">
        <v>14</v>
      </c>
      <c r="X1" s="157" t="s">
        <v>15</v>
      </c>
    </row>
    <row r="2" spans="1:24" ht="27.6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2"/>
    </row>
    <row r="3" spans="1:24" ht="135" customHeight="1">
      <c r="A3" s="44">
        <v>1</v>
      </c>
      <c r="B3" s="45" t="s">
        <v>409</v>
      </c>
      <c r="C3" s="46" t="s">
        <v>410</v>
      </c>
      <c r="D3" s="47" t="s">
        <v>411</v>
      </c>
      <c r="E3" s="46" t="s">
        <v>412</v>
      </c>
      <c r="F3" s="44">
        <v>7</v>
      </c>
      <c r="G3" s="47" t="s">
        <v>413</v>
      </c>
      <c r="H3" s="116" t="s">
        <v>414</v>
      </c>
      <c r="I3" s="17"/>
      <c r="J3" s="44" t="s">
        <v>24</v>
      </c>
      <c r="K3" s="47" t="s">
        <v>25</v>
      </c>
      <c r="L3" s="47" t="s">
        <v>415</v>
      </c>
      <c r="M3" s="25"/>
      <c r="N3" s="18"/>
      <c r="O3" s="25"/>
      <c r="P3" s="18"/>
      <c r="Q3" s="25"/>
      <c r="R3" s="52">
        <f t="shared" ref="R3:V4" si="0">M3</f>
        <v>0</v>
      </c>
      <c r="S3" s="52">
        <f t="shared" si="0"/>
        <v>0</v>
      </c>
      <c r="T3" s="52">
        <f t="shared" si="0"/>
        <v>0</v>
      </c>
      <c r="U3" s="52">
        <f t="shared" si="0"/>
        <v>0</v>
      </c>
      <c r="V3" s="52">
        <f t="shared" si="0"/>
        <v>0</v>
      </c>
      <c r="W3" s="52" t="s">
        <v>27</v>
      </c>
      <c r="X3" s="26"/>
    </row>
    <row r="4" spans="1:24" ht="135" customHeight="1">
      <c r="A4" s="44">
        <v>2</v>
      </c>
      <c r="B4" s="45" t="s">
        <v>409</v>
      </c>
      <c r="C4" s="46" t="s">
        <v>410</v>
      </c>
      <c r="D4" s="47" t="s">
        <v>416</v>
      </c>
      <c r="E4" s="46" t="s">
        <v>417</v>
      </c>
      <c r="F4" s="44">
        <v>10</v>
      </c>
      <c r="G4" s="47" t="s">
        <v>418</v>
      </c>
      <c r="H4" s="17" t="s">
        <v>419</v>
      </c>
      <c r="I4" s="17"/>
      <c r="J4" s="44" t="s">
        <v>24</v>
      </c>
      <c r="K4" s="47" t="s">
        <v>25</v>
      </c>
      <c r="L4" s="47" t="s">
        <v>420</v>
      </c>
      <c r="M4" s="25"/>
      <c r="N4" s="18"/>
      <c r="O4" s="25"/>
      <c r="P4" s="18"/>
      <c r="Q4" s="25"/>
      <c r="R4" s="52">
        <f t="shared" si="0"/>
        <v>0</v>
      </c>
      <c r="S4" s="52">
        <f t="shared" si="0"/>
        <v>0</v>
      </c>
      <c r="T4" s="52">
        <f t="shared" si="0"/>
        <v>0</v>
      </c>
      <c r="U4" s="52">
        <f t="shared" si="0"/>
        <v>0</v>
      </c>
      <c r="V4" s="52">
        <f t="shared" si="0"/>
        <v>0</v>
      </c>
      <c r="W4" s="52" t="s">
        <v>27</v>
      </c>
      <c r="X4" s="26"/>
    </row>
  </sheetData>
  <sheetProtection algorithmName="SHA-512" hashValue="BBzPQf2bpLSXvkJxMbU7sbAMH4Pw9yxXXdB6OIjHOLplmHFaudvd+mpgcfJfJhud2QaID0AEEMJ98VVyqmq5KA==" saltValue="xjj7jCbw2IorsyMu0Ykowg==" spinCount="100000" sheet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0"/>
  <sheetViews>
    <sheetView topLeftCell="I1" zoomScale="91" zoomScaleNormal="91" workbookViewId="0">
      <selection activeCell="R1" sqref="R1:V1"/>
    </sheetView>
  </sheetViews>
  <sheetFormatPr baseColWidth="10" defaultRowHeight="14.4"/>
  <cols>
    <col min="1" max="1" width="11.44140625" style="14" customWidth="1"/>
    <col min="3" max="3" width="40" style="22" customWidth="1"/>
    <col min="5" max="5" width="40" style="23" customWidth="1"/>
    <col min="6" max="6" width="11.44140625" style="1" customWidth="1"/>
    <col min="7" max="7" width="40" style="22" customWidth="1"/>
    <col min="8" max="8" width="40" customWidth="1"/>
    <col min="9" max="9" width="45.6640625" customWidth="1"/>
    <col min="11" max="11" width="40" style="24" customWidth="1"/>
    <col min="12" max="12" width="40" customWidth="1"/>
    <col min="13" max="22" width="11.44140625" style="1" customWidth="1"/>
    <col min="24" max="24" width="29" customWidth="1"/>
  </cols>
  <sheetData>
    <row r="1" spans="1:24" ht="18.75" customHeight="1">
      <c r="A1" s="153" t="s">
        <v>0</v>
      </c>
      <c r="B1" s="153" t="s">
        <v>1</v>
      </c>
      <c r="C1" s="196" t="s">
        <v>2</v>
      </c>
      <c r="D1" s="153" t="s">
        <v>3</v>
      </c>
      <c r="E1" s="146" t="s">
        <v>4</v>
      </c>
      <c r="F1" s="153" t="s">
        <v>5</v>
      </c>
      <c r="G1" s="196" t="s">
        <v>6</v>
      </c>
      <c r="H1" s="200" t="s">
        <v>7</v>
      </c>
      <c r="I1" s="158" t="s">
        <v>8</v>
      </c>
      <c r="J1" s="153" t="s">
        <v>9</v>
      </c>
      <c r="K1" s="202" t="s">
        <v>10</v>
      </c>
      <c r="L1" s="202" t="s">
        <v>11</v>
      </c>
      <c r="M1" s="148" t="s">
        <v>12</v>
      </c>
      <c r="N1" s="149"/>
      <c r="O1" s="149"/>
      <c r="P1" s="149"/>
      <c r="Q1" s="150"/>
      <c r="R1" s="136" t="s">
        <v>13</v>
      </c>
      <c r="S1" s="137"/>
      <c r="T1" s="137"/>
      <c r="U1" s="137"/>
      <c r="V1" s="138"/>
      <c r="W1" s="151" t="s">
        <v>14</v>
      </c>
      <c r="X1" s="157" t="s">
        <v>15</v>
      </c>
    </row>
    <row r="2" spans="1:24" ht="24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2"/>
    </row>
    <row r="3" spans="1:24" ht="135" customHeight="1">
      <c r="A3" s="49">
        <v>1</v>
      </c>
      <c r="B3" s="47" t="s">
        <v>421</v>
      </c>
      <c r="C3" s="48" t="s">
        <v>422</v>
      </c>
      <c r="D3" s="47" t="s">
        <v>423</v>
      </c>
      <c r="E3" s="51" t="s">
        <v>424</v>
      </c>
      <c r="F3" s="49">
        <v>8</v>
      </c>
      <c r="G3" s="48" t="s">
        <v>425</v>
      </c>
      <c r="H3" s="116" t="s">
        <v>426</v>
      </c>
      <c r="I3" s="116"/>
      <c r="J3" s="44" t="s">
        <v>24</v>
      </c>
      <c r="K3" s="89" t="s">
        <v>25</v>
      </c>
      <c r="L3" s="47" t="s">
        <v>427</v>
      </c>
      <c r="M3" s="25"/>
      <c r="N3" s="25"/>
      <c r="O3" s="25"/>
      <c r="P3" s="25"/>
      <c r="Q3" s="25"/>
      <c r="R3" s="52">
        <f t="shared" ref="R3:V10" si="0">M3</f>
        <v>0</v>
      </c>
      <c r="S3" s="52">
        <f t="shared" si="0"/>
        <v>0</v>
      </c>
      <c r="T3" s="52">
        <f t="shared" si="0"/>
        <v>0</v>
      </c>
      <c r="U3" s="52">
        <f t="shared" si="0"/>
        <v>0</v>
      </c>
      <c r="V3" s="52">
        <f t="shared" si="0"/>
        <v>0</v>
      </c>
      <c r="W3" s="49" t="s">
        <v>27</v>
      </c>
      <c r="X3" s="26"/>
    </row>
    <row r="4" spans="1:24" ht="135" customHeight="1">
      <c r="A4" s="49">
        <v>2</v>
      </c>
      <c r="B4" s="47" t="s">
        <v>421</v>
      </c>
      <c r="C4" s="48" t="s">
        <v>422</v>
      </c>
      <c r="D4" s="47" t="s">
        <v>423</v>
      </c>
      <c r="E4" s="51" t="s">
        <v>424</v>
      </c>
      <c r="F4" s="49">
        <v>10</v>
      </c>
      <c r="G4" s="48" t="s">
        <v>428</v>
      </c>
      <c r="H4" s="116" t="s">
        <v>429</v>
      </c>
      <c r="I4" s="116"/>
      <c r="J4" s="44" t="s">
        <v>24</v>
      </c>
      <c r="K4" s="89" t="s">
        <v>25</v>
      </c>
      <c r="L4" s="47" t="s">
        <v>430</v>
      </c>
      <c r="M4" s="25"/>
      <c r="N4" s="25"/>
      <c r="O4" s="25"/>
      <c r="P4" s="25"/>
      <c r="Q4" s="25"/>
      <c r="R4" s="52">
        <f t="shared" si="0"/>
        <v>0</v>
      </c>
      <c r="S4" s="52">
        <f t="shared" si="0"/>
        <v>0</v>
      </c>
      <c r="T4" s="52">
        <f t="shared" si="0"/>
        <v>0</v>
      </c>
      <c r="U4" s="52">
        <f t="shared" si="0"/>
        <v>0</v>
      </c>
      <c r="V4" s="52">
        <f t="shared" si="0"/>
        <v>0</v>
      </c>
      <c r="W4" s="49" t="s">
        <v>27</v>
      </c>
      <c r="X4" s="26"/>
    </row>
    <row r="5" spans="1:24" ht="135" customHeight="1">
      <c r="A5" s="49">
        <v>3</v>
      </c>
      <c r="B5" s="47" t="s">
        <v>421</v>
      </c>
      <c r="C5" s="48" t="s">
        <v>422</v>
      </c>
      <c r="D5" s="47" t="s">
        <v>431</v>
      </c>
      <c r="E5" s="51" t="s">
        <v>432</v>
      </c>
      <c r="F5" s="49">
        <v>11</v>
      </c>
      <c r="G5" s="48" t="s">
        <v>433</v>
      </c>
      <c r="H5" s="117" t="s">
        <v>434</v>
      </c>
      <c r="I5" s="116"/>
      <c r="J5" s="44" t="s">
        <v>24</v>
      </c>
      <c r="K5" s="89" t="s">
        <v>25</v>
      </c>
      <c r="L5" s="46" t="s">
        <v>435</v>
      </c>
      <c r="M5" s="25"/>
      <c r="N5" s="25"/>
      <c r="O5" s="25"/>
      <c r="P5" s="25"/>
      <c r="Q5" s="25"/>
      <c r="R5" s="52">
        <f t="shared" si="0"/>
        <v>0</v>
      </c>
      <c r="S5" s="52">
        <f t="shared" si="0"/>
        <v>0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9" t="s">
        <v>27</v>
      </c>
      <c r="X5" s="26"/>
    </row>
    <row r="6" spans="1:24" ht="135" customHeight="1">
      <c r="A6" s="49">
        <v>4</v>
      </c>
      <c r="B6" s="47" t="s">
        <v>421</v>
      </c>
      <c r="C6" s="48" t="s">
        <v>422</v>
      </c>
      <c r="D6" s="47" t="s">
        <v>431</v>
      </c>
      <c r="E6" s="51" t="s">
        <v>432</v>
      </c>
      <c r="F6" s="49">
        <v>12</v>
      </c>
      <c r="G6" s="48" t="s">
        <v>436</v>
      </c>
      <c r="H6" s="116" t="s">
        <v>437</v>
      </c>
      <c r="I6" s="116"/>
      <c r="J6" s="44" t="s">
        <v>24</v>
      </c>
      <c r="K6" s="89" t="s">
        <v>25</v>
      </c>
      <c r="L6" s="47" t="s">
        <v>438</v>
      </c>
      <c r="M6" s="25"/>
      <c r="N6" s="25"/>
      <c r="O6" s="25"/>
      <c r="P6" s="25"/>
      <c r="Q6" s="25"/>
      <c r="R6" s="52">
        <f t="shared" si="0"/>
        <v>0</v>
      </c>
      <c r="S6" s="52">
        <f t="shared" si="0"/>
        <v>0</v>
      </c>
      <c r="T6" s="52">
        <f t="shared" si="0"/>
        <v>0</v>
      </c>
      <c r="U6" s="52">
        <f t="shared" si="0"/>
        <v>0</v>
      </c>
      <c r="V6" s="52">
        <f t="shared" si="0"/>
        <v>0</v>
      </c>
      <c r="W6" s="49" t="s">
        <v>27</v>
      </c>
      <c r="X6" s="26"/>
    </row>
    <row r="7" spans="1:24" ht="135" customHeight="1">
      <c r="A7" s="49">
        <v>5</v>
      </c>
      <c r="B7" s="47" t="s">
        <v>421</v>
      </c>
      <c r="C7" s="48" t="s">
        <v>422</v>
      </c>
      <c r="D7" s="47" t="s">
        <v>431</v>
      </c>
      <c r="E7" s="51" t="s">
        <v>432</v>
      </c>
      <c r="F7" s="49">
        <v>13</v>
      </c>
      <c r="G7" s="48" t="s">
        <v>439</v>
      </c>
      <c r="H7" s="116" t="s">
        <v>440</v>
      </c>
      <c r="I7" s="116"/>
      <c r="J7" s="44" t="s">
        <v>24</v>
      </c>
      <c r="K7" s="89" t="s">
        <v>25</v>
      </c>
      <c r="L7" s="47" t="s">
        <v>441</v>
      </c>
      <c r="M7" s="25"/>
      <c r="N7" s="25"/>
      <c r="O7" s="25"/>
      <c r="P7" s="25"/>
      <c r="Q7" s="25"/>
      <c r="R7" s="52">
        <f t="shared" si="0"/>
        <v>0</v>
      </c>
      <c r="S7" s="52">
        <f t="shared" si="0"/>
        <v>0</v>
      </c>
      <c r="T7" s="52">
        <f t="shared" si="0"/>
        <v>0</v>
      </c>
      <c r="U7" s="52">
        <f t="shared" si="0"/>
        <v>0</v>
      </c>
      <c r="V7" s="52">
        <f t="shared" si="0"/>
        <v>0</v>
      </c>
      <c r="W7" s="49" t="s">
        <v>27</v>
      </c>
      <c r="X7" s="26"/>
    </row>
    <row r="8" spans="1:24" ht="135" customHeight="1">
      <c r="A8" s="49">
        <v>6</v>
      </c>
      <c r="B8" s="47" t="s">
        <v>421</v>
      </c>
      <c r="C8" s="48" t="s">
        <v>422</v>
      </c>
      <c r="D8" s="47" t="s">
        <v>442</v>
      </c>
      <c r="E8" s="51" t="s">
        <v>443</v>
      </c>
      <c r="F8" s="49">
        <v>20</v>
      </c>
      <c r="G8" s="48" t="s">
        <v>444</v>
      </c>
      <c r="H8" s="117" t="s">
        <v>445</v>
      </c>
      <c r="I8" s="116"/>
      <c r="J8" s="44" t="s">
        <v>24</v>
      </c>
      <c r="K8" s="89" t="s">
        <v>25</v>
      </c>
      <c r="L8" s="46" t="s">
        <v>446</v>
      </c>
      <c r="M8" s="25"/>
      <c r="N8" s="25"/>
      <c r="O8" s="25"/>
      <c r="P8" s="25"/>
      <c r="Q8" s="25"/>
      <c r="R8" s="52">
        <f t="shared" si="0"/>
        <v>0</v>
      </c>
      <c r="S8" s="52">
        <f t="shared" si="0"/>
        <v>0</v>
      </c>
      <c r="T8" s="52">
        <f t="shared" si="0"/>
        <v>0</v>
      </c>
      <c r="U8" s="52">
        <f t="shared" si="0"/>
        <v>0</v>
      </c>
      <c r="V8" s="52">
        <f t="shared" si="0"/>
        <v>0</v>
      </c>
      <c r="W8" s="49" t="s">
        <v>27</v>
      </c>
      <c r="X8" s="26"/>
    </row>
    <row r="9" spans="1:24" ht="135" customHeight="1">
      <c r="A9" s="49">
        <v>7</v>
      </c>
      <c r="B9" s="47" t="s">
        <v>421</v>
      </c>
      <c r="C9" s="48" t="s">
        <v>422</v>
      </c>
      <c r="D9" s="47" t="s">
        <v>442</v>
      </c>
      <c r="E9" s="51" t="s">
        <v>443</v>
      </c>
      <c r="F9" s="49">
        <v>22</v>
      </c>
      <c r="G9" s="48" t="s">
        <v>447</v>
      </c>
      <c r="H9" s="116" t="s">
        <v>448</v>
      </c>
      <c r="I9" s="116"/>
      <c r="J9" s="44" t="s">
        <v>24</v>
      </c>
      <c r="K9" s="89" t="s">
        <v>25</v>
      </c>
      <c r="L9" s="47" t="s">
        <v>449</v>
      </c>
      <c r="M9" s="25"/>
      <c r="N9" s="25"/>
      <c r="O9" s="25"/>
      <c r="P9" s="25"/>
      <c r="Q9" s="25"/>
      <c r="R9" s="52">
        <f t="shared" si="0"/>
        <v>0</v>
      </c>
      <c r="S9" s="52">
        <f t="shared" si="0"/>
        <v>0</v>
      </c>
      <c r="T9" s="52">
        <f t="shared" si="0"/>
        <v>0</v>
      </c>
      <c r="U9" s="52">
        <f t="shared" si="0"/>
        <v>0</v>
      </c>
      <c r="V9" s="52">
        <f t="shared" si="0"/>
        <v>0</v>
      </c>
      <c r="W9" s="49" t="s">
        <v>27</v>
      </c>
      <c r="X9" s="26"/>
    </row>
    <row r="10" spans="1:24" ht="135" customHeight="1">
      <c r="A10" s="49">
        <v>8</v>
      </c>
      <c r="B10" s="47" t="s">
        <v>421</v>
      </c>
      <c r="C10" s="48" t="s">
        <v>422</v>
      </c>
      <c r="D10" s="47" t="s">
        <v>442</v>
      </c>
      <c r="E10" s="51" t="s">
        <v>443</v>
      </c>
      <c r="F10" s="49">
        <v>30</v>
      </c>
      <c r="G10" s="48" t="s">
        <v>450</v>
      </c>
      <c r="H10" s="17" t="s">
        <v>451</v>
      </c>
      <c r="I10" s="116"/>
      <c r="J10" s="45" t="s">
        <v>24</v>
      </c>
      <c r="K10" s="89" t="s">
        <v>25</v>
      </c>
      <c r="L10" s="47" t="s">
        <v>452</v>
      </c>
      <c r="M10" s="25"/>
      <c r="N10" s="25"/>
      <c r="O10" s="25"/>
      <c r="P10" s="25"/>
      <c r="Q10" s="25"/>
      <c r="R10" s="52">
        <f t="shared" si="0"/>
        <v>0</v>
      </c>
      <c r="S10" s="52">
        <f t="shared" si="0"/>
        <v>0</v>
      </c>
      <c r="T10" s="52">
        <f t="shared" si="0"/>
        <v>0</v>
      </c>
      <c r="U10" s="52">
        <f t="shared" si="0"/>
        <v>0</v>
      </c>
      <c r="V10" s="52">
        <f t="shared" si="0"/>
        <v>0</v>
      </c>
      <c r="W10" s="47" t="s">
        <v>27</v>
      </c>
      <c r="X10" s="26"/>
    </row>
  </sheetData>
  <sheetProtection algorithmName="SHA-512" hashValue="CZTVx/3DWTYus3VKqwh3RclCPmAiMZR+WrjsWmdbYXmwrICmyjoLzuTBFYiOXGviqXTyIUOpSGBR3GBI4baj0w==" saltValue="89/l/hLJR4W9ip47NZ1v+Q==" spinCount="100000" sheet="1" objects="1" scenarios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3"/>
  <sheetViews>
    <sheetView topLeftCell="G1" zoomScale="91" zoomScaleNormal="91" workbookViewId="0">
      <selection activeCell="R1" sqref="R1:V1"/>
    </sheetView>
  </sheetViews>
  <sheetFormatPr baseColWidth="10" defaultRowHeight="14.4"/>
  <cols>
    <col min="2" max="2" width="18.6640625" customWidth="1"/>
    <col min="3" max="3" width="28.88671875" customWidth="1"/>
    <col min="5" max="5" width="28.88671875" style="22" customWidth="1"/>
    <col min="7" max="8" width="28.88671875" style="22" customWidth="1"/>
    <col min="9" max="9" width="45.6640625" customWidth="1"/>
    <col min="11" max="11" width="28.88671875" customWidth="1"/>
    <col min="12" max="12" width="28.88671875" style="22" customWidth="1"/>
    <col min="13" max="23" width="11.44140625" style="1" customWidth="1"/>
    <col min="24" max="24" width="29" customWidth="1"/>
  </cols>
  <sheetData>
    <row r="1" spans="1:24" ht="18.75" customHeight="1">
      <c r="A1" s="153" t="s">
        <v>0</v>
      </c>
      <c r="B1" s="153" t="s">
        <v>1</v>
      </c>
      <c r="C1" s="196" t="s">
        <v>2</v>
      </c>
      <c r="D1" s="153" t="s">
        <v>3</v>
      </c>
      <c r="E1" s="196" t="s">
        <v>4</v>
      </c>
      <c r="F1" s="153" t="s">
        <v>5</v>
      </c>
      <c r="G1" s="196" t="s">
        <v>6</v>
      </c>
      <c r="H1" s="200" t="s">
        <v>7</v>
      </c>
      <c r="I1" s="158" t="s">
        <v>8</v>
      </c>
      <c r="J1" s="153" t="s">
        <v>9</v>
      </c>
      <c r="K1" s="202" t="s">
        <v>10</v>
      </c>
      <c r="L1" s="156" t="s">
        <v>11</v>
      </c>
      <c r="M1" s="148" t="s">
        <v>12</v>
      </c>
      <c r="N1" s="149"/>
      <c r="O1" s="149"/>
      <c r="P1" s="149"/>
      <c r="Q1" s="150"/>
      <c r="R1" s="136" t="s">
        <v>13</v>
      </c>
      <c r="S1" s="137"/>
      <c r="T1" s="137"/>
      <c r="U1" s="137"/>
      <c r="V1" s="138"/>
      <c r="W1" s="151" t="s">
        <v>14</v>
      </c>
      <c r="X1" s="157" t="s">
        <v>15</v>
      </c>
    </row>
    <row r="2" spans="1:24" ht="24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2"/>
    </row>
    <row r="3" spans="1:24" ht="150" customHeight="1">
      <c r="A3" s="44">
        <v>1</v>
      </c>
      <c r="B3" s="45" t="s">
        <v>453</v>
      </c>
      <c r="C3" s="46" t="s">
        <v>454</v>
      </c>
      <c r="D3" s="47" t="s">
        <v>455</v>
      </c>
      <c r="E3" s="48" t="s">
        <v>456</v>
      </c>
      <c r="F3" s="44">
        <v>5</v>
      </c>
      <c r="G3" s="48" t="s">
        <v>457</v>
      </c>
      <c r="H3" s="117" t="s">
        <v>458</v>
      </c>
      <c r="I3" s="20"/>
      <c r="J3" s="44" t="s">
        <v>24</v>
      </c>
      <c r="K3" s="47" t="s">
        <v>25</v>
      </c>
      <c r="L3" s="48" t="s">
        <v>459</v>
      </c>
      <c r="M3" s="25"/>
      <c r="N3" s="25"/>
      <c r="O3" s="25"/>
      <c r="P3" s="25"/>
      <c r="Q3" s="25"/>
      <c r="R3" s="52">
        <f>M3</f>
        <v>0</v>
      </c>
      <c r="S3" s="52">
        <f>N3</f>
        <v>0</v>
      </c>
      <c r="T3" s="52">
        <f>O3</f>
        <v>0</v>
      </c>
      <c r="U3" s="52">
        <f>P3</f>
        <v>0</v>
      </c>
      <c r="V3" s="52">
        <f>Q3</f>
        <v>0</v>
      </c>
      <c r="W3" s="44" t="s">
        <v>27</v>
      </c>
      <c r="X3" s="26"/>
    </row>
  </sheetData>
  <sheetProtection algorithmName="SHA-512" hashValue="D+6slupOrmk6dd6NNAIME1vYPjj7lxTbkmJdll6wVW0a7N1AoRgjtNIdD/z+DlB0fObneRuKOswBuahC4YzQsw==" saltValue="D/rXDub4NcBNtZa6KsKU6Q==" spinCount="100000" sheet="1" objects="1" scenarios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2"/>
  <sheetViews>
    <sheetView topLeftCell="F1" zoomScale="91" zoomScaleNormal="91" workbookViewId="0">
      <selection activeCell="L12" sqref="L12"/>
    </sheetView>
  </sheetViews>
  <sheetFormatPr baseColWidth="10" defaultRowHeight="14.4"/>
  <cols>
    <col min="1" max="1" width="11.44140625" style="14" customWidth="1"/>
    <col min="3" max="3" width="28.5546875" style="22" customWidth="1"/>
    <col min="5" max="5" width="28.5546875" style="22" customWidth="1"/>
    <col min="7" max="7" width="28.5546875" style="22" customWidth="1"/>
    <col min="8" max="8" width="28.5546875" customWidth="1"/>
    <col min="9" max="9" width="45.6640625" customWidth="1"/>
    <col min="11" max="11" width="28.5546875" style="23" customWidth="1"/>
    <col min="12" max="12" width="28.5546875" style="1" customWidth="1"/>
    <col min="13" max="23" width="11.44140625" style="1" customWidth="1"/>
    <col min="24" max="24" width="29" customWidth="1"/>
  </cols>
  <sheetData>
    <row r="1" spans="1:24" s="1" customFormat="1" ht="18.75" customHeight="1">
      <c r="A1" s="153" t="s">
        <v>0</v>
      </c>
      <c r="B1" s="153" t="s">
        <v>1</v>
      </c>
      <c r="C1" s="153" t="s">
        <v>2</v>
      </c>
      <c r="D1" s="153" t="s">
        <v>3</v>
      </c>
      <c r="E1" s="153" t="s">
        <v>4</v>
      </c>
      <c r="F1" s="153" t="s">
        <v>5</v>
      </c>
      <c r="G1" s="153" t="s">
        <v>6</v>
      </c>
      <c r="H1" s="191" t="s">
        <v>7</v>
      </c>
      <c r="I1" s="158" t="s">
        <v>8</v>
      </c>
      <c r="J1" s="153" t="s">
        <v>9</v>
      </c>
      <c r="K1" s="151" t="s">
        <v>10</v>
      </c>
      <c r="L1" s="151" t="s">
        <v>11</v>
      </c>
      <c r="M1" s="148" t="s">
        <v>12</v>
      </c>
      <c r="N1" s="149"/>
      <c r="O1" s="149"/>
      <c r="P1" s="149"/>
      <c r="Q1" s="150"/>
      <c r="R1" s="136" t="s">
        <v>13</v>
      </c>
      <c r="S1" s="137"/>
      <c r="T1" s="137"/>
      <c r="U1" s="137"/>
      <c r="V1" s="138"/>
      <c r="W1" s="151" t="s">
        <v>14</v>
      </c>
      <c r="X1" s="157" t="s">
        <v>15</v>
      </c>
    </row>
    <row r="2" spans="1:24" s="1" customFormat="1" ht="24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2"/>
    </row>
    <row r="3" spans="1:24" ht="65.25" customHeight="1">
      <c r="A3" s="143">
        <v>1</v>
      </c>
      <c r="B3" s="143" t="s">
        <v>460</v>
      </c>
      <c r="C3" s="162" t="s">
        <v>461</v>
      </c>
      <c r="D3" s="152" t="s">
        <v>462</v>
      </c>
      <c r="E3" s="162" t="s">
        <v>463</v>
      </c>
      <c r="F3" s="143">
        <v>1</v>
      </c>
      <c r="G3" s="162" t="s">
        <v>464</v>
      </c>
      <c r="H3" s="145" t="s">
        <v>465</v>
      </c>
      <c r="I3" s="145"/>
      <c r="J3" s="155" t="s">
        <v>45</v>
      </c>
      <c r="K3" s="144" t="s">
        <v>466</v>
      </c>
      <c r="L3" s="49" t="s">
        <v>467</v>
      </c>
      <c r="M3" s="25"/>
      <c r="N3" s="25"/>
      <c r="O3" s="25"/>
      <c r="P3" s="25"/>
      <c r="Q3" s="25"/>
      <c r="R3" s="139" t="str">
        <f>IF(M4,M3/M4*100,"0")</f>
        <v>0</v>
      </c>
      <c r="S3" s="139" t="str">
        <f>IF(N4,N3/N4*100,"0")</f>
        <v>0</v>
      </c>
      <c r="T3" s="139" t="str">
        <f>IF(O4,O3/O4*100,"0")</f>
        <v>0</v>
      </c>
      <c r="U3" s="139" t="str">
        <f>IF(P4,P3/P4*100,"0")</f>
        <v>0</v>
      </c>
      <c r="V3" s="139" t="str">
        <f>IF(Q4,Q3/Q4*100,"0")</f>
        <v>0</v>
      </c>
      <c r="W3" s="139" t="s">
        <v>27</v>
      </c>
      <c r="X3" s="141"/>
    </row>
    <row r="4" spans="1:24" ht="65.25" customHeight="1">
      <c r="A4" s="140"/>
      <c r="B4" s="140"/>
      <c r="C4" s="140"/>
      <c r="D4" s="140"/>
      <c r="E4" s="140"/>
      <c r="F4" s="140"/>
      <c r="G4" s="140"/>
      <c r="H4" s="142"/>
      <c r="I4" s="142"/>
      <c r="J4" s="140"/>
      <c r="K4" s="140"/>
      <c r="L4" s="49" t="s">
        <v>468</v>
      </c>
      <c r="M4" s="25"/>
      <c r="N4" s="25"/>
      <c r="O4" s="25"/>
      <c r="P4" s="25"/>
      <c r="Q4" s="25"/>
      <c r="R4" s="140"/>
      <c r="S4" s="140"/>
      <c r="T4" s="140"/>
      <c r="U4" s="140"/>
      <c r="V4" s="140"/>
      <c r="W4" s="140"/>
      <c r="X4" s="142"/>
    </row>
    <row r="5" spans="1:24" ht="135" customHeight="1">
      <c r="A5" s="44">
        <v>2</v>
      </c>
      <c r="B5" s="45" t="s">
        <v>460</v>
      </c>
      <c r="C5" s="48" t="s">
        <v>461</v>
      </c>
      <c r="D5" s="47" t="s">
        <v>469</v>
      </c>
      <c r="E5" s="48" t="s">
        <v>470</v>
      </c>
      <c r="F5" s="44">
        <v>3</v>
      </c>
      <c r="G5" s="48" t="s">
        <v>471</v>
      </c>
      <c r="H5" s="116" t="s">
        <v>472</v>
      </c>
      <c r="I5" s="17"/>
      <c r="J5" s="44" t="s">
        <v>24</v>
      </c>
      <c r="K5" s="51" t="s">
        <v>25</v>
      </c>
      <c r="L5" s="49" t="s">
        <v>473</v>
      </c>
      <c r="M5" s="25"/>
      <c r="N5" s="25"/>
      <c r="O5" s="25"/>
      <c r="P5" s="25"/>
      <c r="Q5" s="25"/>
      <c r="R5" s="52">
        <f>M5</f>
        <v>0</v>
      </c>
      <c r="S5" s="52">
        <f>N5</f>
        <v>0</v>
      </c>
      <c r="T5" s="52">
        <f>O5</f>
        <v>0</v>
      </c>
      <c r="U5" s="52">
        <f>P5</f>
        <v>0</v>
      </c>
      <c r="V5" s="52">
        <f>Q5</f>
        <v>0</v>
      </c>
      <c r="W5" s="44" t="s">
        <v>27</v>
      </c>
      <c r="X5" s="26"/>
    </row>
    <row r="6" spans="1:24" ht="70.5" customHeight="1">
      <c r="A6" s="143">
        <v>3</v>
      </c>
      <c r="B6" s="143" t="s">
        <v>460</v>
      </c>
      <c r="C6" s="162" t="s">
        <v>461</v>
      </c>
      <c r="D6" s="152" t="s">
        <v>474</v>
      </c>
      <c r="E6" s="162" t="s">
        <v>475</v>
      </c>
      <c r="F6" s="143">
        <v>6</v>
      </c>
      <c r="G6" s="162" t="s">
        <v>476</v>
      </c>
      <c r="H6" s="145" t="s">
        <v>477</v>
      </c>
      <c r="I6" s="145"/>
      <c r="J6" s="155" t="s">
        <v>45</v>
      </c>
      <c r="K6" s="144" t="s">
        <v>478</v>
      </c>
      <c r="L6" s="49" t="s">
        <v>479</v>
      </c>
      <c r="M6" s="25"/>
      <c r="N6" s="25"/>
      <c r="O6" s="25"/>
      <c r="P6" s="25"/>
      <c r="Q6" s="25"/>
      <c r="R6" s="139" t="str">
        <f>IF(M7,M6/M7*100,"0")</f>
        <v>0</v>
      </c>
      <c r="S6" s="139" t="str">
        <f>IF(N7,N6/N7*100,"0")</f>
        <v>0</v>
      </c>
      <c r="T6" s="139" t="str">
        <f>IF(O7,O6/O7*100,"0")</f>
        <v>0</v>
      </c>
      <c r="U6" s="139" t="str">
        <f>IF(P7,P6/P7*100,"0")</f>
        <v>0</v>
      </c>
      <c r="V6" s="139" t="str">
        <f>IF(Q7,Q6/Q7*100,"0")</f>
        <v>0</v>
      </c>
      <c r="W6" s="143" t="s">
        <v>27</v>
      </c>
      <c r="X6" s="141"/>
    </row>
    <row r="7" spans="1:24" ht="70.5" customHeight="1">
      <c r="A7" s="140"/>
      <c r="B7" s="140"/>
      <c r="C7" s="140"/>
      <c r="D7" s="140"/>
      <c r="E7" s="140"/>
      <c r="F7" s="140"/>
      <c r="G7" s="140"/>
      <c r="H7" s="142"/>
      <c r="I7" s="142"/>
      <c r="J7" s="140"/>
      <c r="K7" s="140"/>
      <c r="L7" s="49" t="s">
        <v>480</v>
      </c>
      <c r="M7" s="25"/>
      <c r="N7" s="25"/>
      <c r="O7" s="25"/>
      <c r="P7" s="25"/>
      <c r="Q7" s="25"/>
      <c r="R7" s="140"/>
      <c r="S7" s="140"/>
      <c r="T7" s="140"/>
      <c r="U7" s="140"/>
      <c r="V7" s="140"/>
      <c r="W7" s="140"/>
      <c r="X7" s="142"/>
    </row>
    <row r="8" spans="1:24" ht="135" customHeight="1">
      <c r="A8" s="44">
        <v>4</v>
      </c>
      <c r="B8" s="45" t="s">
        <v>460</v>
      </c>
      <c r="C8" s="48" t="s">
        <v>461</v>
      </c>
      <c r="D8" s="47" t="s">
        <v>474</v>
      </c>
      <c r="E8" s="48" t="s">
        <v>475</v>
      </c>
      <c r="F8" s="44">
        <v>7</v>
      </c>
      <c r="G8" s="48" t="s">
        <v>481</v>
      </c>
      <c r="H8" s="116" t="s">
        <v>482</v>
      </c>
      <c r="I8" s="17"/>
      <c r="J8" s="44" t="s">
        <v>24</v>
      </c>
      <c r="K8" s="51" t="s">
        <v>25</v>
      </c>
      <c r="L8" s="49" t="s">
        <v>483</v>
      </c>
      <c r="M8" s="25"/>
      <c r="N8" s="25"/>
      <c r="O8" s="25"/>
      <c r="P8" s="25"/>
      <c r="Q8" s="25"/>
      <c r="R8" s="52">
        <f t="shared" ref="R8:V12" si="0">M8</f>
        <v>0</v>
      </c>
      <c r="S8" s="52">
        <f t="shared" si="0"/>
        <v>0</v>
      </c>
      <c r="T8" s="52">
        <f t="shared" si="0"/>
        <v>0</v>
      </c>
      <c r="U8" s="52">
        <f t="shared" si="0"/>
        <v>0</v>
      </c>
      <c r="V8" s="52">
        <f t="shared" si="0"/>
        <v>0</v>
      </c>
      <c r="W8" s="44" t="s">
        <v>27</v>
      </c>
      <c r="X8" s="26"/>
    </row>
    <row r="9" spans="1:24" ht="135" customHeight="1">
      <c r="A9" s="44">
        <v>5</v>
      </c>
      <c r="B9" s="45" t="s">
        <v>460</v>
      </c>
      <c r="C9" s="48" t="s">
        <v>461</v>
      </c>
      <c r="D9" s="47" t="s">
        <v>474</v>
      </c>
      <c r="E9" s="48" t="s">
        <v>475</v>
      </c>
      <c r="F9" s="44">
        <v>13</v>
      </c>
      <c r="G9" s="48" t="s">
        <v>484</v>
      </c>
      <c r="H9" s="116" t="s">
        <v>485</v>
      </c>
      <c r="I9" s="17"/>
      <c r="J9" s="44" t="s">
        <v>24</v>
      </c>
      <c r="K9" s="51" t="s">
        <v>25</v>
      </c>
      <c r="L9" s="49" t="s">
        <v>486</v>
      </c>
      <c r="M9" s="25"/>
      <c r="N9" s="25"/>
      <c r="O9" s="25"/>
      <c r="P9" s="25"/>
      <c r="Q9" s="25"/>
      <c r="R9" s="52">
        <f t="shared" si="0"/>
        <v>0</v>
      </c>
      <c r="S9" s="52">
        <f t="shared" si="0"/>
        <v>0</v>
      </c>
      <c r="T9" s="52">
        <f t="shared" si="0"/>
        <v>0</v>
      </c>
      <c r="U9" s="52">
        <f t="shared" si="0"/>
        <v>0</v>
      </c>
      <c r="V9" s="52">
        <f t="shared" si="0"/>
        <v>0</v>
      </c>
      <c r="W9" s="44" t="s">
        <v>27</v>
      </c>
      <c r="X9" s="26"/>
    </row>
    <row r="10" spans="1:24" ht="135" customHeight="1">
      <c r="A10" s="44">
        <v>6</v>
      </c>
      <c r="B10" s="45" t="s">
        <v>460</v>
      </c>
      <c r="C10" s="48" t="s">
        <v>461</v>
      </c>
      <c r="D10" s="47" t="s">
        <v>487</v>
      </c>
      <c r="E10" s="48" t="s">
        <v>488</v>
      </c>
      <c r="F10" s="44">
        <v>16</v>
      </c>
      <c r="G10" s="48" t="s">
        <v>489</v>
      </c>
      <c r="H10" s="117" t="s">
        <v>490</v>
      </c>
      <c r="I10" s="20"/>
      <c r="J10" s="44" t="s">
        <v>24</v>
      </c>
      <c r="K10" s="51" t="s">
        <v>25</v>
      </c>
      <c r="L10" s="49" t="s">
        <v>491</v>
      </c>
      <c r="M10" s="25"/>
      <c r="N10" s="25"/>
      <c r="O10" s="25"/>
      <c r="P10" s="25"/>
      <c r="Q10" s="25"/>
      <c r="R10" s="52">
        <f t="shared" si="0"/>
        <v>0</v>
      </c>
      <c r="S10" s="52">
        <f t="shared" si="0"/>
        <v>0</v>
      </c>
      <c r="T10" s="52">
        <f t="shared" si="0"/>
        <v>0</v>
      </c>
      <c r="U10" s="52">
        <f t="shared" si="0"/>
        <v>0</v>
      </c>
      <c r="V10" s="52">
        <f t="shared" si="0"/>
        <v>0</v>
      </c>
      <c r="W10" s="44" t="s">
        <v>27</v>
      </c>
      <c r="X10" s="26"/>
    </row>
    <row r="11" spans="1:24" ht="135" customHeight="1">
      <c r="A11" s="44">
        <v>7</v>
      </c>
      <c r="B11" s="45" t="s">
        <v>460</v>
      </c>
      <c r="C11" s="48" t="s">
        <v>461</v>
      </c>
      <c r="D11" s="47" t="s">
        <v>487</v>
      </c>
      <c r="E11" s="48" t="s">
        <v>488</v>
      </c>
      <c r="F11" s="44">
        <v>24</v>
      </c>
      <c r="G11" s="48" t="s">
        <v>492</v>
      </c>
      <c r="H11" s="116" t="s">
        <v>493</v>
      </c>
      <c r="I11" s="17"/>
      <c r="J11" s="44" t="s">
        <v>494</v>
      </c>
      <c r="K11" s="51" t="s">
        <v>25</v>
      </c>
      <c r="L11" s="49" t="s">
        <v>495</v>
      </c>
      <c r="M11" s="25"/>
      <c r="N11" s="25"/>
      <c r="O11" s="25"/>
      <c r="P11" s="25"/>
      <c r="Q11" s="25"/>
      <c r="R11" s="52">
        <f t="shared" si="0"/>
        <v>0</v>
      </c>
      <c r="S11" s="52">
        <f t="shared" si="0"/>
        <v>0</v>
      </c>
      <c r="T11" s="52">
        <f t="shared" si="0"/>
        <v>0</v>
      </c>
      <c r="U11" s="52">
        <f t="shared" si="0"/>
        <v>0</v>
      </c>
      <c r="V11" s="52">
        <f t="shared" si="0"/>
        <v>0</v>
      </c>
      <c r="W11" s="44" t="s">
        <v>27</v>
      </c>
      <c r="X11" s="26"/>
    </row>
    <row r="12" spans="1:24" ht="82.5" customHeight="1">
      <c r="A12" s="44">
        <v>8</v>
      </c>
      <c r="B12" s="45" t="s">
        <v>460</v>
      </c>
      <c r="C12" s="51" t="s">
        <v>461</v>
      </c>
      <c r="D12" s="47" t="s">
        <v>487</v>
      </c>
      <c r="E12" s="51" t="s">
        <v>488</v>
      </c>
      <c r="F12" s="45">
        <v>25</v>
      </c>
      <c r="G12" s="51" t="s">
        <v>496</v>
      </c>
      <c r="H12" s="17" t="s">
        <v>497</v>
      </c>
      <c r="I12" s="17"/>
      <c r="J12" s="45" t="s">
        <v>24</v>
      </c>
      <c r="K12" s="51" t="s">
        <v>25</v>
      </c>
      <c r="L12" s="49" t="s">
        <v>498</v>
      </c>
      <c r="M12" s="25"/>
      <c r="N12" s="25"/>
      <c r="O12" s="25"/>
      <c r="P12" s="25"/>
      <c r="Q12" s="25"/>
      <c r="R12" s="52">
        <f t="shared" si="0"/>
        <v>0</v>
      </c>
      <c r="S12" s="52">
        <f t="shared" si="0"/>
        <v>0</v>
      </c>
      <c r="T12" s="52">
        <f t="shared" si="0"/>
        <v>0</v>
      </c>
      <c r="U12" s="52">
        <f t="shared" si="0"/>
        <v>0</v>
      </c>
      <c r="V12" s="52">
        <f t="shared" si="0"/>
        <v>0</v>
      </c>
      <c r="W12" s="45" t="s">
        <v>27</v>
      </c>
      <c r="X12" s="26"/>
    </row>
  </sheetData>
  <sheetProtection algorithmName="SHA-512" hashValue="whD1TR6TPVqumDd+BIUK4iixiLgRDm/6UcfsuQ+7miCRb02NG0JUSaM+1hzfunIBpDCBhE1DPpdLjWnkh43o7Q==" saltValue="FlnIQd0x//eIMlITFJ/POA==" spinCount="100000" sheet="1" formatCells="0" formatColumns="0" formatRows="0"/>
  <mergeCells count="52">
    <mergeCell ref="U6:U7"/>
    <mergeCell ref="J1:J2"/>
    <mergeCell ref="F6:F7"/>
    <mergeCell ref="A1:A2"/>
    <mergeCell ref="A6:A7"/>
    <mergeCell ref="V6:V7"/>
    <mergeCell ref="M1:Q1"/>
    <mergeCell ref="X6:X7"/>
    <mergeCell ref="W1:W2"/>
    <mergeCell ref="A3:A4"/>
    <mergeCell ref="G3:G4"/>
    <mergeCell ref="I3:I4"/>
    <mergeCell ref="G6:G7"/>
    <mergeCell ref="D3:D4"/>
    <mergeCell ref="U3:U4"/>
    <mergeCell ref="B1:B2"/>
    <mergeCell ref="W3:W4"/>
    <mergeCell ref="E6:E7"/>
    <mergeCell ref="W6:W7"/>
    <mergeCell ref="L1:L2"/>
    <mergeCell ref="X3:X4"/>
    <mergeCell ref="C1:C2"/>
    <mergeCell ref="E1:E2"/>
    <mergeCell ref="K1:K2"/>
    <mergeCell ref="R6:R7"/>
    <mergeCell ref="S6:S7"/>
    <mergeCell ref="X1:X2"/>
    <mergeCell ref="D6:D7"/>
    <mergeCell ref="H3:H4"/>
    <mergeCell ref="R3:R4"/>
    <mergeCell ref="T3:T4"/>
    <mergeCell ref="J3:J4"/>
    <mergeCell ref="G1:G2"/>
    <mergeCell ref="T6:T7"/>
    <mergeCell ref="I1:I2"/>
    <mergeCell ref="K3:K4"/>
    <mergeCell ref="R1:V1"/>
    <mergeCell ref="B3:B4"/>
    <mergeCell ref="H6:H7"/>
    <mergeCell ref="F3:F4"/>
    <mergeCell ref="J6:J7"/>
    <mergeCell ref="B6:B7"/>
    <mergeCell ref="C3:C4"/>
    <mergeCell ref="E3:E4"/>
    <mergeCell ref="V3:V4"/>
    <mergeCell ref="I6:I7"/>
    <mergeCell ref="K6:K7"/>
    <mergeCell ref="S3:S4"/>
    <mergeCell ref="D1:D2"/>
    <mergeCell ref="F1:F2"/>
    <mergeCell ref="C6:C7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0"/>
  <sheetViews>
    <sheetView tabSelected="1" topLeftCell="G1" zoomScale="85" zoomScaleNormal="85" workbookViewId="0">
      <selection activeCell="G3" sqref="G3"/>
    </sheetView>
  </sheetViews>
  <sheetFormatPr baseColWidth="10" defaultRowHeight="14.4"/>
  <cols>
    <col min="1" max="1" width="11.44140625" style="14" customWidth="1"/>
    <col min="3" max="3" width="28.44140625" style="23" customWidth="1"/>
    <col min="5" max="5" width="28.44140625" style="23" customWidth="1"/>
    <col min="7" max="8" width="28.44140625" style="23" customWidth="1"/>
    <col min="9" max="9" width="45.6640625" customWidth="1"/>
    <col min="11" max="11" width="28.44140625" style="23" customWidth="1"/>
    <col min="12" max="12" width="28.44140625" customWidth="1"/>
    <col min="13" max="23" width="11.44140625" style="1" customWidth="1"/>
    <col min="24" max="24" width="29" customWidth="1"/>
  </cols>
  <sheetData>
    <row r="1" spans="1:24" ht="18.75" customHeight="1">
      <c r="A1" s="153" t="s">
        <v>0</v>
      </c>
      <c r="B1" s="153" t="s">
        <v>1</v>
      </c>
      <c r="C1" s="146" t="s">
        <v>2</v>
      </c>
      <c r="D1" s="153" t="s">
        <v>3</v>
      </c>
      <c r="E1" s="146" t="s">
        <v>4</v>
      </c>
      <c r="F1" s="153" t="s">
        <v>5</v>
      </c>
      <c r="G1" s="146" t="s">
        <v>6</v>
      </c>
      <c r="H1" s="159" t="s">
        <v>7</v>
      </c>
      <c r="I1" s="158" t="s">
        <v>8</v>
      </c>
      <c r="J1" s="153" t="s">
        <v>9</v>
      </c>
      <c r="K1" s="147" t="s">
        <v>10</v>
      </c>
      <c r="L1" s="156" t="s">
        <v>11</v>
      </c>
      <c r="M1" s="148" t="s">
        <v>12</v>
      </c>
      <c r="N1" s="149"/>
      <c r="O1" s="149"/>
      <c r="P1" s="149"/>
      <c r="Q1" s="150"/>
      <c r="R1" s="136" t="s">
        <v>13</v>
      </c>
      <c r="S1" s="137"/>
      <c r="T1" s="137"/>
      <c r="U1" s="137"/>
      <c r="V1" s="138"/>
      <c r="W1" s="151" t="s">
        <v>14</v>
      </c>
      <c r="X1" s="157" t="s">
        <v>15</v>
      </c>
    </row>
    <row r="2" spans="1:24" ht="24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2"/>
    </row>
    <row r="3" spans="1:24" ht="142.5" customHeight="1">
      <c r="A3" s="45">
        <v>1</v>
      </c>
      <c r="B3" s="45" t="s">
        <v>17</v>
      </c>
      <c r="C3" s="51" t="s">
        <v>18</v>
      </c>
      <c r="D3" s="47" t="s">
        <v>19</v>
      </c>
      <c r="E3" s="51" t="s">
        <v>20</v>
      </c>
      <c r="F3" s="45">
        <v>8</v>
      </c>
      <c r="G3" s="51" t="s">
        <v>21</v>
      </c>
      <c r="H3" s="19" t="s">
        <v>22</v>
      </c>
      <c r="I3" s="17" t="s">
        <v>23</v>
      </c>
      <c r="J3" s="44" t="s">
        <v>24</v>
      </c>
      <c r="K3" s="51" t="s">
        <v>25</v>
      </c>
      <c r="L3" s="47" t="s">
        <v>26</v>
      </c>
      <c r="M3" s="25">
        <v>5</v>
      </c>
      <c r="N3" s="25">
        <v>5</v>
      </c>
      <c r="O3" s="25">
        <v>5</v>
      </c>
      <c r="P3" s="25">
        <v>5</v>
      </c>
      <c r="Q3" s="25">
        <v>5</v>
      </c>
      <c r="R3" s="52">
        <f>IF(M3="","",M3)</f>
        <v>5</v>
      </c>
      <c r="S3" s="52">
        <f>IF(N3="","",N3)</f>
        <v>5</v>
      </c>
      <c r="T3" s="52">
        <f>IF(O3="","",O3)</f>
        <v>5</v>
      </c>
      <c r="U3" s="52">
        <f>IF(P3="","",P3)</f>
        <v>5</v>
      </c>
      <c r="V3" s="52">
        <f>IF(Q3="","",Q3)</f>
        <v>5</v>
      </c>
      <c r="W3" s="128" t="s">
        <v>27</v>
      </c>
      <c r="X3" s="26" t="s">
        <v>28</v>
      </c>
    </row>
    <row r="4" spans="1:24" ht="150" customHeight="1">
      <c r="A4" s="44">
        <v>2</v>
      </c>
      <c r="B4" s="45" t="s">
        <v>17</v>
      </c>
      <c r="C4" s="51" t="s">
        <v>18</v>
      </c>
      <c r="D4" s="47" t="s">
        <v>19</v>
      </c>
      <c r="E4" s="51" t="s">
        <v>20</v>
      </c>
      <c r="F4" s="44">
        <v>13</v>
      </c>
      <c r="G4" s="51" t="s">
        <v>29</v>
      </c>
      <c r="H4" s="118" t="s">
        <v>30</v>
      </c>
      <c r="I4" s="17"/>
      <c r="J4" s="44" t="s">
        <v>24</v>
      </c>
      <c r="K4" s="51" t="s">
        <v>25</v>
      </c>
      <c r="L4" s="47" t="s">
        <v>31</v>
      </c>
      <c r="M4" s="25"/>
      <c r="N4" s="25"/>
      <c r="O4" s="25"/>
      <c r="P4" s="25"/>
      <c r="Q4" s="25"/>
      <c r="R4" s="52">
        <f t="shared" ref="R4:V6" si="0">M4</f>
        <v>0</v>
      </c>
      <c r="S4" s="52">
        <f t="shared" si="0"/>
        <v>0</v>
      </c>
      <c r="T4" s="52">
        <f t="shared" si="0"/>
        <v>0</v>
      </c>
      <c r="U4" s="52">
        <f t="shared" si="0"/>
        <v>0</v>
      </c>
      <c r="V4" s="52">
        <f t="shared" si="0"/>
        <v>0</v>
      </c>
      <c r="W4" s="44" t="s">
        <v>32</v>
      </c>
      <c r="X4" s="26"/>
    </row>
    <row r="5" spans="1:24" ht="95.25" customHeight="1">
      <c r="A5" s="44">
        <v>3</v>
      </c>
      <c r="B5" s="45" t="s">
        <v>17</v>
      </c>
      <c r="C5" s="51" t="s">
        <v>18</v>
      </c>
      <c r="D5" s="47" t="s">
        <v>33</v>
      </c>
      <c r="E5" s="51" t="s">
        <v>34</v>
      </c>
      <c r="F5" s="45">
        <v>14</v>
      </c>
      <c r="G5" s="51" t="s">
        <v>35</v>
      </c>
      <c r="H5" s="19" t="s">
        <v>36</v>
      </c>
      <c r="I5" s="20"/>
      <c r="J5" s="45" t="s">
        <v>24</v>
      </c>
      <c r="K5" s="51" t="s">
        <v>25</v>
      </c>
      <c r="L5" s="47" t="s">
        <v>37</v>
      </c>
      <c r="M5" s="25"/>
      <c r="N5" s="25"/>
      <c r="O5" s="25"/>
      <c r="P5" s="25"/>
      <c r="Q5" s="25"/>
      <c r="R5" s="52">
        <f t="shared" si="0"/>
        <v>0</v>
      </c>
      <c r="S5" s="52">
        <f t="shared" si="0"/>
        <v>0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32</v>
      </c>
      <c r="X5" s="26"/>
    </row>
    <row r="6" spans="1:24" ht="150" customHeight="1">
      <c r="A6" s="44">
        <v>4</v>
      </c>
      <c r="B6" s="45" t="s">
        <v>17</v>
      </c>
      <c r="C6" s="51" t="s">
        <v>18</v>
      </c>
      <c r="D6" s="47" t="s">
        <v>33</v>
      </c>
      <c r="E6" s="51" t="s">
        <v>34</v>
      </c>
      <c r="F6" s="44">
        <v>15</v>
      </c>
      <c r="G6" s="51" t="s">
        <v>38</v>
      </c>
      <c r="H6" s="118" t="s">
        <v>39</v>
      </c>
      <c r="I6" s="17"/>
      <c r="J6" s="44" t="s">
        <v>24</v>
      </c>
      <c r="K6" s="51" t="s">
        <v>25</v>
      </c>
      <c r="L6" s="47" t="s">
        <v>40</v>
      </c>
      <c r="M6" s="25"/>
      <c r="N6" s="25"/>
      <c r="O6" s="25"/>
      <c r="P6" s="25"/>
      <c r="Q6" s="25"/>
      <c r="R6" s="52">
        <f t="shared" si="0"/>
        <v>0</v>
      </c>
      <c r="S6" s="52">
        <f t="shared" si="0"/>
        <v>0</v>
      </c>
      <c r="T6" s="52">
        <f t="shared" si="0"/>
        <v>0</v>
      </c>
      <c r="U6" s="52">
        <f t="shared" si="0"/>
        <v>0</v>
      </c>
      <c r="V6" s="52">
        <f t="shared" si="0"/>
        <v>0</v>
      </c>
      <c r="W6" s="44" t="s">
        <v>32</v>
      </c>
      <c r="X6" s="26"/>
    </row>
    <row r="7" spans="1:24" ht="117.75" customHeight="1">
      <c r="A7" s="143">
        <v>5</v>
      </c>
      <c r="B7" s="143" t="s">
        <v>17</v>
      </c>
      <c r="C7" s="144" t="s">
        <v>18</v>
      </c>
      <c r="D7" s="152" t="s">
        <v>41</v>
      </c>
      <c r="E7" s="144" t="s">
        <v>42</v>
      </c>
      <c r="F7" s="143">
        <v>18</v>
      </c>
      <c r="G7" s="144" t="s">
        <v>43</v>
      </c>
      <c r="H7" s="154" t="s">
        <v>44</v>
      </c>
      <c r="I7" s="145"/>
      <c r="J7" s="155" t="s">
        <v>45</v>
      </c>
      <c r="K7" s="144" t="s">
        <v>46</v>
      </c>
      <c r="L7" s="47" t="s">
        <v>47</v>
      </c>
      <c r="M7" s="25"/>
      <c r="N7" s="25"/>
      <c r="O7" s="25"/>
      <c r="P7" s="25"/>
      <c r="Q7" s="25"/>
      <c r="R7" s="139" t="str">
        <f>IF(M8,M7/M8*100,"0")</f>
        <v>0</v>
      </c>
      <c r="S7" s="139" t="str">
        <f>IF(N8,N7/N8*100,"0")</f>
        <v>0</v>
      </c>
      <c r="T7" s="139" t="str">
        <f>IF(O8,O7/O8*100,"0")</f>
        <v>0</v>
      </c>
      <c r="U7" s="139" t="str">
        <f>IF(P8,P7/P8*100,"0")</f>
        <v>0</v>
      </c>
      <c r="V7" s="139" t="str">
        <f>IF(Q8,Q7/Q8*100,"0")</f>
        <v>0</v>
      </c>
      <c r="W7" s="143" t="s">
        <v>32</v>
      </c>
      <c r="X7" s="141"/>
    </row>
    <row r="8" spans="1:24" ht="65.25" customHeight="1">
      <c r="A8" s="140"/>
      <c r="B8" s="140"/>
      <c r="C8" s="140"/>
      <c r="D8" s="140"/>
      <c r="E8" s="140"/>
      <c r="F8" s="140"/>
      <c r="G8" s="140"/>
      <c r="H8" s="142"/>
      <c r="I8" s="142"/>
      <c r="J8" s="140"/>
      <c r="K8" s="140"/>
      <c r="L8" s="47" t="s">
        <v>48</v>
      </c>
      <c r="M8" s="25"/>
      <c r="N8" s="25"/>
      <c r="O8" s="25"/>
      <c r="P8" s="25"/>
      <c r="Q8" s="25"/>
      <c r="R8" s="140"/>
      <c r="S8" s="140"/>
      <c r="T8" s="140"/>
      <c r="U8" s="140"/>
      <c r="V8" s="140"/>
      <c r="W8" s="140"/>
      <c r="X8" s="142"/>
    </row>
    <row r="9" spans="1:24" ht="150" customHeight="1">
      <c r="A9" s="44">
        <v>6</v>
      </c>
      <c r="B9" s="45" t="s">
        <v>17</v>
      </c>
      <c r="C9" s="51" t="s">
        <v>18</v>
      </c>
      <c r="D9" s="47" t="s">
        <v>49</v>
      </c>
      <c r="E9" s="51" t="s">
        <v>50</v>
      </c>
      <c r="F9" s="44">
        <v>3</v>
      </c>
      <c r="G9" s="51" t="s">
        <v>51</v>
      </c>
      <c r="H9" s="119" t="s">
        <v>52</v>
      </c>
      <c r="I9" s="20"/>
      <c r="J9" s="44" t="s">
        <v>24</v>
      </c>
      <c r="K9" s="51" t="s">
        <v>25</v>
      </c>
      <c r="L9" s="46" t="s">
        <v>53</v>
      </c>
      <c r="M9" s="25"/>
      <c r="N9" s="25"/>
      <c r="O9" s="25"/>
      <c r="P9" s="25"/>
      <c r="Q9" s="25"/>
      <c r="R9" s="52">
        <f t="shared" ref="R9:V10" si="1">M9</f>
        <v>0</v>
      </c>
      <c r="S9" s="52">
        <f t="shared" si="1"/>
        <v>0</v>
      </c>
      <c r="T9" s="52">
        <f t="shared" si="1"/>
        <v>0</v>
      </c>
      <c r="U9" s="52">
        <f t="shared" si="1"/>
        <v>0</v>
      </c>
      <c r="V9" s="52">
        <f t="shared" si="1"/>
        <v>0</v>
      </c>
      <c r="W9" s="44" t="s">
        <v>32</v>
      </c>
      <c r="X9" s="26"/>
    </row>
    <row r="10" spans="1:24" ht="150" customHeight="1">
      <c r="A10" s="44">
        <v>7</v>
      </c>
      <c r="B10" s="45" t="s">
        <v>17</v>
      </c>
      <c r="C10" s="51" t="s">
        <v>18</v>
      </c>
      <c r="D10" s="47" t="s">
        <v>49</v>
      </c>
      <c r="E10" s="51" t="s">
        <v>50</v>
      </c>
      <c r="F10" s="44">
        <v>5</v>
      </c>
      <c r="G10" s="51" t="s">
        <v>54</v>
      </c>
      <c r="H10" s="118" t="s">
        <v>55</v>
      </c>
      <c r="I10" s="17"/>
      <c r="J10" s="44" t="s">
        <v>24</v>
      </c>
      <c r="K10" s="51" t="s">
        <v>25</v>
      </c>
      <c r="L10" s="47" t="s">
        <v>56</v>
      </c>
      <c r="M10" s="25"/>
      <c r="N10" s="25"/>
      <c r="O10" s="25"/>
      <c r="P10" s="25"/>
      <c r="Q10" s="25"/>
      <c r="R10" s="52">
        <f t="shared" si="1"/>
        <v>0</v>
      </c>
      <c r="S10" s="52">
        <f t="shared" si="1"/>
        <v>0</v>
      </c>
      <c r="T10" s="52">
        <f t="shared" si="1"/>
        <v>0</v>
      </c>
      <c r="U10" s="52">
        <f t="shared" si="1"/>
        <v>0</v>
      </c>
      <c r="V10" s="52">
        <f t="shared" si="1"/>
        <v>0</v>
      </c>
      <c r="W10" s="44" t="s">
        <v>32</v>
      </c>
      <c r="X10" s="26"/>
    </row>
  </sheetData>
  <sheetProtection algorithmName="SHA-512" hashValue="dBqoq/Mz48HYIhJZKd9MfsPKRJtzzFr4qETawanCoYfkVI1+btOdC0NLuBgwnr9gqS6OjAmJxfAt8bsTSQftJQ==" saltValue="eskxjDV5J4yog01K3hF9TQ==" spinCount="100000" sheet="1" objects="1" scenarios="1" formatCells="0" formatColumns="0" formatRows="0"/>
  <mergeCells count="34">
    <mergeCell ref="A1:A2"/>
    <mergeCell ref="B7:B8"/>
    <mergeCell ref="D1:D2"/>
    <mergeCell ref="F1:F2"/>
    <mergeCell ref="F7:F8"/>
    <mergeCell ref="H1:H2"/>
    <mergeCell ref="C7:C8"/>
    <mergeCell ref="V7:V8"/>
    <mergeCell ref="E7:E8"/>
    <mergeCell ref="K7:K8"/>
    <mergeCell ref="G1:G2"/>
    <mergeCell ref="I1:I2"/>
    <mergeCell ref="J1:J2"/>
    <mergeCell ref="H7:H8"/>
    <mergeCell ref="J7:J8"/>
    <mergeCell ref="L1:L2"/>
    <mergeCell ref="X1:X2"/>
    <mergeCell ref="T7:T8"/>
    <mergeCell ref="R1:V1"/>
    <mergeCell ref="R7:R8"/>
    <mergeCell ref="X7:X8"/>
    <mergeCell ref="A7:A8"/>
    <mergeCell ref="G7:G8"/>
    <mergeCell ref="I7:I8"/>
    <mergeCell ref="E1:E2"/>
    <mergeCell ref="K1:K2"/>
    <mergeCell ref="C1:C2"/>
    <mergeCell ref="S7:S8"/>
    <mergeCell ref="M1:Q1"/>
    <mergeCell ref="U7:U8"/>
    <mergeCell ref="W1:W2"/>
    <mergeCell ref="W7:W8"/>
    <mergeCell ref="D7:D8"/>
    <mergeCell ref="B1:B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13"/>
  <sheetViews>
    <sheetView topLeftCell="E1" zoomScale="85" zoomScaleNormal="85" workbookViewId="0">
      <selection activeCell="M2" sqref="M2"/>
    </sheetView>
  </sheetViews>
  <sheetFormatPr baseColWidth="10" defaultRowHeight="14.4"/>
  <cols>
    <col min="1" max="1" width="11.5546875" style="14" customWidth="1"/>
    <col min="2" max="2" width="16.6640625" bestFit="1" customWidth="1"/>
    <col min="3" max="3" width="28.44140625" customWidth="1"/>
    <col min="5" max="5" width="28.44140625" style="22" customWidth="1"/>
    <col min="6" max="6" width="11.44140625" style="1" customWidth="1"/>
    <col min="7" max="8" width="28.44140625" customWidth="1"/>
    <col min="9" max="9" width="45.6640625" customWidth="1"/>
    <col min="11" max="11" width="28.44140625" customWidth="1"/>
    <col min="12" max="12" width="28.44140625" style="23" customWidth="1"/>
    <col min="13" max="22" width="11.44140625" style="1" customWidth="1"/>
    <col min="24" max="24" width="29" customWidth="1"/>
  </cols>
  <sheetData>
    <row r="1" spans="1:24" s="1" customFormat="1" ht="18.75" customHeight="1">
      <c r="A1" s="153" t="s">
        <v>0</v>
      </c>
      <c r="B1" s="153" t="s">
        <v>1</v>
      </c>
      <c r="C1" s="153" t="s">
        <v>2</v>
      </c>
      <c r="D1" s="153" t="s">
        <v>3</v>
      </c>
      <c r="E1" s="153" t="s">
        <v>4</v>
      </c>
      <c r="F1" s="153" t="s">
        <v>5</v>
      </c>
      <c r="G1" s="153" t="s">
        <v>6</v>
      </c>
      <c r="H1" s="191" t="s">
        <v>7</v>
      </c>
      <c r="I1" s="158" t="s">
        <v>8</v>
      </c>
      <c r="J1" s="153" t="s">
        <v>9</v>
      </c>
      <c r="K1" s="151" t="s">
        <v>10</v>
      </c>
      <c r="L1" s="147" t="s">
        <v>11</v>
      </c>
      <c r="M1" s="148" t="s">
        <v>12</v>
      </c>
      <c r="N1" s="149"/>
      <c r="O1" s="149"/>
      <c r="P1" s="149"/>
      <c r="Q1" s="150"/>
      <c r="R1" s="136" t="s">
        <v>13</v>
      </c>
      <c r="S1" s="137"/>
      <c r="T1" s="137"/>
      <c r="U1" s="137"/>
      <c r="V1" s="138"/>
      <c r="W1" s="151" t="s">
        <v>14</v>
      </c>
      <c r="X1" s="157" t="s">
        <v>15</v>
      </c>
    </row>
    <row r="2" spans="1:24" s="1" customFormat="1" ht="24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2"/>
    </row>
    <row r="3" spans="1:24" ht="225" customHeight="1">
      <c r="A3" s="44">
        <v>1</v>
      </c>
      <c r="B3" s="45" t="s">
        <v>499</v>
      </c>
      <c r="C3" s="46" t="s">
        <v>500</v>
      </c>
      <c r="D3" s="47" t="s">
        <v>501</v>
      </c>
      <c r="E3" s="48" t="s">
        <v>502</v>
      </c>
      <c r="F3" s="44">
        <v>2</v>
      </c>
      <c r="G3" s="47" t="s">
        <v>503</v>
      </c>
      <c r="H3" s="120" t="s">
        <v>504</v>
      </c>
      <c r="I3" s="17"/>
      <c r="J3" s="44" t="s">
        <v>24</v>
      </c>
      <c r="K3" s="47" t="s">
        <v>25</v>
      </c>
      <c r="L3" s="51" t="s">
        <v>505</v>
      </c>
      <c r="M3" s="25"/>
      <c r="N3" s="25"/>
      <c r="O3" s="25"/>
      <c r="P3" s="25"/>
      <c r="Q3" s="25"/>
      <c r="R3" s="52">
        <f t="shared" ref="R3:V8" si="0">M3</f>
        <v>0</v>
      </c>
      <c r="S3" s="52">
        <f t="shared" si="0"/>
        <v>0</v>
      </c>
      <c r="T3" s="52">
        <f t="shared" si="0"/>
        <v>0</v>
      </c>
      <c r="U3" s="52">
        <f t="shared" si="0"/>
        <v>0</v>
      </c>
      <c r="V3" s="52">
        <f t="shared" si="0"/>
        <v>0</v>
      </c>
      <c r="W3" s="44" t="s">
        <v>27</v>
      </c>
      <c r="X3" s="26"/>
    </row>
    <row r="4" spans="1:24" ht="225" customHeight="1">
      <c r="A4" s="44">
        <v>2</v>
      </c>
      <c r="B4" s="45" t="s">
        <v>499</v>
      </c>
      <c r="C4" s="46" t="s">
        <v>500</v>
      </c>
      <c r="D4" s="47" t="s">
        <v>501</v>
      </c>
      <c r="E4" s="48" t="s">
        <v>502</v>
      </c>
      <c r="F4" s="44">
        <v>6</v>
      </c>
      <c r="G4" s="47" t="s">
        <v>506</v>
      </c>
      <c r="H4" s="120" t="s">
        <v>507</v>
      </c>
      <c r="I4" s="17"/>
      <c r="J4" s="44" t="s">
        <v>24</v>
      </c>
      <c r="K4" s="47" t="s">
        <v>25</v>
      </c>
      <c r="L4" s="51" t="s">
        <v>508</v>
      </c>
      <c r="M4" s="25"/>
      <c r="N4" s="25"/>
      <c r="O4" s="25"/>
      <c r="P4" s="25"/>
      <c r="Q4" s="25"/>
      <c r="R4" s="52">
        <f t="shared" si="0"/>
        <v>0</v>
      </c>
      <c r="S4" s="52">
        <f t="shared" si="0"/>
        <v>0</v>
      </c>
      <c r="T4" s="52">
        <f t="shared" si="0"/>
        <v>0</v>
      </c>
      <c r="U4" s="52">
        <f t="shared" si="0"/>
        <v>0</v>
      </c>
      <c r="V4" s="52">
        <f t="shared" si="0"/>
        <v>0</v>
      </c>
      <c r="W4" s="44" t="s">
        <v>27</v>
      </c>
      <c r="X4" s="26"/>
    </row>
    <row r="5" spans="1:24" ht="225" customHeight="1">
      <c r="A5" s="44">
        <v>3</v>
      </c>
      <c r="B5" s="45" t="s">
        <v>499</v>
      </c>
      <c r="C5" s="46" t="s">
        <v>500</v>
      </c>
      <c r="D5" s="47" t="s">
        <v>509</v>
      </c>
      <c r="E5" s="48" t="s">
        <v>510</v>
      </c>
      <c r="F5" s="44">
        <v>12</v>
      </c>
      <c r="G5" s="47" t="s">
        <v>511</v>
      </c>
      <c r="H5" s="120" t="s">
        <v>512</v>
      </c>
      <c r="I5" s="17"/>
      <c r="J5" s="44" t="s">
        <v>24</v>
      </c>
      <c r="K5" s="47" t="s">
        <v>25</v>
      </c>
      <c r="L5" s="51" t="s">
        <v>513</v>
      </c>
      <c r="M5" s="25"/>
      <c r="N5" s="25"/>
      <c r="O5" s="25"/>
      <c r="P5" s="25"/>
      <c r="Q5" s="25"/>
      <c r="R5" s="52">
        <f t="shared" si="0"/>
        <v>0</v>
      </c>
      <c r="S5" s="52">
        <f t="shared" si="0"/>
        <v>0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27</v>
      </c>
      <c r="X5" s="26"/>
    </row>
    <row r="6" spans="1:24" ht="225" customHeight="1">
      <c r="A6" s="44">
        <v>4</v>
      </c>
      <c r="B6" s="45" t="s">
        <v>499</v>
      </c>
      <c r="C6" s="46" t="s">
        <v>500</v>
      </c>
      <c r="D6" s="47" t="s">
        <v>509</v>
      </c>
      <c r="E6" s="48" t="s">
        <v>510</v>
      </c>
      <c r="F6" s="44">
        <v>14</v>
      </c>
      <c r="G6" s="47" t="s">
        <v>514</v>
      </c>
      <c r="H6" s="121" t="s">
        <v>515</v>
      </c>
      <c r="I6" s="20"/>
      <c r="J6" s="44" t="s">
        <v>24</v>
      </c>
      <c r="K6" s="47" t="s">
        <v>25</v>
      </c>
      <c r="L6" s="51" t="s">
        <v>516</v>
      </c>
      <c r="M6" s="25"/>
      <c r="N6" s="25"/>
      <c r="O6" s="25"/>
      <c r="P6" s="25"/>
      <c r="Q6" s="25"/>
      <c r="R6" s="52">
        <f t="shared" si="0"/>
        <v>0</v>
      </c>
      <c r="S6" s="52">
        <f t="shared" si="0"/>
        <v>0</v>
      </c>
      <c r="T6" s="52">
        <f t="shared" si="0"/>
        <v>0</v>
      </c>
      <c r="U6" s="52">
        <f t="shared" si="0"/>
        <v>0</v>
      </c>
      <c r="V6" s="52">
        <f t="shared" si="0"/>
        <v>0</v>
      </c>
      <c r="W6" s="44" t="s">
        <v>27</v>
      </c>
      <c r="X6" s="26"/>
    </row>
    <row r="7" spans="1:24" ht="225" customHeight="1">
      <c r="A7" s="44">
        <v>5</v>
      </c>
      <c r="B7" s="45" t="s">
        <v>499</v>
      </c>
      <c r="C7" s="46" t="s">
        <v>500</v>
      </c>
      <c r="D7" s="47" t="s">
        <v>509</v>
      </c>
      <c r="E7" s="48" t="s">
        <v>510</v>
      </c>
      <c r="F7" s="44">
        <v>15</v>
      </c>
      <c r="G7" s="47" t="s">
        <v>517</v>
      </c>
      <c r="H7" s="120" t="s">
        <v>518</v>
      </c>
      <c r="I7" s="17"/>
      <c r="J7" s="44" t="s">
        <v>24</v>
      </c>
      <c r="K7" s="47" t="s">
        <v>25</v>
      </c>
      <c r="L7" s="51" t="s">
        <v>519</v>
      </c>
      <c r="M7" s="25"/>
      <c r="N7" s="25"/>
      <c r="O7" s="25"/>
      <c r="P7" s="25"/>
      <c r="Q7" s="25"/>
      <c r="R7" s="52">
        <f t="shared" si="0"/>
        <v>0</v>
      </c>
      <c r="S7" s="52">
        <f t="shared" si="0"/>
        <v>0</v>
      </c>
      <c r="T7" s="52">
        <f t="shared" si="0"/>
        <v>0</v>
      </c>
      <c r="U7" s="52">
        <f t="shared" si="0"/>
        <v>0</v>
      </c>
      <c r="V7" s="52">
        <f t="shared" si="0"/>
        <v>0</v>
      </c>
      <c r="W7" s="44" t="s">
        <v>27</v>
      </c>
      <c r="X7" s="26"/>
    </row>
    <row r="8" spans="1:24" ht="225" customHeight="1">
      <c r="A8" s="44">
        <v>6</v>
      </c>
      <c r="B8" s="45" t="s">
        <v>499</v>
      </c>
      <c r="C8" s="46" t="s">
        <v>500</v>
      </c>
      <c r="D8" s="47" t="s">
        <v>509</v>
      </c>
      <c r="E8" s="48" t="s">
        <v>510</v>
      </c>
      <c r="F8" s="44">
        <v>16</v>
      </c>
      <c r="G8" s="47" t="s">
        <v>520</v>
      </c>
      <c r="H8" s="120" t="s">
        <v>521</v>
      </c>
      <c r="I8" s="17"/>
      <c r="J8" s="44" t="s">
        <v>24</v>
      </c>
      <c r="K8" s="47" t="s">
        <v>25</v>
      </c>
      <c r="L8" s="51" t="s">
        <v>522</v>
      </c>
      <c r="M8" s="25"/>
      <c r="N8" s="25"/>
      <c r="O8" s="25"/>
      <c r="P8" s="25"/>
      <c r="Q8" s="25"/>
      <c r="R8" s="52">
        <f t="shared" si="0"/>
        <v>0</v>
      </c>
      <c r="S8" s="52">
        <f t="shared" si="0"/>
        <v>0</v>
      </c>
      <c r="T8" s="52">
        <f t="shared" si="0"/>
        <v>0</v>
      </c>
      <c r="U8" s="52">
        <f t="shared" si="0"/>
        <v>0</v>
      </c>
      <c r="V8" s="52">
        <f t="shared" si="0"/>
        <v>0</v>
      </c>
      <c r="W8" s="44" t="s">
        <v>27</v>
      </c>
      <c r="X8" s="26"/>
    </row>
    <row r="9" spans="1:24" ht="83.25" customHeight="1">
      <c r="A9" s="143">
        <v>7</v>
      </c>
      <c r="B9" s="143" t="s">
        <v>499</v>
      </c>
      <c r="C9" s="189" t="s">
        <v>500</v>
      </c>
      <c r="D9" s="152" t="s">
        <v>523</v>
      </c>
      <c r="E9" s="162" t="s">
        <v>524</v>
      </c>
      <c r="F9" s="143">
        <v>20</v>
      </c>
      <c r="G9" s="152" t="s">
        <v>525</v>
      </c>
      <c r="H9" s="145" t="s">
        <v>526</v>
      </c>
      <c r="I9" s="145"/>
      <c r="J9" s="155" t="s">
        <v>45</v>
      </c>
      <c r="K9" s="152" t="s">
        <v>527</v>
      </c>
      <c r="L9" s="51" t="s">
        <v>528</v>
      </c>
      <c r="M9" s="25"/>
      <c r="N9" s="25"/>
      <c r="O9" s="25"/>
      <c r="P9" s="25"/>
      <c r="Q9" s="25"/>
      <c r="R9" s="139" t="str">
        <f>IF(M10,((M9/M10)-1)*100,"0")</f>
        <v>0</v>
      </c>
      <c r="S9" s="139" t="str">
        <f>IF(N10,((N9/N10)-1)*100,"0")</f>
        <v>0</v>
      </c>
      <c r="T9" s="139" t="str">
        <f>IF(O10,((O9/O10)-1)*100,"0")</f>
        <v>0</v>
      </c>
      <c r="U9" s="139" t="str">
        <f>IF(P10,((P9/P10)-1)*100,"0")</f>
        <v>0</v>
      </c>
      <c r="V9" s="139" t="str">
        <f>IF(Q10,((Q9/Q10)-1)*100,"0")</f>
        <v>0</v>
      </c>
      <c r="W9" s="143" t="s">
        <v>27</v>
      </c>
      <c r="X9" s="141"/>
    </row>
    <row r="10" spans="1:24" ht="83.25" customHeight="1">
      <c r="A10" s="140"/>
      <c r="B10" s="140"/>
      <c r="C10" s="140"/>
      <c r="D10" s="140"/>
      <c r="E10" s="140"/>
      <c r="F10" s="140"/>
      <c r="G10" s="140"/>
      <c r="H10" s="142"/>
      <c r="I10" s="142"/>
      <c r="J10" s="140"/>
      <c r="K10" s="140"/>
      <c r="L10" s="51" t="s">
        <v>529</v>
      </c>
      <c r="M10" s="25"/>
      <c r="N10" s="25"/>
      <c r="O10" s="25"/>
      <c r="P10" s="25"/>
      <c r="Q10" s="25"/>
      <c r="R10" s="140"/>
      <c r="S10" s="140"/>
      <c r="T10" s="140"/>
      <c r="U10" s="140"/>
      <c r="V10" s="140"/>
      <c r="W10" s="140"/>
      <c r="X10" s="142"/>
    </row>
    <row r="11" spans="1:24" ht="225" customHeight="1">
      <c r="A11" s="44">
        <v>8</v>
      </c>
      <c r="B11" s="45" t="s">
        <v>499</v>
      </c>
      <c r="C11" s="46" t="s">
        <v>500</v>
      </c>
      <c r="D11" s="47" t="s">
        <v>523</v>
      </c>
      <c r="E11" s="48" t="s">
        <v>530</v>
      </c>
      <c r="F11" s="44">
        <v>25</v>
      </c>
      <c r="G11" s="47" t="s">
        <v>531</v>
      </c>
      <c r="H11" s="122" t="s">
        <v>532</v>
      </c>
      <c r="I11" s="17"/>
      <c r="J11" s="44" t="s">
        <v>24</v>
      </c>
      <c r="K11" s="47" t="s">
        <v>25</v>
      </c>
      <c r="L11" s="51" t="s">
        <v>533</v>
      </c>
      <c r="M11" s="25"/>
      <c r="N11" s="25"/>
      <c r="O11" s="25"/>
      <c r="P11" s="25"/>
      <c r="Q11" s="25"/>
      <c r="R11" s="52">
        <f t="shared" ref="R11:V13" si="1">M11</f>
        <v>0</v>
      </c>
      <c r="S11" s="52">
        <f t="shared" si="1"/>
        <v>0</v>
      </c>
      <c r="T11" s="52">
        <f t="shared" si="1"/>
        <v>0</v>
      </c>
      <c r="U11" s="52">
        <f t="shared" si="1"/>
        <v>0</v>
      </c>
      <c r="V11" s="52">
        <f t="shared" si="1"/>
        <v>0</v>
      </c>
      <c r="W11" s="44" t="s">
        <v>27</v>
      </c>
      <c r="X11" s="26"/>
    </row>
    <row r="12" spans="1:24" ht="225" customHeight="1">
      <c r="A12" s="44">
        <v>9</v>
      </c>
      <c r="B12" s="45" t="s">
        <v>499</v>
      </c>
      <c r="C12" s="46" t="s">
        <v>500</v>
      </c>
      <c r="D12" s="47" t="s">
        <v>534</v>
      </c>
      <c r="E12" s="48" t="s">
        <v>535</v>
      </c>
      <c r="F12" s="44">
        <v>37</v>
      </c>
      <c r="G12" s="47" t="s">
        <v>536</v>
      </c>
      <c r="H12" s="120" t="s">
        <v>537</v>
      </c>
      <c r="I12" s="17"/>
      <c r="J12" s="44" t="s">
        <v>24</v>
      </c>
      <c r="K12" s="47" t="s">
        <v>25</v>
      </c>
      <c r="L12" s="51" t="s">
        <v>538</v>
      </c>
      <c r="M12" s="25"/>
      <c r="N12" s="25"/>
      <c r="O12" s="25"/>
      <c r="P12" s="25"/>
      <c r="Q12" s="25"/>
      <c r="R12" s="52">
        <f t="shared" si="1"/>
        <v>0</v>
      </c>
      <c r="S12" s="52">
        <f t="shared" si="1"/>
        <v>0</v>
      </c>
      <c r="T12" s="52">
        <f t="shared" si="1"/>
        <v>0</v>
      </c>
      <c r="U12" s="52">
        <f t="shared" si="1"/>
        <v>0</v>
      </c>
      <c r="V12" s="52">
        <f t="shared" si="1"/>
        <v>0</v>
      </c>
      <c r="W12" s="44" t="s">
        <v>27</v>
      </c>
      <c r="X12" s="26"/>
    </row>
    <row r="13" spans="1:24" ht="97.5" customHeight="1">
      <c r="A13" s="44">
        <v>10</v>
      </c>
      <c r="B13" s="45" t="s">
        <v>499</v>
      </c>
      <c r="C13" s="46" t="s">
        <v>500</v>
      </c>
      <c r="D13" s="47" t="s">
        <v>539</v>
      </c>
      <c r="E13" s="48" t="s">
        <v>540</v>
      </c>
      <c r="F13" s="44">
        <v>42</v>
      </c>
      <c r="G13" s="47" t="s">
        <v>541</v>
      </c>
      <c r="H13" s="17" t="s">
        <v>542</v>
      </c>
      <c r="I13" s="17"/>
      <c r="J13" s="45" t="s">
        <v>24</v>
      </c>
      <c r="K13" s="47" t="s">
        <v>25</v>
      </c>
      <c r="L13" s="51" t="s">
        <v>543</v>
      </c>
      <c r="M13" s="25"/>
      <c r="N13" s="25"/>
      <c r="O13" s="25"/>
      <c r="P13" s="25"/>
      <c r="Q13" s="25"/>
      <c r="R13" s="52">
        <f t="shared" si="1"/>
        <v>0</v>
      </c>
      <c r="S13" s="52">
        <f t="shared" si="1"/>
        <v>0</v>
      </c>
      <c r="T13" s="52">
        <f t="shared" si="1"/>
        <v>0</v>
      </c>
      <c r="U13" s="52">
        <f t="shared" si="1"/>
        <v>0</v>
      </c>
      <c r="V13" s="52">
        <f t="shared" si="1"/>
        <v>0</v>
      </c>
      <c r="W13" s="45" t="s">
        <v>27</v>
      </c>
      <c r="X13" s="26"/>
    </row>
  </sheetData>
  <sheetProtection algorithmName="SHA-512" hashValue="graHDEw5qrcUXUtd24DXguhcjiD8+8Bru6TWUl9B1n135PqVeKBW38qzA+IGPAdQwiO5GZH8eBHAOVnleUD4hQ==" saltValue="jzoMPrRTBdF7+0DhNNmOiA==" spinCount="100000" sheet="1" formatCells="0" formatColumns="0" formatRows="0"/>
  <autoFilter ref="A1:X13" xr:uid="{00000000-0009-0000-0000-000010000000}"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</autoFilter>
  <mergeCells count="34">
    <mergeCell ref="A9:A10"/>
    <mergeCell ref="U9:U10"/>
    <mergeCell ref="D1:D2"/>
    <mergeCell ref="F1:F2"/>
    <mergeCell ref="H1:H2"/>
    <mergeCell ref="J1:J2"/>
    <mergeCell ref="A1:A2"/>
    <mergeCell ref="B1:B2"/>
    <mergeCell ref="L1:L2"/>
    <mergeCell ref="B9:B10"/>
    <mergeCell ref="X1:X2"/>
    <mergeCell ref="D9:D10"/>
    <mergeCell ref="W9:W10"/>
    <mergeCell ref="F9:F10"/>
    <mergeCell ref="X9:X10"/>
    <mergeCell ref="G1:G2"/>
    <mergeCell ref="I1:I2"/>
    <mergeCell ref="R9:R10"/>
    <mergeCell ref="G9:G10"/>
    <mergeCell ref="I9:I10"/>
    <mergeCell ref="K9:K10"/>
    <mergeCell ref="W1:W2"/>
    <mergeCell ref="T9:T10"/>
    <mergeCell ref="C9:C10"/>
    <mergeCell ref="V9:V10"/>
    <mergeCell ref="E9:E10"/>
    <mergeCell ref="S9:S10"/>
    <mergeCell ref="R1:V1"/>
    <mergeCell ref="H9:H10"/>
    <mergeCell ref="J9:J10"/>
    <mergeCell ref="C1:C2"/>
    <mergeCell ref="E1:E2"/>
    <mergeCell ref="K1:K2"/>
    <mergeCell ref="M1:Q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3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31.33203125" customWidth="1"/>
    <col min="5" max="5" width="31.33203125" customWidth="1"/>
    <col min="7" max="8" width="31.33203125" customWidth="1"/>
    <col min="9" max="9" width="45.6640625" customWidth="1"/>
    <col min="11" max="12" width="31.33203125" customWidth="1"/>
    <col min="24" max="24" width="29" customWidth="1"/>
  </cols>
  <sheetData>
    <row r="1" spans="1:24" ht="18.75" customHeight="1">
      <c r="A1" s="153" t="s">
        <v>0</v>
      </c>
      <c r="B1" s="153" t="s">
        <v>1</v>
      </c>
      <c r="C1" s="146" t="s">
        <v>2</v>
      </c>
      <c r="D1" s="153" t="s">
        <v>3</v>
      </c>
      <c r="E1" s="146" t="s">
        <v>4</v>
      </c>
      <c r="F1" s="153" t="s">
        <v>5</v>
      </c>
      <c r="G1" s="146" t="s">
        <v>6</v>
      </c>
      <c r="H1" s="146" t="s">
        <v>7</v>
      </c>
      <c r="I1" s="204" t="s">
        <v>8</v>
      </c>
      <c r="J1" s="153" t="s">
        <v>9</v>
      </c>
      <c r="K1" s="147" t="s">
        <v>10</v>
      </c>
      <c r="L1" s="156" t="s">
        <v>11</v>
      </c>
      <c r="M1" s="148" t="s">
        <v>12</v>
      </c>
      <c r="N1" s="149"/>
      <c r="O1" s="149"/>
      <c r="P1" s="149"/>
      <c r="Q1" s="150"/>
      <c r="R1" s="136" t="s">
        <v>13</v>
      </c>
      <c r="S1" s="137"/>
      <c r="T1" s="137"/>
      <c r="U1" s="137"/>
      <c r="V1" s="138"/>
      <c r="W1" s="151" t="s">
        <v>14</v>
      </c>
      <c r="X1" s="203" t="s">
        <v>15</v>
      </c>
    </row>
    <row r="2" spans="1:24" ht="24" customHeight="1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0"/>
    </row>
    <row r="3" spans="1:24" ht="165" customHeight="1">
      <c r="A3" s="44">
        <v>1</v>
      </c>
      <c r="B3" s="45" t="s">
        <v>544</v>
      </c>
      <c r="C3" s="46" t="s">
        <v>545</v>
      </c>
      <c r="D3" s="47" t="s">
        <v>546</v>
      </c>
      <c r="E3" s="46" t="s">
        <v>547</v>
      </c>
      <c r="F3" s="44">
        <v>2</v>
      </c>
      <c r="G3" s="47" t="s">
        <v>548</v>
      </c>
      <c r="H3" s="121" t="s">
        <v>549</v>
      </c>
      <c r="I3" s="20"/>
      <c r="J3" s="44" t="s">
        <v>24</v>
      </c>
      <c r="K3" s="47" t="s">
        <v>25</v>
      </c>
      <c r="L3" s="89" t="s">
        <v>550</v>
      </c>
      <c r="M3" s="26"/>
      <c r="N3" s="26"/>
      <c r="O3" s="26"/>
      <c r="P3" s="26"/>
      <c r="Q3" s="26"/>
      <c r="R3" s="52">
        <f>M3</f>
        <v>0</v>
      </c>
      <c r="S3" s="52">
        <f>N3</f>
        <v>0</v>
      </c>
      <c r="T3" s="52">
        <f>O3</f>
        <v>0</v>
      </c>
      <c r="U3" s="52">
        <f>P3</f>
        <v>0</v>
      </c>
      <c r="V3" s="52">
        <f>Q3</f>
        <v>0</v>
      </c>
      <c r="W3" s="44" t="s">
        <v>32</v>
      </c>
      <c r="X3" s="26"/>
    </row>
  </sheetData>
  <sheetProtection algorithmName="SHA-512" hashValue="ARN1TEMZjyYSr1t7S4GjGAx8N6LFJelTTMCuTVIQ7kjkDqvLKGxVkw3Yt9Q2OExVMc/0Zbo1Am+FwsdnKheEWg==" saltValue="Kxmr+mlcGt08Le4C2ES7OA==" spinCount="100000" sheet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W1:W2"/>
    <mergeCell ref="R1:V1"/>
    <mergeCell ref="X1:X2"/>
    <mergeCell ref="J1:J2"/>
    <mergeCell ref="H1:H2"/>
    <mergeCell ref="L1:L2"/>
    <mergeCell ref="M1:Q1"/>
  </mergeCells>
  <conditionalFormatting sqref="F3">
    <cfRule type="duplicateValues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4"/>
  <sheetViews>
    <sheetView topLeftCell="I1" zoomScale="85" zoomScaleNormal="85" workbookViewId="0">
      <selection activeCell="R1" sqref="R1:V1"/>
    </sheetView>
  </sheetViews>
  <sheetFormatPr baseColWidth="10" defaultRowHeight="14.4"/>
  <cols>
    <col min="1" max="1" width="11.44140625" style="14" customWidth="1"/>
    <col min="3" max="3" width="28.44140625" customWidth="1"/>
    <col min="5" max="5" width="28.44140625" customWidth="1"/>
    <col min="7" max="8" width="28.44140625" customWidth="1"/>
    <col min="9" max="9" width="45.6640625" customWidth="1"/>
    <col min="11" max="12" width="28.44140625" customWidth="1"/>
    <col min="13" max="22" width="11.44140625" style="1" customWidth="1"/>
    <col min="24" max="24" width="29" customWidth="1"/>
  </cols>
  <sheetData>
    <row r="1" spans="1:24" ht="18.75" customHeight="1">
      <c r="A1" s="153" t="s">
        <v>0</v>
      </c>
      <c r="B1" s="153" t="s">
        <v>1</v>
      </c>
      <c r="C1" s="146" t="s">
        <v>2</v>
      </c>
      <c r="D1" s="153" t="s">
        <v>3</v>
      </c>
      <c r="E1" s="146" t="s">
        <v>4</v>
      </c>
      <c r="F1" s="153" t="s">
        <v>5</v>
      </c>
      <c r="G1" s="146" t="s">
        <v>6</v>
      </c>
      <c r="H1" s="159" t="s">
        <v>7</v>
      </c>
      <c r="I1" s="158" t="s">
        <v>8</v>
      </c>
      <c r="J1" s="153" t="s">
        <v>9</v>
      </c>
      <c r="K1" s="147" t="s">
        <v>10</v>
      </c>
      <c r="L1" s="156" t="s">
        <v>11</v>
      </c>
      <c r="M1" s="148" t="s">
        <v>12</v>
      </c>
      <c r="N1" s="149"/>
      <c r="O1" s="149"/>
      <c r="P1" s="149"/>
      <c r="Q1" s="150"/>
      <c r="R1" s="136" t="s">
        <v>13</v>
      </c>
      <c r="S1" s="137"/>
      <c r="T1" s="137"/>
      <c r="U1" s="137"/>
      <c r="V1" s="138"/>
      <c r="W1" s="151" t="s">
        <v>14</v>
      </c>
      <c r="X1" s="157" t="s">
        <v>15</v>
      </c>
    </row>
    <row r="2" spans="1:24" ht="24" customHeight="1">
      <c r="A2" s="140"/>
      <c r="B2" s="140"/>
      <c r="C2" s="140"/>
      <c r="D2" s="140"/>
      <c r="E2" s="140"/>
      <c r="F2" s="140"/>
      <c r="G2" s="140"/>
      <c r="H2" s="142"/>
      <c r="I2" s="142"/>
      <c r="J2" s="140"/>
      <c r="K2" s="140"/>
      <c r="L2" s="140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40"/>
      <c r="X2" s="142"/>
    </row>
    <row r="3" spans="1:24" ht="135" customHeight="1">
      <c r="A3" s="44">
        <v>1</v>
      </c>
      <c r="B3" s="45" t="s">
        <v>551</v>
      </c>
      <c r="C3" s="46" t="s">
        <v>552</v>
      </c>
      <c r="D3" s="47" t="s">
        <v>553</v>
      </c>
      <c r="E3" s="46" t="s">
        <v>554</v>
      </c>
      <c r="F3" s="44">
        <v>7</v>
      </c>
      <c r="G3" s="47" t="s">
        <v>555</v>
      </c>
      <c r="H3" s="118" t="s">
        <v>556</v>
      </c>
      <c r="I3" s="16"/>
      <c r="J3" s="44" t="s">
        <v>24</v>
      </c>
      <c r="K3" s="47" t="s">
        <v>25</v>
      </c>
      <c r="L3" s="47" t="s">
        <v>557</v>
      </c>
      <c r="M3" s="25"/>
      <c r="N3" s="25"/>
      <c r="O3" s="25"/>
      <c r="P3" s="25"/>
      <c r="Q3" s="25"/>
      <c r="R3" s="52">
        <f t="shared" ref="R3:R14" si="0">M3</f>
        <v>0</v>
      </c>
      <c r="S3" s="52">
        <f t="shared" ref="S3:S14" si="1">N3</f>
        <v>0</v>
      </c>
      <c r="T3" s="52">
        <f t="shared" ref="T3:T14" si="2">O3</f>
        <v>0</v>
      </c>
      <c r="U3" s="52">
        <f t="shared" ref="U3:U14" si="3">P3</f>
        <v>0</v>
      </c>
      <c r="V3" s="52">
        <f t="shared" ref="V3:V14" si="4">Q3</f>
        <v>0</v>
      </c>
      <c r="W3" s="44" t="s">
        <v>27</v>
      </c>
      <c r="X3" s="26"/>
    </row>
    <row r="4" spans="1:24" ht="135" customHeight="1">
      <c r="A4" s="44">
        <v>2</v>
      </c>
      <c r="B4" s="45" t="s">
        <v>551</v>
      </c>
      <c r="C4" s="46" t="s">
        <v>552</v>
      </c>
      <c r="D4" s="47" t="s">
        <v>553</v>
      </c>
      <c r="E4" s="46" t="s">
        <v>554</v>
      </c>
      <c r="F4" s="44">
        <v>8</v>
      </c>
      <c r="G4" s="47" t="s">
        <v>558</v>
      </c>
      <c r="H4" s="118" t="s">
        <v>559</v>
      </c>
      <c r="I4" s="16"/>
      <c r="J4" s="44" t="s">
        <v>24</v>
      </c>
      <c r="K4" s="47" t="s">
        <v>25</v>
      </c>
      <c r="L4" s="47" t="s">
        <v>560</v>
      </c>
      <c r="M4" s="25"/>
      <c r="N4" s="25"/>
      <c r="O4" s="25"/>
      <c r="P4" s="25"/>
      <c r="Q4" s="25"/>
      <c r="R4" s="52">
        <f t="shared" si="0"/>
        <v>0</v>
      </c>
      <c r="S4" s="52">
        <f t="shared" si="1"/>
        <v>0</v>
      </c>
      <c r="T4" s="52">
        <f t="shared" si="2"/>
        <v>0</v>
      </c>
      <c r="U4" s="52">
        <f t="shared" si="3"/>
        <v>0</v>
      </c>
      <c r="V4" s="52">
        <f t="shared" si="4"/>
        <v>0</v>
      </c>
      <c r="W4" s="44" t="s">
        <v>27</v>
      </c>
      <c r="X4" s="26"/>
    </row>
    <row r="5" spans="1:24" ht="135" customHeight="1">
      <c r="A5" s="44">
        <v>3</v>
      </c>
      <c r="B5" s="45" t="s">
        <v>551</v>
      </c>
      <c r="C5" s="46" t="s">
        <v>552</v>
      </c>
      <c r="D5" s="47" t="s">
        <v>553</v>
      </c>
      <c r="E5" s="46" t="s">
        <v>554</v>
      </c>
      <c r="F5" s="44">
        <v>10</v>
      </c>
      <c r="G5" s="47" t="s">
        <v>561</v>
      </c>
      <c r="H5" s="118" t="s">
        <v>562</v>
      </c>
      <c r="I5" s="16"/>
      <c r="J5" s="44" t="s">
        <v>24</v>
      </c>
      <c r="K5" s="47" t="s">
        <v>25</v>
      </c>
      <c r="L5" s="47" t="s">
        <v>563</v>
      </c>
      <c r="M5" s="25"/>
      <c r="N5" s="25"/>
      <c r="O5" s="25"/>
      <c r="P5" s="25"/>
      <c r="Q5" s="25"/>
      <c r="R5" s="52">
        <f t="shared" si="0"/>
        <v>0</v>
      </c>
      <c r="S5" s="52">
        <f t="shared" si="1"/>
        <v>0</v>
      </c>
      <c r="T5" s="52">
        <f t="shared" si="2"/>
        <v>0</v>
      </c>
      <c r="U5" s="52">
        <f t="shared" si="3"/>
        <v>0</v>
      </c>
      <c r="V5" s="52">
        <f t="shared" si="4"/>
        <v>0</v>
      </c>
      <c r="W5" s="44" t="s">
        <v>27</v>
      </c>
      <c r="X5" s="26"/>
    </row>
    <row r="6" spans="1:24" ht="135" customHeight="1">
      <c r="A6" s="44">
        <v>4</v>
      </c>
      <c r="B6" s="45" t="s">
        <v>551</v>
      </c>
      <c r="C6" s="46" t="s">
        <v>552</v>
      </c>
      <c r="D6" s="47" t="s">
        <v>553</v>
      </c>
      <c r="E6" s="46" t="s">
        <v>554</v>
      </c>
      <c r="F6" s="44">
        <v>13</v>
      </c>
      <c r="G6" s="47" t="s">
        <v>564</v>
      </c>
      <c r="H6" s="118" t="s">
        <v>565</v>
      </c>
      <c r="I6" s="16"/>
      <c r="J6" s="44" t="s">
        <v>24</v>
      </c>
      <c r="K6" s="47" t="s">
        <v>25</v>
      </c>
      <c r="L6" s="47" t="s">
        <v>566</v>
      </c>
      <c r="M6" s="25"/>
      <c r="N6" s="25"/>
      <c r="O6" s="25"/>
      <c r="P6" s="25"/>
      <c r="Q6" s="25"/>
      <c r="R6" s="52">
        <f t="shared" si="0"/>
        <v>0</v>
      </c>
      <c r="S6" s="52">
        <f t="shared" si="1"/>
        <v>0</v>
      </c>
      <c r="T6" s="52">
        <f t="shared" si="2"/>
        <v>0</v>
      </c>
      <c r="U6" s="52">
        <f t="shared" si="3"/>
        <v>0</v>
      </c>
      <c r="V6" s="52">
        <f t="shared" si="4"/>
        <v>0</v>
      </c>
      <c r="W6" s="44" t="s">
        <v>27</v>
      </c>
      <c r="X6" s="26"/>
    </row>
    <row r="7" spans="1:24" ht="135" customHeight="1">
      <c r="A7" s="44">
        <v>5</v>
      </c>
      <c r="B7" s="45" t="s">
        <v>551</v>
      </c>
      <c r="C7" s="46" t="s">
        <v>552</v>
      </c>
      <c r="D7" s="47" t="s">
        <v>553</v>
      </c>
      <c r="E7" s="46" t="s">
        <v>554</v>
      </c>
      <c r="F7" s="44">
        <v>15</v>
      </c>
      <c r="G7" s="47" t="s">
        <v>567</v>
      </c>
      <c r="H7" s="20" t="s">
        <v>568</v>
      </c>
      <c r="I7" s="16"/>
      <c r="J7" s="44" t="s">
        <v>24</v>
      </c>
      <c r="K7" s="47" t="s">
        <v>25</v>
      </c>
      <c r="L7" s="105" t="s">
        <v>569</v>
      </c>
      <c r="M7" s="25"/>
      <c r="N7" s="25"/>
      <c r="O7" s="25"/>
      <c r="P7" s="25"/>
      <c r="Q7" s="25"/>
      <c r="R7" s="52">
        <f t="shared" si="0"/>
        <v>0</v>
      </c>
      <c r="S7" s="52">
        <f t="shared" si="1"/>
        <v>0</v>
      </c>
      <c r="T7" s="52">
        <f t="shared" si="2"/>
        <v>0</v>
      </c>
      <c r="U7" s="52">
        <f t="shared" si="3"/>
        <v>0</v>
      </c>
      <c r="V7" s="52">
        <f t="shared" si="4"/>
        <v>0</v>
      </c>
      <c r="W7" s="44" t="s">
        <v>27</v>
      </c>
      <c r="X7" s="26"/>
    </row>
    <row r="8" spans="1:24" ht="135" customHeight="1">
      <c r="A8" s="44">
        <v>6</v>
      </c>
      <c r="B8" s="45" t="s">
        <v>551</v>
      </c>
      <c r="C8" s="46" t="s">
        <v>552</v>
      </c>
      <c r="D8" s="47" t="s">
        <v>553</v>
      </c>
      <c r="E8" s="46" t="s">
        <v>554</v>
      </c>
      <c r="F8" s="44">
        <v>16</v>
      </c>
      <c r="G8" s="47" t="s">
        <v>570</v>
      </c>
      <c r="H8" s="118" t="s">
        <v>571</v>
      </c>
      <c r="I8" s="16"/>
      <c r="J8" s="44" t="s">
        <v>24</v>
      </c>
      <c r="K8" s="47" t="s">
        <v>25</v>
      </c>
      <c r="L8" s="47" t="s">
        <v>572</v>
      </c>
      <c r="M8" s="25"/>
      <c r="N8" s="25"/>
      <c r="O8" s="25"/>
      <c r="P8" s="25"/>
      <c r="Q8" s="25"/>
      <c r="R8" s="52">
        <f t="shared" si="0"/>
        <v>0</v>
      </c>
      <c r="S8" s="52">
        <f t="shared" si="1"/>
        <v>0</v>
      </c>
      <c r="T8" s="52">
        <f t="shared" si="2"/>
        <v>0</v>
      </c>
      <c r="U8" s="52">
        <f t="shared" si="3"/>
        <v>0</v>
      </c>
      <c r="V8" s="52">
        <f t="shared" si="4"/>
        <v>0</v>
      </c>
      <c r="W8" s="44" t="s">
        <v>27</v>
      </c>
      <c r="X8" s="26"/>
    </row>
    <row r="9" spans="1:24" ht="135" customHeight="1">
      <c r="A9" s="44">
        <v>7</v>
      </c>
      <c r="B9" s="45" t="s">
        <v>551</v>
      </c>
      <c r="C9" s="46" t="s">
        <v>552</v>
      </c>
      <c r="D9" s="47" t="s">
        <v>573</v>
      </c>
      <c r="E9" s="46" t="s">
        <v>574</v>
      </c>
      <c r="F9" s="44">
        <v>1</v>
      </c>
      <c r="G9" s="47" t="s">
        <v>575</v>
      </c>
      <c r="H9" s="119" t="s">
        <v>576</v>
      </c>
      <c r="I9" s="16"/>
      <c r="J9" s="44" t="s">
        <v>24</v>
      </c>
      <c r="K9" s="47" t="s">
        <v>25</v>
      </c>
      <c r="L9" s="46" t="s">
        <v>577</v>
      </c>
      <c r="M9" s="25"/>
      <c r="N9" s="25"/>
      <c r="O9" s="25"/>
      <c r="P9" s="25"/>
      <c r="Q9" s="25"/>
      <c r="R9" s="52">
        <f t="shared" si="0"/>
        <v>0</v>
      </c>
      <c r="S9" s="52">
        <f t="shared" si="1"/>
        <v>0</v>
      </c>
      <c r="T9" s="52">
        <f t="shared" si="2"/>
        <v>0</v>
      </c>
      <c r="U9" s="52">
        <f t="shared" si="3"/>
        <v>0</v>
      </c>
      <c r="V9" s="52">
        <f t="shared" si="4"/>
        <v>0</v>
      </c>
      <c r="W9" s="44" t="s">
        <v>27</v>
      </c>
      <c r="X9" s="26"/>
    </row>
    <row r="10" spans="1:24" ht="135" customHeight="1">
      <c r="A10" s="44">
        <v>8</v>
      </c>
      <c r="B10" s="45" t="s">
        <v>551</v>
      </c>
      <c r="C10" s="46" t="s">
        <v>552</v>
      </c>
      <c r="D10" s="47" t="s">
        <v>573</v>
      </c>
      <c r="E10" s="46" t="s">
        <v>574</v>
      </c>
      <c r="F10" s="44">
        <v>3</v>
      </c>
      <c r="G10" s="47" t="s">
        <v>578</v>
      </c>
      <c r="H10" s="119" t="s">
        <v>579</v>
      </c>
      <c r="I10" s="16"/>
      <c r="J10" s="44" t="s">
        <v>24</v>
      </c>
      <c r="K10" s="47" t="s">
        <v>25</v>
      </c>
      <c r="L10" s="46" t="s">
        <v>580</v>
      </c>
      <c r="M10" s="25"/>
      <c r="N10" s="25"/>
      <c r="O10" s="25"/>
      <c r="P10" s="25"/>
      <c r="Q10" s="25"/>
      <c r="R10" s="52">
        <f t="shared" si="0"/>
        <v>0</v>
      </c>
      <c r="S10" s="52">
        <f t="shared" si="1"/>
        <v>0</v>
      </c>
      <c r="T10" s="52">
        <f t="shared" si="2"/>
        <v>0</v>
      </c>
      <c r="U10" s="52">
        <f t="shared" si="3"/>
        <v>0</v>
      </c>
      <c r="V10" s="52">
        <f t="shared" si="4"/>
        <v>0</v>
      </c>
      <c r="W10" s="44" t="s">
        <v>27</v>
      </c>
      <c r="X10" s="26"/>
    </row>
    <row r="11" spans="1:24" ht="135" customHeight="1">
      <c r="A11" s="44">
        <v>9</v>
      </c>
      <c r="B11" s="45" t="s">
        <v>551</v>
      </c>
      <c r="C11" s="46" t="s">
        <v>552</v>
      </c>
      <c r="D11" s="47" t="s">
        <v>573</v>
      </c>
      <c r="E11" s="46" t="s">
        <v>574</v>
      </c>
      <c r="F11" s="44">
        <v>4</v>
      </c>
      <c r="G11" s="47" t="s">
        <v>581</v>
      </c>
      <c r="H11" s="119" t="s">
        <v>582</v>
      </c>
      <c r="I11" s="16"/>
      <c r="J11" s="44" t="s">
        <v>24</v>
      </c>
      <c r="K11" s="47" t="s">
        <v>25</v>
      </c>
      <c r="L11" s="46" t="s">
        <v>583</v>
      </c>
      <c r="M11" s="25"/>
      <c r="N11" s="25"/>
      <c r="O11" s="25"/>
      <c r="P11" s="25"/>
      <c r="Q11" s="25"/>
      <c r="R11" s="52">
        <f t="shared" si="0"/>
        <v>0</v>
      </c>
      <c r="S11" s="52">
        <f t="shared" si="1"/>
        <v>0</v>
      </c>
      <c r="T11" s="52">
        <f t="shared" si="2"/>
        <v>0</v>
      </c>
      <c r="U11" s="52">
        <f t="shared" si="3"/>
        <v>0</v>
      </c>
      <c r="V11" s="52">
        <f t="shared" si="4"/>
        <v>0</v>
      </c>
      <c r="W11" s="44" t="s">
        <v>27</v>
      </c>
      <c r="X11" s="26"/>
    </row>
    <row r="12" spans="1:24" ht="135" customHeight="1">
      <c r="A12" s="44">
        <v>10</v>
      </c>
      <c r="B12" s="45" t="s">
        <v>551</v>
      </c>
      <c r="C12" s="46" t="s">
        <v>552</v>
      </c>
      <c r="D12" s="47" t="s">
        <v>584</v>
      </c>
      <c r="E12" s="46" t="s">
        <v>585</v>
      </c>
      <c r="F12" s="44">
        <v>21</v>
      </c>
      <c r="G12" s="47" t="s">
        <v>586</v>
      </c>
      <c r="H12" s="17" t="s">
        <v>587</v>
      </c>
      <c r="I12" s="16"/>
      <c r="J12" s="44" t="s">
        <v>24</v>
      </c>
      <c r="K12" s="47" t="s">
        <v>25</v>
      </c>
      <c r="L12" s="46" t="s">
        <v>588</v>
      </c>
      <c r="M12" s="25"/>
      <c r="N12" s="25"/>
      <c r="O12" s="25"/>
      <c r="P12" s="25"/>
      <c r="Q12" s="25"/>
      <c r="R12" s="52">
        <f t="shared" si="0"/>
        <v>0</v>
      </c>
      <c r="S12" s="52">
        <f t="shared" si="1"/>
        <v>0</v>
      </c>
      <c r="T12" s="52">
        <f t="shared" si="2"/>
        <v>0</v>
      </c>
      <c r="U12" s="52">
        <f t="shared" si="3"/>
        <v>0</v>
      </c>
      <c r="V12" s="52">
        <f t="shared" si="4"/>
        <v>0</v>
      </c>
      <c r="W12" s="44" t="s">
        <v>27</v>
      </c>
      <c r="X12" s="26"/>
    </row>
    <row r="13" spans="1:24" ht="135" customHeight="1">
      <c r="A13" s="44">
        <v>11</v>
      </c>
      <c r="B13" s="45" t="s">
        <v>551</v>
      </c>
      <c r="C13" s="46" t="s">
        <v>552</v>
      </c>
      <c r="D13" s="47" t="s">
        <v>584</v>
      </c>
      <c r="E13" s="46" t="s">
        <v>585</v>
      </c>
      <c r="F13" s="44">
        <v>22</v>
      </c>
      <c r="G13" s="47" t="s">
        <v>589</v>
      </c>
      <c r="H13" s="118" t="s">
        <v>590</v>
      </c>
      <c r="I13" s="16"/>
      <c r="J13" s="44" t="s">
        <v>24</v>
      </c>
      <c r="K13" s="47" t="s">
        <v>25</v>
      </c>
      <c r="L13" s="47" t="s">
        <v>591</v>
      </c>
      <c r="M13" s="25"/>
      <c r="N13" s="25"/>
      <c r="O13" s="25"/>
      <c r="P13" s="25"/>
      <c r="Q13" s="25"/>
      <c r="R13" s="52">
        <f t="shared" si="0"/>
        <v>0</v>
      </c>
      <c r="S13" s="52">
        <f t="shared" si="1"/>
        <v>0</v>
      </c>
      <c r="T13" s="52">
        <f t="shared" si="2"/>
        <v>0</v>
      </c>
      <c r="U13" s="52">
        <f t="shared" si="3"/>
        <v>0</v>
      </c>
      <c r="V13" s="52">
        <f t="shared" si="4"/>
        <v>0</v>
      </c>
      <c r="W13" s="44" t="s">
        <v>27</v>
      </c>
      <c r="X13" s="26"/>
    </row>
    <row r="14" spans="1:24" ht="135" customHeight="1">
      <c r="A14" s="44">
        <v>12</v>
      </c>
      <c r="B14" s="45" t="s">
        <v>551</v>
      </c>
      <c r="C14" s="46" t="s">
        <v>552</v>
      </c>
      <c r="D14" s="47" t="s">
        <v>584</v>
      </c>
      <c r="E14" s="46" t="s">
        <v>585</v>
      </c>
      <c r="F14" s="44">
        <v>23</v>
      </c>
      <c r="G14" s="47" t="s">
        <v>592</v>
      </c>
      <c r="H14" s="118" t="s">
        <v>593</v>
      </c>
      <c r="I14" s="16"/>
      <c r="J14" s="44" t="s">
        <v>24</v>
      </c>
      <c r="K14" s="47" t="s">
        <v>25</v>
      </c>
      <c r="L14" s="47" t="s">
        <v>594</v>
      </c>
      <c r="M14" s="25"/>
      <c r="N14" s="25"/>
      <c r="O14" s="25"/>
      <c r="P14" s="25"/>
      <c r="Q14" s="25"/>
      <c r="R14" s="52">
        <f t="shared" si="0"/>
        <v>0</v>
      </c>
      <c r="S14" s="52">
        <f t="shared" si="1"/>
        <v>0</v>
      </c>
      <c r="T14" s="52">
        <f t="shared" si="2"/>
        <v>0</v>
      </c>
      <c r="U14" s="52">
        <f t="shared" si="3"/>
        <v>0</v>
      </c>
      <c r="V14" s="52">
        <f t="shared" si="4"/>
        <v>0</v>
      </c>
      <c r="W14" s="44" t="s">
        <v>27</v>
      </c>
      <c r="X14" s="26"/>
    </row>
  </sheetData>
  <sheetProtection algorithmName="SHA-512" hashValue="MG0DooOSK8lwmVDSkNZQVOXfn9wyiRYUxip0dvKbtyZPzpOEg21w4GcpJ8s8hzn6QFKrnPQ4D0GFhU2EerVb8g==" saltValue="seDWXXjO34gDenkIIeu3wg==" spinCount="100000" sheet="1" objects="1" scenarios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W1:W2"/>
    <mergeCell ref="R1:V1"/>
    <mergeCell ref="X1:X2"/>
    <mergeCell ref="J1:J2"/>
    <mergeCell ref="H1:H2"/>
    <mergeCell ref="L1:L2"/>
    <mergeCell ref="M1:Q1"/>
  </mergeCells>
  <conditionalFormatting sqref="F3 F5">
    <cfRule type="duplicateValues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4:J105"/>
  <sheetViews>
    <sheetView workbookViewId="0">
      <selection activeCell="D22" sqref="D22"/>
    </sheetView>
  </sheetViews>
  <sheetFormatPr baseColWidth="10" defaultRowHeight="14.4"/>
  <cols>
    <col min="1" max="1" width="21" style="14" customWidth="1"/>
    <col min="2" max="2" width="28.33203125" bestFit="1" customWidth="1"/>
    <col min="10" max="10" width="33.6640625" customWidth="1"/>
  </cols>
  <sheetData>
    <row r="4" spans="1:10">
      <c r="A4" s="214" t="s">
        <v>595</v>
      </c>
      <c r="B4" s="209"/>
      <c r="C4" s="209"/>
      <c r="D4" s="209"/>
      <c r="E4" s="209"/>
      <c r="F4" s="209"/>
      <c r="G4" s="209"/>
      <c r="H4" s="209"/>
      <c r="I4" s="209"/>
      <c r="J4" s="209"/>
    </row>
    <row r="5" spans="1:10">
      <c r="A5" s="208" t="s">
        <v>596</v>
      </c>
      <c r="B5" s="209"/>
      <c r="C5" s="209"/>
      <c r="D5" s="209"/>
      <c r="E5" s="209"/>
      <c r="F5" s="209"/>
      <c r="G5" s="209"/>
      <c r="H5" s="209"/>
      <c r="I5" s="209"/>
      <c r="J5" s="209"/>
    </row>
    <row r="6" spans="1:10">
      <c r="A6" s="205" t="s">
        <v>597</v>
      </c>
      <c r="B6" s="211" t="s">
        <v>598</v>
      </c>
      <c r="C6" s="207" t="s">
        <v>13</v>
      </c>
      <c r="D6" s="137"/>
      <c r="E6" s="137"/>
      <c r="F6" s="137"/>
      <c r="G6" s="137"/>
      <c r="H6" s="110"/>
      <c r="I6" s="174" t="s">
        <v>14</v>
      </c>
      <c r="J6" s="210" t="s">
        <v>15</v>
      </c>
    </row>
    <row r="7" spans="1:10" ht="24" customHeight="1">
      <c r="A7" s="206"/>
      <c r="B7" s="212"/>
      <c r="C7" s="7" t="s">
        <v>599</v>
      </c>
      <c r="D7" s="4">
        <v>2026</v>
      </c>
      <c r="E7" s="4">
        <v>2027</v>
      </c>
      <c r="F7" s="4">
        <v>2028</v>
      </c>
      <c r="G7" s="4">
        <v>2029</v>
      </c>
      <c r="H7" s="4">
        <v>2030</v>
      </c>
      <c r="I7" s="140"/>
      <c r="J7" s="140"/>
    </row>
    <row r="8" spans="1:10">
      <c r="A8" s="14">
        <v>3</v>
      </c>
      <c r="B8">
        <f>'2 EstudiantadoEstProf'!I5</f>
        <v>0</v>
      </c>
      <c r="C8" s="32" t="e">
        <f>'2 EstudiantadoEstProf'!#REF!</f>
        <v>#REF!</v>
      </c>
      <c r="D8" s="32" t="str">
        <f>'2 EstudiantadoEstProf'!R5</f>
        <v>0</v>
      </c>
      <c r="E8" s="32" t="str">
        <f>'2 EstudiantadoEstProf'!S5</f>
        <v>0</v>
      </c>
      <c r="F8" s="32" t="str">
        <f>'2 EstudiantadoEstProf'!T5</f>
        <v>0</v>
      </c>
      <c r="G8" s="32" t="str">
        <f>'2 EstudiantadoEstProf'!U5</f>
        <v>0</v>
      </c>
      <c r="H8" s="32" t="str">
        <f>'2 EstudiantadoEstProf'!V5</f>
        <v>0</v>
      </c>
      <c r="I8" t="str">
        <f>'2 EstudiantadoEstProf'!W3</f>
        <v>Anual</v>
      </c>
      <c r="J8">
        <f>'2 EstudiantadoEstProf'!X5</f>
        <v>0</v>
      </c>
    </row>
    <row r="10" spans="1:10">
      <c r="A10" s="14">
        <v>4</v>
      </c>
      <c r="B10">
        <f>'2 EstudiantadoEstProf'!I7</f>
        <v>0</v>
      </c>
      <c r="C10" s="32" t="e">
        <f>'2 EstudiantadoEstProf'!#REF!</f>
        <v>#REF!</v>
      </c>
      <c r="D10" s="32" t="str">
        <f>'2 EstudiantadoEstProf'!R7</f>
        <v>0</v>
      </c>
      <c r="E10" s="32" t="str">
        <f>'2 EstudiantadoEstProf'!S7</f>
        <v>0</v>
      </c>
      <c r="F10" s="32" t="str">
        <f>'2 EstudiantadoEstProf'!T7</f>
        <v>0</v>
      </c>
      <c r="G10" s="32" t="str">
        <f>'2 EstudiantadoEstProf'!U7</f>
        <v>0</v>
      </c>
      <c r="H10" s="32" t="str">
        <f>'2 EstudiantadoEstProf'!V7</f>
        <v>0</v>
      </c>
      <c r="I10" t="str">
        <f>'2 EstudiantadoEstProf'!W5</f>
        <v>Anual</v>
      </c>
      <c r="J10">
        <f>'2 EstudiantadoEstProf'!X7</f>
        <v>0</v>
      </c>
    </row>
    <row r="12" spans="1:10">
      <c r="A12" s="14">
        <v>5</v>
      </c>
      <c r="B12">
        <f>'2 EstudiantadoEstProf'!I9</f>
        <v>0</v>
      </c>
      <c r="C12" s="32" t="e">
        <f>'2 EstudiantadoEstProf'!#REF!</f>
        <v>#REF!</v>
      </c>
      <c r="D12" s="32" t="str">
        <f>'2 EstudiantadoEstProf'!R9</f>
        <v>0</v>
      </c>
      <c r="E12" s="32" t="str">
        <f>'2 EstudiantadoEstProf'!S9</f>
        <v>0</v>
      </c>
      <c r="F12" s="32" t="str">
        <f>'2 EstudiantadoEstProf'!T9</f>
        <v>0</v>
      </c>
      <c r="G12" s="32" t="str">
        <f>'2 EstudiantadoEstProf'!U9</f>
        <v>0</v>
      </c>
      <c r="H12" s="32" t="str">
        <f>'2 EstudiantadoEstProf'!V9</f>
        <v>0</v>
      </c>
      <c r="I12" t="str">
        <f>'2 EstudiantadoEstProf'!W9</f>
        <v>Anual</v>
      </c>
      <c r="J12">
        <f>'2 EstudiantadoEstProf'!X9</f>
        <v>0</v>
      </c>
    </row>
    <row r="13" spans="1:10" ht="15.75" customHeight="1" thickBot="1"/>
    <row r="14" spans="1:10" ht="15.75" customHeight="1" thickBot="1">
      <c r="A14" s="14">
        <v>8</v>
      </c>
      <c r="B14" s="15">
        <f>'2 EstudiantadoEstProf'!I13</f>
        <v>0</v>
      </c>
      <c r="C14" t="e">
        <f>'2 EstudiantadoEstProf'!#REF!</f>
        <v>#REF!</v>
      </c>
      <c r="D14" t="str">
        <f>'2 EstudiantadoEstProf'!R13</f>
        <v>0</v>
      </c>
      <c r="E14" t="str">
        <f>'2 EstudiantadoEstProf'!S13</f>
        <v>0</v>
      </c>
      <c r="F14" t="str">
        <f>'2 EstudiantadoEstProf'!T13</f>
        <v>0</v>
      </c>
      <c r="G14" t="str">
        <f>'2 EstudiantadoEstProf'!U13</f>
        <v>0</v>
      </c>
      <c r="H14" t="str">
        <f>'2 EstudiantadoEstProf'!V13</f>
        <v>0</v>
      </c>
      <c r="I14" t="str">
        <f>'2 EstudiantadoEstProf'!W13</f>
        <v>Anual</v>
      </c>
      <c r="J14">
        <f>'2 EstudiantadoEstProf'!X13</f>
        <v>0</v>
      </c>
    </row>
    <row r="16" spans="1:10">
      <c r="A16" s="14">
        <v>12</v>
      </c>
      <c r="B16">
        <f>'2 EstudiantadoEstProf'!I18</f>
        <v>0</v>
      </c>
      <c r="C16" t="e">
        <f>'2 EstudiantadoEstProf'!#REF!</f>
        <v>#REF!</v>
      </c>
      <c r="D16" t="str">
        <f>'2 EstudiantadoEstProf'!R18</f>
        <v>0</v>
      </c>
      <c r="E16" t="str">
        <f>'2 EstudiantadoEstProf'!S18</f>
        <v>0</v>
      </c>
      <c r="F16" t="str">
        <f>'2 EstudiantadoEstProf'!T18</f>
        <v>0</v>
      </c>
      <c r="G16" t="str">
        <f>'2 EstudiantadoEstProf'!U18</f>
        <v>0</v>
      </c>
      <c r="H16" t="str">
        <f>'2 EstudiantadoEstProf'!V18</f>
        <v>0</v>
      </c>
      <c r="I16" t="str">
        <f>'2 EstudiantadoEstProf'!W18</f>
        <v>Anual</v>
      </c>
      <c r="J16">
        <f>'2 EstudiantadoEstProf'!X18</f>
        <v>0</v>
      </c>
    </row>
    <row r="18" spans="1:10">
      <c r="A18" s="14">
        <v>18</v>
      </c>
      <c r="B18">
        <f>'2 EstudiantadoEstProf'!I24</f>
        <v>0</v>
      </c>
      <c r="C18" t="e">
        <f>'2 EstudiantadoEstProf'!#REF!</f>
        <v>#REF!</v>
      </c>
      <c r="D18" t="str">
        <f>'2 EstudiantadoEstProf'!R24</f>
        <v>0</v>
      </c>
      <c r="E18" t="str">
        <f>'2 EstudiantadoEstProf'!S24</f>
        <v>0</v>
      </c>
      <c r="F18" t="str">
        <f>'2 EstudiantadoEstProf'!T24</f>
        <v>0</v>
      </c>
      <c r="G18" t="str">
        <f>'2 EstudiantadoEstProf'!U24</f>
        <v>0</v>
      </c>
      <c r="H18" t="str">
        <f>'2 EstudiantadoEstProf'!V24</f>
        <v>0</v>
      </c>
      <c r="I18" t="str">
        <f>'2 EstudiantadoEstProf'!W24</f>
        <v>Anual</v>
      </c>
      <c r="J18">
        <f>'2 EstudiantadoEstProf'!X24</f>
        <v>0</v>
      </c>
    </row>
    <row r="20" spans="1:10">
      <c r="A20" s="14">
        <v>20</v>
      </c>
      <c r="B20">
        <f>'2 EstudiantadoEstProf'!I27</f>
        <v>0</v>
      </c>
      <c r="C20" t="e">
        <f>'2 EstudiantadoEstProf'!#REF!</f>
        <v>#REF!</v>
      </c>
      <c r="D20" t="str">
        <f>'2 EstudiantadoEstProf'!R27</f>
        <v>0</v>
      </c>
      <c r="E20" t="str">
        <f>'2 EstudiantadoEstProf'!S27</f>
        <v>0</v>
      </c>
      <c r="F20" t="str">
        <f>'2 EstudiantadoEstProf'!T27</f>
        <v>0</v>
      </c>
      <c r="G20" t="str">
        <f>'2 EstudiantadoEstProf'!U27</f>
        <v>0</v>
      </c>
      <c r="H20" t="str">
        <f>'2 EstudiantadoEstProf'!V27</f>
        <v>0</v>
      </c>
      <c r="I20" t="str">
        <f>'2 EstudiantadoEstProf'!W27</f>
        <v>Anual</v>
      </c>
      <c r="J20">
        <f>'2 EstudiantadoEstProf'!X27</f>
        <v>0</v>
      </c>
    </row>
    <row r="22" spans="1:10">
      <c r="A22" s="14">
        <v>21</v>
      </c>
      <c r="B22">
        <f>'2 EstudiantadoEstProf'!I29</f>
        <v>0</v>
      </c>
      <c r="C22" t="e">
        <f>'2 EstudiantadoEstProf'!#REF!</f>
        <v>#REF!</v>
      </c>
      <c r="D22" t="str">
        <f>'2 EstudiantadoEstProf'!R29</f>
        <v>0</v>
      </c>
      <c r="E22" t="str">
        <f>'2 EstudiantadoEstProf'!S29</f>
        <v>0</v>
      </c>
      <c r="F22" t="str">
        <f>'2 EstudiantadoEstProf'!T29</f>
        <v>0</v>
      </c>
      <c r="G22" t="str">
        <f>'2 EstudiantadoEstProf'!U29</f>
        <v>0</v>
      </c>
      <c r="H22" t="str">
        <f>'2 EstudiantadoEstProf'!V29</f>
        <v>0</v>
      </c>
      <c r="I22" t="str">
        <f>'2 EstudiantadoEstProf'!W29</f>
        <v>Anual</v>
      </c>
      <c r="J22">
        <f>'2 EstudiantadoEstProf'!X29</f>
        <v>0</v>
      </c>
    </row>
    <row r="26" spans="1:10">
      <c r="A26" s="14">
        <v>23</v>
      </c>
      <c r="B26">
        <f>'2 EstudiantadoEstProf'!I34</f>
        <v>0</v>
      </c>
      <c r="C26" t="e">
        <f>'2 EstudiantadoEstProf'!#REF!</f>
        <v>#REF!</v>
      </c>
      <c r="D26" t="str">
        <f>'2 EstudiantadoEstProf'!R34</f>
        <v>0</v>
      </c>
      <c r="E26" t="str">
        <f>'2 EstudiantadoEstProf'!S34</f>
        <v>0</v>
      </c>
      <c r="F26" t="str">
        <f>'2 EstudiantadoEstProf'!T34</f>
        <v>0</v>
      </c>
      <c r="G26" t="str">
        <f>'2 EstudiantadoEstProf'!U34</f>
        <v>0</v>
      </c>
      <c r="H26" t="str">
        <f>'2 EstudiantadoEstProf'!V34</f>
        <v>0</v>
      </c>
      <c r="I26" t="str">
        <f>'2 EstudiantadoEstProf'!W34</f>
        <v>Anual</v>
      </c>
      <c r="J26">
        <f>'2 EstudiantadoEstProf'!X34</f>
        <v>0</v>
      </c>
    </row>
    <row r="29" spans="1:10">
      <c r="A29" s="213" t="s">
        <v>600</v>
      </c>
      <c r="B29" s="209"/>
      <c r="C29" s="209"/>
      <c r="D29" s="209"/>
      <c r="E29" s="209"/>
      <c r="F29" s="209"/>
      <c r="G29" s="209"/>
      <c r="H29" s="209"/>
      <c r="I29" s="209"/>
      <c r="J29" s="209"/>
    </row>
    <row r="30" spans="1:10">
      <c r="A30" s="205" t="s">
        <v>597</v>
      </c>
      <c r="B30" s="211" t="s">
        <v>598</v>
      </c>
      <c r="C30" s="207" t="s">
        <v>13</v>
      </c>
      <c r="D30" s="137"/>
      <c r="E30" s="137"/>
      <c r="F30" s="137"/>
      <c r="G30" s="137"/>
      <c r="H30" s="110"/>
      <c r="I30" s="174" t="s">
        <v>14</v>
      </c>
      <c r="J30" s="210" t="s">
        <v>15</v>
      </c>
    </row>
    <row r="31" spans="1:10" ht="24" customHeight="1">
      <c r="A31" s="206"/>
      <c r="B31" s="212"/>
      <c r="C31" s="7" t="s">
        <v>599</v>
      </c>
      <c r="D31" s="4">
        <v>2026</v>
      </c>
      <c r="E31" s="4">
        <v>2027</v>
      </c>
      <c r="F31" s="4">
        <v>2028</v>
      </c>
      <c r="G31" s="4">
        <v>2029</v>
      </c>
      <c r="H31" s="4">
        <v>2030</v>
      </c>
      <c r="I31" s="140"/>
      <c r="J31" s="140"/>
    </row>
    <row r="32" spans="1:10">
      <c r="A32" s="14">
        <v>7</v>
      </c>
      <c r="B32">
        <f>'3 Est avanzados excelencia'!I9</f>
        <v>0</v>
      </c>
      <c r="C32" t="e">
        <f>'3 Est avanzados excelencia'!#REF!</f>
        <v>#REF!</v>
      </c>
      <c r="D32" t="str">
        <f>'3 Est avanzados excelencia'!R9</f>
        <v>0</v>
      </c>
      <c r="E32" t="str">
        <f>'3 Est avanzados excelencia'!S9</f>
        <v>0</v>
      </c>
      <c r="F32" t="str">
        <f>'3 Est avanzados excelencia'!T9</f>
        <v>0</v>
      </c>
      <c r="G32" t="str">
        <f>'3 Est avanzados excelencia'!U9</f>
        <v>0</v>
      </c>
      <c r="H32" t="str">
        <f>'3 Est avanzados excelencia'!V9</f>
        <v>0</v>
      </c>
      <c r="I32" t="str">
        <f>'3 Est avanzados excelencia'!W9</f>
        <v>Anual</v>
      </c>
      <c r="J32">
        <f>'3 Est avanzados excelencia'!X9</f>
        <v>0</v>
      </c>
    </row>
    <row r="35" spans="1:10">
      <c r="A35" s="39" t="s">
        <v>601</v>
      </c>
    </row>
    <row r="36" spans="1:10">
      <c r="A36" s="205" t="s">
        <v>597</v>
      </c>
      <c r="B36" s="211" t="s">
        <v>598</v>
      </c>
      <c r="C36" s="207" t="s">
        <v>13</v>
      </c>
      <c r="D36" s="137"/>
      <c r="E36" s="137"/>
      <c r="F36" s="137"/>
      <c r="G36" s="137"/>
      <c r="H36" s="110"/>
      <c r="I36" s="174" t="s">
        <v>14</v>
      </c>
      <c r="J36" s="210" t="s">
        <v>15</v>
      </c>
    </row>
    <row r="37" spans="1:10" ht="24" customHeight="1">
      <c r="A37" s="206"/>
      <c r="B37" s="212"/>
      <c r="C37" s="7" t="s">
        <v>599</v>
      </c>
      <c r="D37" s="4">
        <v>2026</v>
      </c>
      <c r="E37" s="4">
        <v>2027</v>
      </c>
      <c r="F37" s="4">
        <v>2028</v>
      </c>
      <c r="G37" s="4">
        <v>2029</v>
      </c>
      <c r="H37" s="4">
        <v>2030</v>
      </c>
      <c r="I37" s="140"/>
      <c r="J37" s="140"/>
    </row>
    <row r="38" spans="1:10">
      <c r="A38" s="14">
        <v>2</v>
      </c>
      <c r="B38">
        <f>'4 Investigación abierta'!I4</f>
        <v>0</v>
      </c>
      <c r="C38" t="e">
        <f>'4 Investigación abierta'!#REF!</f>
        <v>#REF!</v>
      </c>
      <c r="D38" t="str">
        <f>'4 Investigación abierta'!R4</f>
        <v>0</v>
      </c>
      <c r="E38" t="str">
        <f>'4 Investigación abierta'!S4</f>
        <v>0</v>
      </c>
      <c r="F38" t="str">
        <f>'4 Investigación abierta'!T4</f>
        <v>0</v>
      </c>
      <c r="G38" t="str">
        <f>'4 Investigación abierta'!U4</f>
        <v>0</v>
      </c>
      <c r="H38" t="str">
        <f>'4 Investigación abierta'!V4</f>
        <v>0</v>
      </c>
      <c r="I38" t="str">
        <f>'4 Investigación abierta'!W4</f>
        <v>Anual</v>
      </c>
      <c r="J38">
        <f>'4 Investigación abierta'!X4</f>
        <v>0</v>
      </c>
    </row>
    <row r="40" spans="1:10">
      <c r="A40" s="14">
        <v>3</v>
      </c>
      <c r="B40">
        <f>'4 Investigación abierta'!I6</f>
        <v>0</v>
      </c>
      <c r="C40" t="e">
        <f>'4 Investigación abierta'!#REF!</f>
        <v>#REF!</v>
      </c>
      <c r="D40" t="str">
        <f>'4 Investigación abierta'!R6</f>
        <v>0</v>
      </c>
      <c r="E40" t="str">
        <f>'4 Investigación abierta'!S6</f>
        <v>0</v>
      </c>
      <c r="F40" t="str">
        <f>'4 Investigación abierta'!T6</f>
        <v>0</v>
      </c>
      <c r="G40" t="str">
        <f>'4 Investigación abierta'!U6</f>
        <v>0</v>
      </c>
      <c r="H40" t="str">
        <f>'4 Investigación abierta'!V6</f>
        <v>0</v>
      </c>
      <c r="I40" t="str">
        <f>'4 Investigación abierta'!W6</f>
        <v>Anual</v>
      </c>
      <c r="J40">
        <f>'4 Investigación abierta'!X6</f>
        <v>0</v>
      </c>
    </row>
    <row r="42" spans="1:10">
      <c r="A42" s="14">
        <v>4</v>
      </c>
      <c r="B42">
        <f>'4 Investigación abierta'!I8</f>
        <v>0</v>
      </c>
      <c r="C42" t="e">
        <f>'4 Investigación abierta'!#REF!</f>
        <v>#REF!</v>
      </c>
      <c r="D42" t="str">
        <f>'4 Investigación abierta'!R8</f>
        <v>0</v>
      </c>
      <c r="E42" t="str">
        <f>'4 Investigación abierta'!S8</f>
        <v>0</v>
      </c>
      <c r="F42" t="str">
        <f>'4 Investigación abierta'!T8</f>
        <v>0</v>
      </c>
      <c r="G42" t="str">
        <f>'4 Investigación abierta'!U8</f>
        <v>0</v>
      </c>
      <c r="H42" t="str">
        <f>'4 Investigación abierta'!V8</f>
        <v>0</v>
      </c>
      <c r="I42" t="str">
        <f>'4 Investigación abierta'!W8</f>
        <v>Anual</v>
      </c>
      <c r="J42">
        <f>'4 Investigación abierta'!X8</f>
        <v>0</v>
      </c>
    </row>
    <row r="44" spans="1:10">
      <c r="A44" s="14">
        <v>7</v>
      </c>
      <c r="B44">
        <f>'4 Investigación abierta'!I12</f>
        <v>0</v>
      </c>
      <c r="C44" t="e">
        <f>'4 Investigación abierta'!#REF!</f>
        <v>#REF!</v>
      </c>
      <c r="D44" t="str">
        <f>'4 Investigación abierta'!R12</f>
        <v>0</v>
      </c>
      <c r="E44" t="str">
        <f>'4 Investigación abierta'!S12</f>
        <v>0</v>
      </c>
      <c r="F44" t="str">
        <f>'4 Investigación abierta'!T12</f>
        <v>0</v>
      </c>
      <c r="G44" t="str">
        <f>'4 Investigación abierta'!U12</f>
        <v>0</v>
      </c>
      <c r="H44" t="str">
        <f>'4 Investigación abierta'!V12</f>
        <v>0</v>
      </c>
      <c r="I44" t="str">
        <f>'4 Investigación abierta'!W12</f>
        <v>Anual</v>
      </c>
      <c r="J44">
        <f>'4 Investigación abierta'!X12</f>
        <v>0</v>
      </c>
    </row>
    <row r="46" spans="1:10">
      <c r="A46" s="14">
        <v>8</v>
      </c>
      <c r="B46">
        <f>'4 Investigación abierta'!I14</f>
        <v>0</v>
      </c>
      <c r="C46" t="e">
        <f>'4 Investigación abierta'!#REF!</f>
        <v>#REF!</v>
      </c>
      <c r="D46" t="str">
        <f>'4 Investigación abierta'!R14</f>
        <v>0</v>
      </c>
      <c r="E46" t="str">
        <f>'4 Investigación abierta'!S14</f>
        <v>0</v>
      </c>
      <c r="F46" t="str">
        <f>'4 Investigación abierta'!T14</f>
        <v>0</v>
      </c>
      <c r="G46" t="str">
        <f>'4 Investigación abierta'!U14</f>
        <v>0</v>
      </c>
      <c r="H46" t="str">
        <f>'4 Investigación abierta'!V14</f>
        <v>0</v>
      </c>
      <c r="I46" t="str">
        <f>'4 Investigación abierta'!W14</f>
        <v>Anual</v>
      </c>
      <c r="J46">
        <f>'4 Investigación abierta'!X14</f>
        <v>0</v>
      </c>
    </row>
    <row r="49" spans="1:10">
      <c r="A49" s="39" t="s">
        <v>602</v>
      </c>
      <c r="B49" s="39"/>
      <c r="C49" s="39"/>
      <c r="D49" s="39"/>
      <c r="E49" s="39"/>
      <c r="F49" s="39"/>
      <c r="G49" s="39"/>
      <c r="H49" s="39"/>
      <c r="I49" s="39"/>
      <c r="J49" s="39"/>
    </row>
    <row r="50" spans="1:10">
      <c r="A50" s="205" t="s">
        <v>597</v>
      </c>
      <c r="B50" s="211" t="s">
        <v>598</v>
      </c>
      <c r="C50" s="207" t="s">
        <v>13</v>
      </c>
      <c r="D50" s="137"/>
      <c r="E50" s="137"/>
      <c r="F50" s="137"/>
      <c r="G50" s="137"/>
      <c r="H50" s="110"/>
      <c r="I50" s="174" t="s">
        <v>14</v>
      </c>
      <c r="J50" s="210" t="s">
        <v>15</v>
      </c>
    </row>
    <row r="51" spans="1:10" ht="24" customHeight="1">
      <c r="A51" s="206"/>
      <c r="B51" s="212"/>
      <c r="C51" s="7" t="s">
        <v>599</v>
      </c>
      <c r="D51" s="4">
        <v>2026</v>
      </c>
      <c r="E51" s="4">
        <v>2027</v>
      </c>
      <c r="F51" s="4">
        <v>2028</v>
      </c>
      <c r="G51" s="4">
        <v>2029</v>
      </c>
      <c r="H51" s="4">
        <v>2030</v>
      </c>
      <c r="I51" s="140"/>
      <c r="J51" s="140"/>
    </row>
    <row r="52" spans="1:10">
      <c r="A52" s="14">
        <v>2</v>
      </c>
      <c r="B52">
        <f>'8 Deporte universitario'!I4</f>
        <v>0</v>
      </c>
      <c r="C52" s="32" t="e">
        <f>'8 Deporte universitario'!#REF!</f>
        <v>#REF!</v>
      </c>
      <c r="D52" s="32" t="str">
        <f>'8 Deporte universitario'!R4</f>
        <v>0</v>
      </c>
      <c r="E52" s="32" t="str">
        <f>'8 Deporte universitario'!S4</f>
        <v>0</v>
      </c>
      <c r="F52" s="32" t="str">
        <f>'8 Deporte universitario'!T4</f>
        <v>0</v>
      </c>
      <c r="G52" s="32" t="str">
        <f>'8 Deporte universitario'!U4</f>
        <v>0</v>
      </c>
      <c r="H52" s="32" t="str">
        <f>'8 Deporte universitario'!V4</f>
        <v>0</v>
      </c>
      <c r="I52" t="str">
        <f>'8 Deporte universitario'!W4</f>
        <v>Anual</v>
      </c>
      <c r="J52">
        <f>'8 Deporte universitario'!X4</f>
        <v>0</v>
      </c>
    </row>
    <row r="53" spans="1:10">
      <c r="C53" s="32"/>
      <c r="D53" s="32"/>
      <c r="E53" s="32"/>
      <c r="F53" s="32"/>
      <c r="G53" s="32"/>
      <c r="H53" s="32"/>
    </row>
    <row r="54" spans="1:10">
      <c r="A54" s="14">
        <v>3</v>
      </c>
      <c r="B54">
        <f>'8 Deporte universitario'!I6</f>
        <v>0</v>
      </c>
      <c r="C54" s="32" t="e">
        <f>'8 Deporte universitario'!#REF!</f>
        <v>#REF!</v>
      </c>
      <c r="D54" s="32" t="str">
        <f>'8 Deporte universitario'!R6</f>
        <v>0</v>
      </c>
      <c r="E54" s="32" t="str">
        <f>'8 Deporte universitario'!S6</f>
        <v>0</v>
      </c>
      <c r="F54" s="32" t="str">
        <f>'8 Deporte universitario'!T6</f>
        <v>0</v>
      </c>
      <c r="G54" s="32" t="str">
        <f>'8 Deporte universitario'!U6</f>
        <v>0</v>
      </c>
      <c r="H54" s="32" t="str">
        <f>'8 Deporte universitario'!V6</f>
        <v>0</v>
      </c>
      <c r="I54" t="str">
        <f>'8 Deporte universitario'!W6</f>
        <v>Anual</v>
      </c>
      <c r="J54">
        <f>'8 Deporte universitario'!X6</f>
        <v>0</v>
      </c>
    </row>
    <row r="55" spans="1:10">
      <c r="C55" s="32"/>
      <c r="D55" s="32"/>
      <c r="E55" s="32"/>
      <c r="F55" s="32"/>
      <c r="G55" s="32"/>
      <c r="H55" s="32"/>
    </row>
    <row r="56" spans="1:10">
      <c r="A56" s="14">
        <v>4</v>
      </c>
      <c r="B56">
        <f>'8 Deporte universitario'!I8</f>
        <v>0</v>
      </c>
      <c r="C56" s="32" t="e">
        <f>'8 Deporte universitario'!#REF!</f>
        <v>#REF!</v>
      </c>
      <c r="D56" s="32" t="str">
        <f>'8 Deporte universitario'!R8</f>
        <v>0</v>
      </c>
      <c r="E56" s="32" t="str">
        <f>'8 Deporte universitario'!S8</f>
        <v>0</v>
      </c>
      <c r="F56" s="32" t="str">
        <f>'8 Deporte universitario'!T8</f>
        <v>0</v>
      </c>
      <c r="G56" s="32" t="str">
        <f>'8 Deporte universitario'!U8</f>
        <v>0</v>
      </c>
      <c r="H56" s="32" t="str">
        <f>'8 Deporte universitario'!V8</f>
        <v>0</v>
      </c>
      <c r="I56" t="str">
        <f>'8 Deporte universitario'!W8</f>
        <v>Anual</v>
      </c>
      <c r="J56">
        <f>'8 Deporte universitario'!X8</f>
        <v>0</v>
      </c>
    </row>
    <row r="59" spans="1:10">
      <c r="A59" s="39" t="s">
        <v>603</v>
      </c>
    </row>
    <row r="60" spans="1:10">
      <c r="A60" s="205" t="s">
        <v>597</v>
      </c>
      <c r="B60" s="211" t="s">
        <v>598</v>
      </c>
      <c r="C60" s="207" t="s">
        <v>13</v>
      </c>
      <c r="D60" s="137"/>
      <c r="E60" s="137"/>
      <c r="F60" s="137"/>
      <c r="G60" s="137"/>
      <c r="H60" s="110"/>
      <c r="I60" s="174" t="s">
        <v>14</v>
      </c>
      <c r="J60" s="210" t="s">
        <v>15</v>
      </c>
    </row>
    <row r="61" spans="1:10" ht="24" customHeight="1">
      <c r="A61" s="206"/>
      <c r="B61" s="212"/>
      <c r="C61" s="7" t="s">
        <v>599</v>
      </c>
      <c r="D61" s="4">
        <v>2026</v>
      </c>
      <c r="E61" s="4">
        <v>2027</v>
      </c>
      <c r="F61" s="4">
        <v>2028</v>
      </c>
      <c r="G61" s="4">
        <v>2029</v>
      </c>
      <c r="H61" s="4">
        <v>2030</v>
      </c>
      <c r="I61" s="140"/>
      <c r="J61" s="140"/>
    </row>
    <row r="62" spans="1:10">
      <c r="A62" s="14">
        <v>1</v>
      </c>
      <c r="B62">
        <f t="array" ref="B62:B63">'9 Fortalecimiento docente'!I3:I4</f>
        <v>0</v>
      </c>
      <c r="C62" t="e">
        <f>'9 Fortalecimiento docente'!#REF!</f>
        <v>#REF!</v>
      </c>
      <c r="D62" t="str">
        <f>'9 Fortalecimiento docente'!R3</f>
        <v>0</v>
      </c>
      <c r="E62" t="str">
        <f>'9 Fortalecimiento docente'!S3</f>
        <v>0</v>
      </c>
      <c r="F62" t="str">
        <f>'9 Fortalecimiento docente'!T3</f>
        <v>0</v>
      </c>
      <c r="G62" t="str">
        <f>'9 Fortalecimiento docente'!U3</f>
        <v>0</v>
      </c>
      <c r="H62" t="str">
        <f>'9 Fortalecimiento docente'!V3</f>
        <v>0</v>
      </c>
      <c r="I62" t="str">
        <f>'9 Fortalecimiento docente'!W3</f>
        <v>Anual</v>
      </c>
      <c r="J62">
        <f>'9 Fortalecimiento docente'!X3</f>
        <v>0</v>
      </c>
    </row>
    <row r="63" spans="1:10">
      <c r="B63">
        <v>0</v>
      </c>
    </row>
    <row r="64" spans="1:10">
      <c r="A64" s="14">
        <v>2</v>
      </c>
      <c r="B64">
        <f t="array" ref="B64:B65">'9 Fortalecimiento docente'!I5:I6</f>
        <v>0</v>
      </c>
      <c r="C64" t="e">
        <f>'9 Fortalecimiento docente'!#REF!</f>
        <v>#REF!</v>
      </c>
      <c r="D64" t="str">
        <f>'9 Fortalecimiento docente'!R5</f>
        <v>0</v>
      </c>
      <c r="E64" t="str">
        <f>'9 Fortalecimiento docente'!S5</f>
        <v>0</v>
      </c>
      <c r="F64" t="str">
        <f>'9 Fortalecimiento docente'!T5</f>
        <v>0</v>
      </c>
      <c r="G64" t="str">
        <f>'9 Fortalecimiento docente'!U5</f>
        <v>0</v>
      </c>
      <c r="H64" t="str">
        <f>'9 Fortalecimiento docente'!V5</f>
        <v>0</v>
      </c>
      <c r="I64" t="str">
        <f>'9 Fortalecimiento docente'!W5</f>
        <v>Anual</v>
      </c>
      <c r="J64">
        <f>'9 Fortalecimiento docente'!X5</f>
        <v>0</v>
      </c>
    </row>
    <row r="65" spans="1:10">
      <c r="B65">
        <v>0</v>
      </c>
    </row>
    <row r="66" spans="1:10">
      <c r="A66" s="14">
        <v>3</v>
      </c>
      <c r="B66">
        <f t="array" ref="B66:B67">'9 Fortalecimiento docente'!I7:I8</f>
        <v>0</v>
      </c>
      <c r="C66" t="e">
        <f>'9 Fortalecimiento docente'!#REF!</f>
        <v>#REF!</v>
      </c>
      <c r="D66" t="str">
        <f>'9 Fortalecimiento docente'!R7</f>
        <v>0</v>
      </c>
      <c r="E66" t="str">
        <f>'9 Fortalecimiento docente'!S7</f>
        <v>0</v>
      </c>
      <c r="F66" t="str">
        <f>'9 Fortalecimiento docente'!T7</f>
        <v>0</v>
      </c>
      <c r="G66" t="str">
        <f>'9 Fortalecimiento docente'!U7</f>
        <v>0</v>
      </c>
      <c r="H66" t="str">
        <f>'9 Fortalecimiento docente'!V7</f>
        <v>0</v>
      </c>
      <c r="I66" t="str">
        <f>'9 Fortalecimiento docente'!W7</f>
        <v>Anual</v>
      </c>
      <c r="J66">
        <f>'9 Fortalecimiento docente'!X7</f>
        <v>0</v>
      </c>
    </row>
    <row r="67" spans="1:10">
      <c r="B67">
        <v>0</v>
      </c>
    </row>
    <row r="68" spans="1:10">
      <c r="A68" s="14">
        <v>4</v>
      </c>
      <c r="B68">
        <f t="array" ref="B68:B69">'9 Fortalecimiento docente'!I9:I10</f>
        <v>0</v>
      </c>
      <c r="C68" t="e">
        <f>'9 Fortalecimiento docente'!#REF!</f>
        <v>#REF!</v>
      </c>
      <c r="D68" t="str">
        <f>'9 Fortalecimiento docente'!R9</f>
        <v>0</v>
      </c>
      <c r="E68" t="str">
        <f>'9 Fortalecimiento docente'!S9</f>
        <v>0</v>
      </c>
      <c r="F68" t="str">
        <f>'9 Fortalecimiento docente'!T9</f>
        <v>0</v>
      </c>
      <c r="G68" t="str">
        <f>'9 Fortalecimiento docente'!U9</f>
        <v>0</v>
      </c>
      <c r="H68" t="str">
        <f>'9 Fortalecimiento docente'!V9</f>
        <v>0</v>
      </c>
      <c r="I68" t="str">
        <f>'9 Fortalecimiento docente'!W9</f>
        <v>Anual</v>
      </c>
      <c r="J68">
        <f>'9 Fortalecimiento docente'!X9</f>
        <v>0</v>
      </c>
    </row>
    <row r="69" spans="1:10">
      <c r="B69">
        <v>0</v>
      </c>
    </row>
    <row r="70" spans="1:10">
      <c r="A70" s="14">
        <v>5</v>
      </c>
      <c r="B70">
        <f t="array" ref="B70:B71">'9 Fortalecimiento docente'!I11:I12</f>
        <v>0</v>
      </c>
      <c r="C70" t="e">
        <f>'9 Fortalecimiento docente'!#REF!</f>
        <v>#REF!</v>
      </c>
      <c r="D70" t="str">
        <f>'9 Fortalecimiento docente'!R11</f>
        <v>0</v>
      </c>
      <c r="E70" t="str">
        <f>'9 Fortalecimiento docente'!S11</f>
        <v>0</v>
      </c>
      <c r="F70" t="str">
        <f>'9 Fortalecimiento docente'!T11</f>
        <v>0</v>
      </c>
      <c r="G70" t="str">
        <f>'9 Fortalecimiento docente'!U11</f>
        <v>0</v>
      </c>
      <c r="H70" t="str">
        <f>'9 Fortalecimiento docente'!V11</f>
        <v>0</v>
      </c>
      <c r="I70" t="str">
        <f>'9 Fortalecimiento docente'!W11</f>
        <v>Anual</v>
      </c>
      <c r="J70">
        <f>'9 Fortalecimiento docente'!X11</f>
        <v>0</v>
      </c>
    </row>
    <row r="71" spans="1:10">
      <c r="B71">
        <v>0</v>
      </c>
    </row>
    <row r="72" spans="1:10">
      <c r="A72" s="14">
        <v>8</v>
      </c>
      <c r="B72">
        <f>'9 Fortalecimiento docente'!I15</f>
        <v>0</v>
      </c>
      <c r="C72" t="e">
        <f>'9 Fortalecimiento docente'!#REF!</f>
        <v>#REF!</v>
      </c>
      <c r="D72" t="str">
        <f>'9 Fortalecimiento docente'!R15</f>
        <v>0</v>
      </c>
      <c r="E72" t="str">
        <f>'9 Fortalecimiento docente'!S15</f>
        <v>0</v>
      </c>
      <c r="F72" t="str">
        <f>'9 Fortalecimiento docente'!T15</f>
        <v>0</v>
      </c>
      <c r="G72" t="str">
        <f>'9 Fortalecimiento docente'!U15</f>
        <v>0</v>
      </c>
      <c r="H72" t="str">
        <f>'9 Fortalecimiento docente'!V15</f>
        <v>0</v>
      </c>
      <c r="I72" t="str">
        <f>'9 Fortalecimiento docente'!W15</f>
        <v>Acumulada</v>
      </c>
      <c r="J72">
        <f>'9 Fortalecimiento docente'!X15</f>
        <v>0</v>
      </c>
    </row>
    <row r="75" spans="1:10">
      <c r="A75" s="39" t="s">
        <v>604</v>
      </c>
    </row>
    <row r="76" spans="1:10">
      <c r="A76" s="205" t="s">
        <v>597</v>
      </c>
      <c r="B76" s="211" t="s">
        <v>598</v>
      </c>
      <c r="C76" s="207" t="s">
        <v>13</v>
      </c>
      <c r="D76" s="137"/>
      <c r="E76" s="137"/>
      <c r="F76" s="137"/>
      <c r="G76" s="137"/>
      <c r="H76" s="110"/>
      <c r="I76" s="174" t="s">
        <v>14</v>
      </c>
      <c r="J76" s="210" t="s">
        <v>15</v>
      </c>
    </row>
    <row r="77" spans="1:10" ht="24" customHeight="1">
      <c r="A77" s="206"/>
      <c r="B77" s="212"/>
      <c r="C77" s="7" t="s">
        <v>599</v>
      </c>
      <c r="D77" s="4">
        <v>2026</v>
      </c>
      <c r="E77" s="4">
        <v>2027</v>
      </c>
      <c r="F77" s="4">
        <v>2028</v>
      </c>
      <c r="G77" s="4">
        <v>2029</v>
      </c>
      <c r="H77" s="4">
        <v>2030</v>
      </c>
      <c r="I77" s="140"/>
      <c r="J77" s="140"/>
    </row>
    <row r="78" spans="1:10">
      <c r="A78" s="14">
        <v>1</v>
      </c>
      <c r="B78">
        <f>'10 Dignificación las y los trab'!I3</f>
        <v>0</v>
      </c>
      <c r="C78" t="e">
        <f>'10 Dignificación las y los trab'!#REF!</f>
        <v>#REF!</v>
      </c>
      <c r="D78" t="str">
        <f>'10 Dignificación las y los trab'!R3</f>
        <v>0</v>
      </c>
      <c r="E78" t="str">
        <f>'10 Dignificación las y los trab'!S3</f>
        <v>0</v>
      </c>
      <c r="F78" t="str">
        <f>'10 Dignificación las y los trab'!T3</f>
        <v>0</v>
      </c>
      <c r="G78" t="str">
        <f>'10 Dignificación las y los trab'!U3</f>
        <v>0</v>
      </c>
      <c r="H78" t="str">
        <f>'10 Dignificación las y los trab'!V3</f>
        <v>0</v>
      </c>
      <c r="I78" t="str">
        <f>'10 Dignificación las y los trab'!W3</f>
        <v>Anual</v>
      </c>
      <c r="J78">
        <f>'10 Dignificación las y los trab'!X3</f>
        <v>0</v>
      </c>
    </row>
    <row r="80" spans="1:10">
      <c r="A80" s="14">
        <v>2</v>
      </c>
      <c r="B80">
        <f>'10 Dignificación las y los trab'!I5</f>
        <v>0</v>
      </c>
      <c r="C80" t="e">
        <f>'10 Dignificación las y los trab'!#REF!</f>
        <v>#REF!</v>
      </c>
      <c r="D80" t="str">
        <f>'10 Dignificación las y los trab'!R5</f>
        <v>0</v>
      </c>
      <c r="E80" t="str">
        <f>'10 Dignificación las y los trab'!S5</f>
        <v>0</v>
      </c>
      <c r="F80" t="str">
        <f>'10 Dignificación las y los trab'!T5</f>
        <v>0</v>
      </c>
      <c r="G80" t="str">
        <f>'10 Dignificación las y los trab'!U5</f>
        <v>0</v>
      </c>
      <c r="H80" t="str">
        <f>'10 Dignificación las y los trab'!V5</f>
        <v>0</v>
      </c>
      <c r="I80" t="str">
        <f>'10 Dignificación las y los trab'!W5</f>
        <v>Anual</v>
      </c>
      <c r="J80">
        <f>'10 Dignificación las y los trab'!X5</f>
        <v>0</v>
      </c>
    </row>
    <row r="82" spans="1:10">
      <c r="A82" s="14">
        <v>3</v>
      </c>
      <c r="B82">
        <f>'10 Dignificación las y los trab'!I7</f>
        <v>0</v>
      </c>
      <c r="C82" t="e">
        <f>'10 Dignificación las y los trab'!#REF!</f>
        <v>#REF!</v>
      </c>
      <c r="D82" t="str">
        <f>'10 Dignificación las y los trab'!R7</f>
        <v>0</v>
      </c>
      <c r="E82" t="str">
        <f>'10 Dignificación las y los trab'!S7</f>
        <v>0</v>
      </c>
      <c r="F82" t="str">
        <f>'10 Dignificación las y los trab'!T7</f>
        <v>0</v>
      </c>
      <c r="G82" t="str">
        <f>'10 Dignificación las y los trab'!U7</f>
        <v>0</v>
      </c>
      <c r="H82" t="str">
        <f>'10 Dignificación las y los trab'!V7</f>
        <v>0</v>
      </c>
      <c r="I82" t="str">
        <f>'10 Dignificación las y los trab'!W7</f>
        <v>Anual</v>
      </c>
      <c r="J82">
        <f>'10 Dignificación las y los trab'!X7</f>
        <v>0</v>
      </c>
    </row>
    <row r="85" spans="1:10">
      <c r="A85" s="39" t="s">
        <v>605</v>
      </c>
    </row>
    <row r="86" spans="1:10">
      <c r="A86" s="205" t="s">
        <v>597</v>
      </c>
      <c r="B86" s="211" t="s">
        <v>598</v>
      </c>
      <c r="C86" s="207" t="s">
        <v>13</v>
      </c>
      <c r="D86" s="137"/>
      <c r="E86" s="137"/>
      <c r="F86" s="137"/>
      <c r="G86" s="137"/>
      <c r="H86" s="110"/>
      <c r="I86" s="174" t="s">
        <v>14</v>
      </c>
      <c r="J86" s="210" t="s">
        <v>15</v>
      </c>
    </row>
    <row r="87" spans="1:10" ht="24" customHeight="1">
      <c r="A87" s="206"/>
      <c r="B87" s="212"/>
      <c r="C87" s="7" t="s">
        <v>599</v>
      </c>
      <c r="D87" s="4">
        <v>2026</v>
      </c>
      <c r="E87" s="4">
        <v>2027</v>
      </c>
      <c r="F87" s="4">
        <v>2028</v>
      </c>
      <c r="G87" s="4">
        <v>2029</v>
      </c>
      <c r="H87" s="4">
        <v>2030</v>
      </c>
      <c r="I87" s="140"/>
      <c r="J87" s="140"/>
    </row>
    <row r="88" spans="1:10">
      <c r="A88" s="14">
        <v>1</v>
      </c>
      <c r="B88">
        <f t="array" ref="B88:B89">'18 Reconocimiento de la diversi'!I3:I4</f>
        <v>0</v>
      </c>
      <c r="C88" t="e">
        <f t="array" ref="C88">'18 Reconocimiento de la diversi'!#REF!</f>
        <v>#REF!</v>
      </c>
      <c r="D88" t="str">
        <f t="array" ref="D88:D89">'18 Reconocimiento de la diversi'!R3:R4</f>
        <v>0</v>
      </c>
      <c r="E88" t="str">
        <f t="array" ref="E88:E89">'18 Reconocimiento de la diversi'!S3:S4</f>
        <v>0</v>
      </c>
      <c r="F88" t="str">
        <f t="array" ref="F88:F89">'18 Reconocimiento de la diversi'!T3:T4</f>
        <v>0</v>
      </c>
      <c r="G88" t="str">
        <f t="array" ref="G88:G89">'18 Reconocimiento de la diversi'!U3:U4</f>
        <v>0</v>
      </c>
      <c r="H88" t="str">
        <f t="array" ref="H88:H89">'18 Reconocimiento de la diversi'!V3:V4</f>
        <v>0</v>
      </c>
      <c r="I88" t="str">
        <f t="array" ref="I88:I89">'18 Reconocimiento de la diversi'!W3:W4</f>
        <v>Anual</v>
      </c>
      <c r="J88">
        <f t="array" ref="J88:J89">'18 Reconocimiento de la diversi'!X3:X4</f>
        <v>0</v>
      </c>
    </row>
    <row r="89" spans="1:10">
      <c r="B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s="14">
        <v>3</v>
      </c>
      <c r="B90">
        <f t="array" ref="B90:B91">'18 Reconocimiento de la diversi'!I6:I7</f>
        <v>0</v>
      </c>
      <c r="C90" t="e">
        <f t="array" ref="C90">'18 Reconocimiento de la diversi'!#REF!</f>
        <v>#REF!</v>
      </c>
      <c r="D90" t="str">
        <f t="array" ref="D90:D91">'18 Reconocimiento de la diversi'!R6:R7</f>
        <v>0</v>
      </c>
      <c r="E90" t="str">
        <f t="array" ref="E90:E91">'18 Reconocimiento de la diversi'!S6:S7</f>
        <v>0</v>
      </c>
      <c r="F90" t="str">
        <f t="array" ref="F90:F91">'18 Reconocimiento de la diversi'!T6:T7</f>
        <v>0</v>
      </c>
      <c r="G90" t="str">
        <f t="array" ref="G90:G91">'18 Reconocimiento de la diversi'!U6:U7</f>
        <v>0</v>
      </c>
      <c r="H90" t="str">
        <f t="array" ref="H90:H91">'18 Reconocimiento de la diversi'!V6:V7</f>
        <v>0</v>
      </c>
      <c r="I90" t="str">
        <f t="array" ref="I90:I91">'18 Reconocimiento de la diversi'!W6:W7</f>
        <v>Anual</v>
      </c>
      <c r="J90">
        <f t="array" ref="J90:J91">'18 Reconocimiento de la diversi'!X6:X7</f>
        <v>0</v>
      </c>
    </row>
    <row r="91" spans="1:10">
      <c r="B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3" spans="1:10">
      <c r="A93" s="39" t="s">
        <v>606</v>
      </c>
    </row>
    <row r="94" spans="1:10">
      <c r="A94" s="205" t="s">
        <v>597</v>
      </c>
      <c r="B94" s="211" t="s">
        <v>598</v>
      </c>
      <c r="C94" s="207" t="s">
        <v>13</v>
      </c>
      <c r="D94" s="137"/>
      <c r="E94" s="137"/>
      <c r="F94" s="137"/>
      <c r="G94" s="137"/>
      <c r="H94" s="110"/>
      <c r="I94" s="174" t="s">
        <v>14</v>
      </c>
      <c r="J94" s="210" t="s">
        <v>15</v>
      </c>
    </row>
    <row r="95" spans="1:10" ht="24" customHeight="1">
      <c r="A95" s="206"/>
      <c r="B95" s="212"/>
      <c r="C95" s="7" t="s">
        <v>599</v>
      </c>
      <c r="D95" s="4">
        <v>2026</v>
      </c>
      <c r="E95" s="4">
        <v>2027</v>
      </c>
      <c r="F95" s="4">
        <v>2028</v>
      </c>
      <c r="G95" s="4">
        <v>2029</v>
      </c>
      <c r="H95" s="4">
        <v>2030</v>
      </c>
      <c r="I95" s="140"/>
      <c r="J95" s="140"/>
    </row>
    <row r="96" spans="1:10">
      <c r="A96" s="14">
        <v>1</v>
      </c>
      <c r="B96" t="str">
        <f t="array" ref="B96">'19 Constr cultura de paz '!I3:I3</f>
        <v>Mantener al menos 5 acciones de capacitación registradas en cada medición anual de 2027 a 2030.</v>
      </c>
      <c r="C96" t="e">
        <f t="array" ref="C96">'19 Constr cultura de paz '!#REF!</f>
        <v>#REF!</v>
      </c>
      <c r="D96">
        <f t="array" ref="D96">'19 Constr cultura de paz '!R3:R3</f>
        <v>5</v>
      </c>
      <c r="E96">
        <f t="array" ref="E96">'19 Constr cultura de paz '!S3:S3</f>
        <v>5</v>
      </c>
      <c r="F96">
        <f t="array" ref="F96">'19 Constr cultura de paz '!T3:T3</f>
        <v>5</v>
      </c>
      <c r="G96">
        <f t="array" ref="G96">'19 Constr cultura de paz '!U3:U3</f>
        <v>5</v>
      </c>
      <c r="H96">
        <f t="array" ref="H96">'19 Constr cultura de paz '!V3:V3</f>
        <v>5</v>
      </c>
      <c r="I96" t="str">
        <f t="array" ref="I96">'19 Constr cultura de paz '!W3:W3</f>
        <v>Anual</v>
      </c>
      <c r="J96" t="str">
        <f t="array" ref="J96">'19 Constr cultura de paz '!X3:X3</f>
        <v>Por validar con el área responsable</v>
      </c>
    </row>
    <row r="98" spans="1:10">
      <c r="A98" s="14">
        <v>5</v>
      </c>
      <c r="B98">
        <f t="array" ref="B98:B99">'19 Constr cultura de paz '!I7:I8</f>
        <v>0</v>
      </c>
      <c r="C98" t="e">
        <f t="array" ref="C98">'19 Constr cultura de paz '!#REF!</f>
        <v>#REF!</v>
      </c>
      <c r="D98" t="str">
        <f t="array" ref="D98:D99">'19 Constr cultura de paz '!R7:R8</f>
        <v>0</v>
      </c>
      <c r="E98" t="str">
        <f t="array" ref="E98:E99">'19 Constr cultura de paz '!S7:S8</f>
        <v>0</v>
      </c>
      <c r="F98" t="str">
        <f t="array" ref="F98:F99">'19 Constr cultura de paz '!T7:T8</f>
        <v>0</v>
      </c>
      <c r="G98" t="str">
        <f t="array" ref="G98:G99">'19 Constr cultura de paz '!U7:U8</f>
        <v>0</v>
      </c>
      <c r="H98" t="str">
        <f t="array" ref="H98:H99">'19 Constr cultura de paz '!V7:V8</f>
        <v>0</v>
      </c>
      <c r="I98" t="str">
        <f t="array" ref="I98:I99">'19 Constr cultura de paz '!W7:W8</f>
        <v xml:space="preserve">Anual </v>
      </c>
      <c r="J98">
        <f t="array" ref="J98:J99">'19 Constr cultura de paz '!X7:X8</f>
        <v>0</v>
      </c>
    </row>
    <row r="99" spans="1:10">
      <c r="B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1" spans="1:10">
      <c r="A101" s="39" t="s">
        <v>607</v>
      </c>
    </row>
    <row r="102" spans="1:10">
      <c r="A102" s="205" t="s">
        <v>597</v>
      </c>
      <c r="B102" s="211" t="s">
        <v>598</v>
      </c>
      <c r="C102" s="207" t="s">
        <v>13</v>
      </c>
      <c r="D102" s="137"/>
      <c r="E102" s="137"/>
      <c r="F102" s="137"/>
      <c r="G102" s="137"/>
      <c r="H102" s="110"/>
      <c r="I102" s="174" t="s">
        <v>14</v>
      </c>
      <c r="J102" s="210" t="s">
        <v>15</v>
      </c>
    </row>
    <row r="103" spans="1:10" ht="24" customHeight="1">
      <c r="A103" s="206"/>
      <c r="B103" s="212"/>
      <c r="C103" s="7" t="s">
        <v>599</v>
      </c>
      <c r="D103" s="4">
        <v>2026</v>
      </c>
      <c r="E103" s="4">
        <v>2027</v>
      </c>
      <c r="F103" s="4">
        <v>2028</v>
      </c>
      <c r="G103" s="4">
        <v>2029</v>
      </c>
      <c r="H103" s="4"/>
      <c r="I103" s="140"/>
      <c r="J103" s="140"/>
    </row>
    <row r="104" spans="1:10">
      <c r="A104" s="14">
        <v>7</v>
      </c>
      <c r="B104">
        <f t="array" ref="B104:B105">'20 Retribución social '!I9:I10</f>
        <v>0</v>
      </c>
      <c r="C104" t="e">
        <f t="array" ref="C104">'20 Retribución social '!#REF!</f>
        <v>#REF!</v>
      </c>
      <c r="D104" t="str">
        <f t="array" ref="D104:D105">'20 Retribución social '!R9:R10</f>
        <v>0</v>
      </c>
      <c r="E104" t="str">
        <f t="array" ref="E104:E105">'20 Retribución social '!S9:S10</f>
        <v>0</v>
      </c>
      <c r="F104" t="str">
        <f t="array" ref="F104:F105">'20 Retribución social '!T9:T10</f>
        <v>0</v>
      </c>
      <c r="G104" t="str">
        <f t="array" ref="G104:G105">'20 Retribución social '!U9:U10</f>
        <v>0</v>
      </c>
      <c r="H104" t="str">
        <f t="array" ref="H104:H105">'20 Retribución social '!V9:V10</f>
        <v>0</v>
      </c>
      <c r="I104" t="str">
        <f t="array" ref="I104:I105">'20 Retribución social '!W9:W10</f>
        <v>Anual</v>
      </c>
      <c r="J104">
        <f t="array" ref="J104:J105">'20 Retribución social '!X9:X10</f>
        <v>0</v>
      </c>
    </row>
    <row r="105" spans="1:10">
      <c r="B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</sheetData>
  <mergeCells count="48">
    <mergeCell ref="I6:I7"/>
    <mergeCell ref="C102:G102"/>
    <mergeCell ref="I86:I87"/>
    <mergeCell ref="B50:B51"/>
    <mergeCell ref="A30:A31"/>
    <mergeCell ref="B76:B77"/>
    <mergeCell ref="B30:B31"/>
    <mergeCell ref="I50:I51"/>
    <mergeCell ref="J76:J77"/>
    <mergeCell ref="A102:A103"/>
    <mergeCell ref="B94:B95"/>
    <mergeCell ref="J50:J51"/>
    <mergeCell ref="C76:G76"/>
    <mergeCell ref="I60:I61"/>
    <mergeCell ref="C36:G36"/>
    <mergeCell ref="I94:I95"/>
    <mergeCell ref="B102:B103"/>
    <mergeCell ref="A36:A37"/>
    <mergeCell ref="A4:J4"/>
    <mergeCell ref="J6:J7"/>
    <mergeCell ref="J102:J103"/>
    <mergeCell ref="A6:A7"/>
    <mergeCell ref="J86:J87"/>
    <mergeCell ref="A50:A51"/>
    <mergeCell ref="J30:J31"/>
    <mergeCell ref="C94:G94"/>
    <mergeCell ref="A86:A87"/>
    <mergeCell ref="B60:B61"/>
    <mergeCell ref="C50:G50"/>
    <mergeCell ref="J36:J37"/>
    <mergeCell ref="I102:I103"/>
    <mergeCell ref="B6:B7"/>
    <mergeCell ref="A94:A95"/>
    <mergeCell ref="I76:I77"/>
    <mergeCell ref="C30:G30"/>
    <mergeCell ref="I30:I31"/>
    <mergeCell ref="A5:J5"/>
    <mergeCell ref="J60:J61"/>
    <mergeCell ref="C86:G86"/>
    <mergeCell ref="C6:G6"/>
    <mergeCell ref="A60:A61"/>
    <mergeCell ref="B86:B87"/>
    <mergeCell ref="I36:I37"/>
    <mergeCell ref="A29:J29"/>
    <mergeCell ref="A76:A77"/>
    <mergeCell ref="J94:J95"/>
    <mergeCell ref="B36:B37"/>
    <mergeCell ref="C60:G6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39997558519241921"/>
  </sheetPr>
  <dimension ref="A1:P224"/>
  <sheetViews>
    <sheetView showGridLines="0" topLeftCell="A198" zoomScale="85" zoomScaleNormal="85" workbookViewId="0">
      <selection activeCell="I178" sqref="I178"/>
    </sheetView>
  </sheetViews>
  <sheetFormatPr baseColWidth="10" defaultColWidth="11.44140625" defaultRowHeight="15"/>
  <cols>
    <col min="1" max="1" width="11.44140625" style="33" customWidth="1"/>
    <col min="2" max="2" width="29.6640625" style="33" customWidth="1"/>
    <col min="3" max="8" width="10.44140625" style="35" customWidth="1"/>
    <col min="9" max="9" width="12.6640625" style="35" customWidth="1"/>
    <col min="10" max="10" width="20.33203125" style="35" customWidth="1"/>
    <col min="11" max="11" width="11.88671875" style="33" bestFit="1" customWidth="1"/>
    <col min="12" max="12" width="11.44140625" style="33" customWidth="1"/>
    <col min="13" max="13" width="12.5546875" style="33" bestFit="1" customWidth="1"/>
    <col min="14" max="16" width="11.44140625" style="33" customWidth="1"/>
    <col min="17" max="16384" width="11.44140625" style="33"/>
  </cols>
  <sheetData>
    <row r="1" spans="1:11" ht="21.75" customHeight="1">
      <c r="F1" s="223" t="s">
        <v>608</v>
      </c>
      <c r="G1" s="219"/>
      <c r="H1" s="219"/>
      <c r="I1" s="219"/>
      <c r="J1" s="34">
        <v>46265</v>
      </c>
    </row>
    <row r="2" spans="1:11">
      <c r="K2" s="36"/>
    </row>
    <row r="4" spans="1:11" ht="19.5" customHeight="1">
      <c r="A4" s="221" t="s">
        <v>595</v>
      </c>
      <c r="B4" s="218"/>
      <c r="C4" s="219"/>
      <c r="D4" s="219"/>
      <c r="E4" s="219"/>
      <c r="F4" s="219"/>
      <c r="G4" s="219"/>
      <c r="H4" s="219"/>
      <c r="I4" s="219"/>
      <c r="J4" s="219"/>
    </row>
    <row r="5" spans="1:11" ht="16.5" customHeight="1">
      <c r="A5" s="217" t="s">
        <v>609</v>
      </c>
      <c r="B5" s="218"/>
      <c r="C5" s="219"/>
      <c r="D5" s="219"/>
      <c r="E5" s="219"/>
      <c r="F5" s="219"/>
      <c r="G5" s="219"/>
      <c r="H5" s="219"/>
      <c r="I5" s="219"/>
      <c r="J5" s="219"/>
    </row>
    <row r="6" spans="1:11">
      <c r="A6" s="220" t="s">
        <v>610</v>
      </c>
      <c r="B6" s="215" t="s">
        <v>598</v>
      </c>
      <c r="C6" s="215" t="s">
        <v>16</v>
      </c>
      <c r="D6" s="215">
        <v>2027</v>
      </c>
      <c r="E6" s="215">
        <v>2028</v>
      </c>
      <c r="F6" s="215">
        <v>2029</v>
      </c>
      <c r="G6" s="54" t="str">
        <f>TEXT($J$1,"mmmm")</f>
        <v>agosto</v>
      </c>
      <c r="H6" s="215" t="s">
        <v>611</v>
      </c>
      <c r="I6" s="215" t="s">
        <v>15</v>
      </c>
      <c r="J6" s="33"/>
    </row>
    <row r="7" spans="1:11" ht="16.5" customHeight="1" thickBot="1">
      <c r="A7" s="216"/>
      <c r="B7" s="216"/>
      <c r="C7" s="216"/>
      <c r="D7" s="216"/>
      <c r="E7" s="216"/>
      <c r="F7" s="216"/>
      <c r="G7" s="55">
        <v>2030</v>
      </c>
      <c r="H7" s="216"/>
      <c r="I7" s="216"/>
      <c r="J7" s="33"/>
    </row>
    <row r="8" spans="1:11" ht="16.5" customHeight="1" thickBot="1">
      <c r="A8" s="56">
        <v>1</v>
      </c>
      <c r="B8" s="57" t="str">
        <f>IF('2 EstudiantadoEstProf'!I3&lt;&gt;0,'2 EstudiantadoEstProf'!I3," -")</f>
        <v>meta fac</v>
      </c>
      <c r="C8" s="58" t="str">
        <f>IF('2 EstudiantadoEstProf'!R3&lt;&gt;0,'2 EstudiantadoEstProf'!R3,"-")</f>
        <v>-</v>
      </c>
      <c r="D8" s="58" t="str">
        <f>IF('2 EstudiantadoEstProf'!S3&lt;&gt;0,'2 EstudiantadoEstProf'!S3,"-")</f>
        <v>-</v>
      </c>
      <c r="E8" s="58" t="str">
        <f>IF('2 EstudiantadoEstProf'!T3&lt;&gt;0,'2 EstudiantadoEstProf'!T3,"-")</f>
        <v>-</v>
      </c>
      <c r="F8" s="58" t="str">
        <f>IF('2 EstudiantadoEstProf'!U3&lt;&gt;0,'2 EstudiantadoEstProf'!U3,"-")</f>
        <v>-</v>
      </c>
      <c r="G8" s="58" t="str">
        <f>IF('2 EstudiantadoEstProf'!V3&lt;&gt;0,'2 EstudiantadoEstProf'!V3,"-")</f>
        <v>-</v>
      </c>
      <c r="H8" s="58" t="str">
        <f>'2 EstudiantadoEstProf'!W3</f>
        <v>Anual</v>
      </c>
      <c r="I8" s="58" t="str">
        <f>IF('2 EstudiantadoEstProf'!X3&lt;&gt;0,'2 EstudiantadoEstProf'!X3,"-")</f>
        <v>-</v>
      </c>
      <c r="J8" s="33"/>
    </row>
    <row r="9" spans="1:11" ht="16.5" customHeight="1" thickBot="1">
      <c r="A9" s="56">
        <v>2</v>
      </c>
      <c r="B9" s="57" t="str">
        <f>IF('2 EstudiantadoEstProf'!I4&lt;&gt;0,'2 EstudiantadoEstProf'!I4," -")</f>
        <v xml:space="preserve"> -</v>
      </c>
      <c r="C9" s="58" t="str">
        <f>IF('2 EstudiantadoEstProf'!R4&lt;&gt;0,'2 EstudiantadoEstProf'!R4,"-")</f>
        <v>-</v>
      </c>
      <c r="D9" s="58" t="str">
        <f>IF('2 EstudiantadoEstProf'!S4&lt;&gt;0,'2 EstudiantadoEstProf'!S4,"-")</f>
        <v>-</v>
      </c>
      <c r="E9" s="58" t="str">
        <f>IF('2 EstudiantadoEstProf'!T4&lt;&gt;0,'2 EstudiantadoEstProf'!T4,"-")</f>
        <v>-</v>
      </c>
      <c r="F9" s="58" t="str">
        <f>IF('2 EstudiantadoEstProf'!U4&lt;&gt;0,'2 EstudiantadoEstProf'!U4,"-")</f>
        <v>-</v>
      </c>
      <c r="G9" s="58" t="str">
        <f>IF('2 EstudiantadoEstProf'!V4&lt;&gt;0,'2 EstudiantadoEstProf'!V4,"-")</f>
        <v>-</v>
      </c>
      <c r="H9" s="58" t="str">
        <f>'2 EstudiantadoEstProf'!W4</f>
        <v>Anual</v>
      </c>
      <c r="I9" s="58" t="str">
        <f>IF('2 EstudiantadoEstProf'!X4&lt;&gt;0,'2 EstudiantadoEstProf'!X4,"-")</f>
        <v>-</v>
      </c>
      <c r="J9" s="33"/>
    </row>
    <row r="10" spans="1:11" ht="16.5" customHeight="1" thickBot="1">
      <c r="A10" s="56">
        <v>3</v>
      </c>
      <c r="B10" s="59" t="str">
        <f>IF('Indicadores x proyec'!B8&lt;&gt;0,'Indicadores x proyec'!B8,"-")</f>
        <v>-</v>
      </c>
      <c r="C10" s="60" t="str">
        <f>IF('Indicadores x proyec'!D8/100&lt;&gt;0,'Indicadores x proyec'!D8/100,"-")</f>
        <v>-</v>
      </c>
      <c r="D10" s="60" t="str">
        <f>IF('Indicadores x proyec'!E8/100&lt;&gt;0,'Indicadores x proyec'!E8/100,"-")</f>
        <v>-</v>
      </c>
      <c r="E10" s="60" t="str">
        <f>IF('Indicadores x proyec'!F8/100&lt;&gt;0,'Indicadores x proyec'!F8/100,"-")</f>
        <v>-</v>
      </c>
      <c r="F10" s="60" t="str">
        <f>IF('Indicadores x proyec'!G8/100&lt;&gt;0,'Indicadores x proyec'!G8/100,"-")</f>
        <v>-</v>
      </c>
      <c r="G10" s="60" t="str">
        <f>IF('Indicadores x proyec'!H8/100&lt;&gt;0,'Indicadores x proyec'!H8/100,"-")</f>
        <v>-</v>
      </c>
      <c r="H10" s="60" t="str">
        <f>'Indicadores x proyec'!I10</f>
        <v>Anual</v>
      </c>
      <c r="I10" s="58" t="str">
        <f>IF('Indicadores x proyec'!J8&lt;&gt;0,'Indicadores x proyec'!J8,"-")</f>
        <v>-</v>
      </c>
      <c r="J10" s="33"/>
    </row>
    <row r="11" spans="1:11" ht="16.5" customHeight="1" thickBot="1">
      <c r="A11" s="56">
        <v>4</v>
      </c>
      <c r="B11" s="59" t="str">
        <f>IF('Indicadores x proyec'!B10&lt;&gt;0,'Indicadores x proyec'!B10,"-")</f>
        <v>-</v>
      </c>
      <c r="C11" s="60" t="str">
        <f>IF('Indicadores x proyec'!D10/100&lt;&gt;0,'Indicadores x proyec'!D10/100,"-")</f>
        <v>-</v>
      </c>
      <c r="D11" s="60" t="str">
        <f>IF('Indicadores x proyec'!E10/100&lt;&gt;0,'Indicadores x proyec'!E10/100,"-")</f>
        <v>-</v>
      </c>
      <c r="E11" s="60" t="str">
        <f>IF('Indicadores x proyec'!F10/100&lt;&gt;0,'Indicadores x proyec'!F10/100,"-")</f>
        <v>-</v>
      </c>
      <c r="F11" s="60" t="str">
        <f>IF('Indicadores x proyec'!G10/100&lt;&gt;0,'Indicadores x proyec'!G10/100,"-")</f>
        <v>-</v>
      </c>
      <c r="G11" s="60" t="str">
        <f>IF('Indicadores x proyec'!H10/100&lt;&gt;0,'Indicadores x proyec'!H10/100,"-")</f>
        <v>-</v>
      </c>
      <c r="H11" s="60" t="str">
        <f>'Indicadores x proyec'!I10</f>
        <v>Anual</v>
      </c>
      <c r="I11" s="58" t="str">
        <f>IF('Indicadores x proyec'!J10&lt;&gt;0,'Indicadores x proyec'!J10,"-")</f>
        <v>-</v>
      </c>
      <c r="J11" s="33"/>
    </row>
    <row r="12" spans="1:11" ht="16.5" customHeight="1" thickBot="1">
      <c r="A12" s="56">
        <v>5</v>
      </c>
      <c r="B12" s="59" t="str">
        <f>IF('Indicadores x proyec'!B12&lt;&gt;0,'Indicadores x proyec'!B12,"-")</f>
        <v>-</v>
      </c>
      <c r="C12" s="60" t="str">
        <f>IF('Indicadores x proyec'!D12/100&lt;&gt;0,'Indicadores x proyec'!D12/100,"-")</f>
        <v>-</v>
      </c>
      <c r="D12" s="60" t="str">
        <f>IF('Indicadores x proyec'!E12/100&lt;&gt;0,'Indicadores x proyec'!E12/100,"-")</f>
        <v>-</v>
      </c>
      <c r="E12" s="60" t="str">
        <f>IF('Indicadores x proyec'!F12/100&lt;&gt;0,'Indicadores x proyec'!F12/100,"-")</f>
        <v>-</v>
      </c>
      <c r="F12" s="60" t="str">
        <f>IF('Indicadores x proyec'!G12/100&lt;&gt;0,'Indicadores x proyec'!G12/100,"-")</f>
        <v>-</v>
      </c>
      <c r="G12" s="60" t="str">
        <f>IF('Indicadores x proyec'!H12/100&lt;&gt;0,'Indicadores x proyec'!H12/100,"-")</f>
        <v>-</v>
      </c>
      <c r="H12" s="60" t="str">
        <f>'Indicadores x proyec'!I12</f>
        <v>Anual</v>
      </c>
      <c r="I12" s="58" t="str">
        <f>IF('Indicadores x proyec'!J12&lt;&gt;0,'Indicadores x proyec'!J12,"-")</f>
        <v>-</v>
      </c>
      <c r="J12" s="33"/>
    </row>
    <row r="13" spans="1:11" ht="16.5" customHeight="1" thickBot="1">
      <c r="A13" s="56">
        <v>6</v>
      </c>
      <c r="B13" s="57" t="str">
        <f>IF('2 EstudiantadoEstProf'!I11&lt;&gt;0,'2 EstudiantadoEstProf'!I11,"-")</f>
        <v>-</v>
      </c>
      <c r="C13" s="58" t="str">
        <f>IF('2 EstudiantadoEstProf'!R11&lt;&gt;0,'2 EstudiantadoEstProf'!R11,"-")</f>
        <v>-</v>
      </c>
      <c r="D13" s="58" t="str">
        <f>IF('2 EstudiantadoEstProf'!S11&lt;&gt;0,'2 EstudiantadoEstProf'!S11,"-")</f>
        <v>-</v>
      </c>
      <c r="E13" s="58" t="str">
        <f>IF('2 EstudiantadoEstProf'!T11&lt;&gt;0,'2 EstudiantadoEstProf'!T11,"-")</f>
        <v>-</v>
      </c>
      <c r="F13" s="58" t="str">
        <f>IF('2 EstudiantadoEstProf'!U11&lt;&gt;0,'2 EstudiantadoEstProf'!U11,"-")</f>
        <v>-</v>
      </c>
      <c r="G13" s="58" t="str">
        <f>IF('2 EstudiantadoEstProf'!V11&lt;&gt;0,'2 EstudiantadoEstProf'!V11,"-")</f>
        <v>-</v>
      </c>
      <c r="H13" s="58" t="str">
        <f>'2 EstudiantadoEstProf'!W11</f>
        <v>Anual</v>
      </c>
      <c r="I13" s="58" t="str">
        <f>IF('2 EstudiantadoEstProf'!X11&lt;&gt;0,'2 EstudiantadoEstProf'!X11,"-")</f>
        <v>-</v>
      </c>
      <c r="J13" s="33"/>
    </row>
    <row r="14" spans="1:11" ht="16.5" customHeight="1" thickBot="1">
      <c r="A14" s="56">
        <v>7</v>
      </c>
      <c r="B14" s="57" t="str">
        <f>IF('2 EstudiantadoEstProf'!I12&lt;&gt;0,'2 EstudiantadoEstProf'!I12,"-")</f>
        <v>-</v>
      </c>
      <c r="C14" s="58" t="str">
        <f>IF('2 EstudiantadoEstProf'!R12&lt;&gt;0,'2 EstudiantadoEstProf'!R12,"-")</f>
        <v>-</v>
      </c>
      <c r="D14" s="58" t="str">
        <f>IF('2 EstudiantadoEstProf'!S12&lt;&gt;0,'2 EstudiantadoEstProf'!S12,"-")</f>
        <v>-</v>
      </c>
      <c r="E14" s="58" t="str">
        <f>IF('2 EstudiantadoEstProf'!T12&lt;&gt;0,'2 EstudiantadoEstProf'!T12,"-")</f>
        <v>-</v>
      </c>
      <c r="F14" s="58" t="str">
        <f>IF('2 EstudiantadoEstProf'!U12&lt;&gt;0,'2 EstudiantadoEstProf'!U12,"-")</f>
        <v>-</v>
      </c>
      <c r="G14" s="58" t="str">
        <f>IF('2 EstudiantadoEstProf'!V12&lt;&gt;0,'2 EstudiantadoEstProf'!V12,"-")</f>
        <v>-</v>
      </c>
      <c r="H14" s="58" t="str">
        <f>'2 EstudiantadoEstProf'!W12</f>
        <v>Anual</v>
      </c>
      <c r="I14" s="58" t="str">
        <f>IF('2 EstudiantadoEstProf'!X12&lt;&gt;0,'2 EstudiantadoEstProf'!X12,"-")</f>
        <v>-</v>
      </c>
      <c r="J14" s="33"/>
    </row>
    <row r="15" spans="1:11" ht="16.5" customHeight="1" thickBot="1">
      <c r="A15" s="56">
        <v>8</v>
      </c>
      <c r="B15" s="59" t="str">
        <f>IF('Indicadores x proyec'!B14&lt;&gt;0,'Indicadores x proyec'!B14,"-")</f>
        <v>-</v>
      </c>
      <c r="C15" s="60" t="str">
        <f>IF('Indicadores x proyec'!D14/100&lt;&gt;0,'Indicadores x proyec'!D14/100,"-")</f>
        <v>-</v>
      </c>
      <c r="D15" s="60" t="str">
        <f>IF('Indicadores x proyec'!E14/100&lt;&gt;0,'Indicadores x proyec'!E14/100,"-")</f>
        <v>-</v>
      </c>
      <c r="E15" s="60" t="str">
        <f>IF('Indicadores x proyec'!F14/100&lt;&gt;0,'Indicadores x proyec'!F14/100,"-")</f>
        <v>-</v>
      </c>
      <c r="F15" s="60" t="str">
        <f>IF('Indicadores x proyec'!G14/100&lt;&gt;0,'Indicadores x proyec'!G14/100,"-")</f>
        <v>-</v>
      </c>
      <c r="G15" s="60" t="str">
        <f>IF('Indicadores x proyec'!H14/100&lt;&gt;0,'Indicadores x proyec'!H14/100,"-")</f>
        <v>-</v>
      </c>
      <c r="H15" s="58" t="str">
        <f>'Indicadores x proyec'!I14</f>
        <v>Anual</v>
      </c>
      <c r="I15" s="60" t="str">
        <f>IF('Indicadores x proyec'!J14&lt;&gt;0,'Indicadores x proyec'!J14,"-")</f>
        <v>-</v>
      </c>
      <c r="J15" s="33"/>
    </row>
    <row r="16" spans="1:11" ht="16.5" customHeight="1" thickBot="1">
      <c r="A16" s="56">
        <v>9</v>
      </c>
      <c r="B16" s="57" t="str">
        <f>IF('2 EstudiantadoEstProf'!I15&lt;&gt;0,'2 EstudiantadoEstProf'!I15,"-")</f>
        <v>-</v>
      </c>
      <c r="C16" s="58" t="str">
        <f>IF('2 EstudiantadoEstProf'!R15&lt;&gt;0,'2 EstudiantadoEstProf'!R15,"-")</f>
        <v>-</v>
      </c>
      <c r="D16" s="58" t="str">
        <f>IF('2 EstudiantadoEstProf'!S15&lt;&gt;0,'2 EstudiantadoEstProf'!S15,"-")</f>
        <v>-</v>
      </c>
      <c r="E16" s="58" t="str">
        <f>IF('2 EstudiantadoEstProf'!T15&lt;&gt;0,'2 EstudiantadoEstProf'!T15,"-")</f>
        <v>-</v>
      </c>
      <c r="F16" s="58" t="str">
        <f>IF('2 EstudiantadoEstProf'!U15&lt;&gt;0,'2 EstudiantadoEstProf'!U15,"-")</f>
        <v>-</v>
      </c>
      <c r="G16" s="58" t="str">
        <f>IF('2 EstudiantadoEstProf'!V15&lt;&gt;0,'2 EstudiantadoEstProf'!V15,"-")</f>
        <v>-</v>
      </c>
      <c r="H16" s="58" t="str">
        <f>IF('2 EstudiantadoEstProf'!W15&lt;&gt;0,'2 EstudiantadoEstProf'!W15,"-")</f>
        <v>Anual</v>
      </c>
      <c r="I16" s="58" t="str">
        <f>IF('2 EstudiantadoEstProf'!X15&lt;&gt;0,'2 EstudiantadoEstProf'!X15,"-")</f>
        <v>-</v>
      </c>
      <c r="J16" s="33"/>
    </row>
    <row r="17" spans="1:16" ht="16.5" customHeight="1" thickBot="1">
      <c r="A17" s="56">
        <v>10</v>
      </c>
      <c r="B17" s="57" t="str">
        <f>IF('2 EstudiantadoEstProf'!I16&lt;&gt;0,'2 EstudiantadoEstProf'!I16,"-")</f>
        <v>-</v>
      </c>
      <c r="C17" s="58" t="str">
        <f>IF('2 EstudiantadoEstProf'!R16&lt;&gt;0,'2 EstudiantadoEstProf'!R16,"-")</f>
        <v>-</v>
      </c>
      <c r="D17" s="58" t="str">
        <f>IF('2 EstudiantadoEstProf'!S16&lt;&gt;0,'2 EstudiantadoEstProf'!S16,"-")</f>
        <v>-</v>
      </c>
      <c r="E17" s="58" t="str">
        <f>IF('2 EstudiantadoEstProf'!T16&lt;&gt;0,'2 EstudiantadoEstProf'!T16,"-")</f>
        <v>-</v>
      </c>
      <c r="F17" s="58" t="str">
        <f>IF('2 EstudiantadoEstProf'!U16&lt;&gt;0,'2 EstudiantadoEstProf'!U16,"-")</f>
        <v>-</v>
      </c>
      <c r="G17" s="58" t="str">
        <f>IF('2 EstudiantadoEstProf'!V16&lt;&gt;0,'2 EstudiantadoEstProf'!V16,"-")</f>
        <v>-</v>
      </c>
      <c r="H17" s="58" t="str">
        <f>IF('2 EstudiantadoEstProf'!W16&lt;&gt;0,'2 EstudiantadoEstProf'!W16,"-")</f>
        <v>Anual</v>
      </c>
      <c r="I17" s="58" t="str">
        <f>IF('2 EstudiantadoEstProf'!X16&lt;&gt;0,'2 EstudiantadoEstProf'!X16,"-")</f>
        <v>-</v>
      </c>
      <c r="J17" s="33"/>
    </row>
    <row r="18" spans="1:16" ht="16.5" customHeight="1" thickBot="1">
      <c r="A18" s="56">
        <v>11</v>
      </c>
      <c r="B18" s="57" t="str">
        <f>IF('2 EstudiantadoEstProf'!I17&lt;&gt;0,'2 EstudiantadoEstProf'!I17,"-")</f>
        <v>-</v>
      </c>
      <c r="C18" s="58" t="str">
        <f>IF('2 EstudiantadoEstProf'!R17&lt;&gt;0,'2 EstudiantadoEstProf'!R17,"-")</f>
        <v>-</v>
      </c>
      <c r="D18" s="58" t="str">
        <f>IF('2 EstudiantadoEstProf'!S17&lt;&gt;0,'2 EstudiantadoEstProf'!S17,"-")</f>
        <v>-</v>
      </c>
      <c r="E18" s="58" t="str">
        <f>IF('2 EstudiantadoEstProf'!T17&lt;&gt;0,'2 EstudiantadoEstProf'!T17,"-")</f>
        <v>-</v>
      </c>
      <c r="F18" s="58" t="str">
        <f>IF('2 EstudiantadoEstProf'!U17&lt;&gt;0,'2 EstudiantadoEstProf'!U17,"-")</f>
        <v>-</v>
      </c>
      <c r="G18" s="58" t="str">
        <f>IF('2 EstudiantadoEstProf'!V17&lt;&gt;0,'2 EstudiantadoEstProf'!V17,"-")</f>
        <v>-</v>
      </c>
      <c r="H18" s="58" t="str">
        <f>IF('2 EstudiantadoEstProf'!W17&lt;&gt;0,'2 EstudiantadoEstProf'!W17,"-")</f>
        <v>Anual</v>
      </c>
      <c r="I18" s="58" t="str">
        <f>IF('2 EstudiantadoEstProf'!X17&lt;&gt;0,'2 EstudiantadoEstProf'!X17,"-")</f>
        <v>-</v>
      </c>
      <c r="J18" s="33"/>
    </row>
    <row r="19" spans="1:16" ht="16.5" customHeight="1" thickBot="1">
      <c r="A19" s="56">
        <v>12</v>
      </c>
      <c r="B19" s="59" t="str">
        <f>IF('Indicadores x proyec'!B16&lt;&gt;0,'Indicadores x proyec'!B16,"-")</f>
        <v>-</v>
      </c>
      <c r="C19" s="60" t="str">
        <f>IF('Indicadores x proyec'!D16/100&lt;&gt;0,'Indicadores x proyec'!D16/100,"-")</f>
        <v>-</v>
      </c>
      <c r="D19" s="60" t="str">
        <f>IF('Indicadores x proyec'!E16/100&lt;&gt;0,'Indicadores x proyec'!E16/100,"-")</f>
        <v>-</v>
      </c>
      <c r="E19" s="60" t="str">
        <f>IF('Indicadores x proyec'!F16/100&lt;&gt;0,'Indicadores x proyec'!F16/100,"-")</f>
        <v>-</v>
      </c>
      <c r="F19" s="60" t="str">
        <f>IF('Indicadores x proyec'!G16/100&lt;&gt;0,'Indicadores x proyec'!G16/100,"-")</f>
        <v>-</v>
      </c>
      <c r="G19" s="60" t="str">
        <f>IF('Indicadores x proyec'!H16/100&lt;&gt;0,'Indicadores x proyec'!H16/100,"-")</f>
        <v>-</v>
      </c>
      <c r="H19" s="58" t="str">
        <f>'Indicadores x proyec'!I16</f>
        <v>Anual</v>
      </c>
      <c r="I19" s="60" t="str">
        <f>IF('Indicadores x proyec'!J16&lt;&gt;0,'Indicadores x proyec'!J16,"-")</f>
        <v>-</v>
      </c>
      <c r="J19" s="33"/>
    </row>
    <row r="20" spans="1:16" ht="16.5" customHeight="1" thickBot="1">
      <c r="A20" s="56">
        <v>13</v>
      </c>
      <c r="B20" s="57" t="str">
        <f>IF('2 EstudiantadoEstProf'!I20&lt;&gt;0,'2 EstudiantadoEstProf'!I20,"-")</f>
        <v>-</v>
      </c>
      <c r="C20" s="58" t="str">
        <f>IF('2 EstudiantadoEstProf'!R20&lt;&gt;0,'2 EstudiantadoEstProf'!R20,"-")</f>
        <v>-</v>
      </c>
      <c r="D20" s="58" t="str">
        <f>IF('2 EstudiantadoEstProf'!S20&lt;&gt;0,'2 EstudiantadoEstProf'!S20,"-")</f>
        <v>-</v>
      </c>
      <c r="E20" s="58" t="str">
        <f>IF('2 EstudiantadoEstProf'!T20&lt;&gt;0,'2 EstudiantadoEstProf'!T20,"-")</f>
        <v>-</v>
      </c>
      <c r="F20" s="58" t="str">
        <f>IF('2 EstudiantadoEstProf'!U20&lt;&gt;0,'2 EstudiantadoEstProf'!U20,"-")</f>
        <v>-</v>
      </c>
      <c r="G20" s="58" t="str">
        <f>IF('2 EstudiantadoEstProf'!V20&lt;&gt;0,'2 EstudiantadoEstProf'!V20,"-")</f>
        <v>-</v>
      </c>
      <c r="H20" s="58" t="str">
        <f>IF('2 EstudiantadoEstProf'!W20&lt;&gt;0,'2 EstudiantadoEstProf'!W20,"-")</f>
        <v>Anual</v>
      </c>
      <c r="I20" s="58" t="str">
        <f>IF('2 EstudiantadoEstProf'!X20&lt;&gt;0,'2 EstudiantadoEstProf'!X20,"-")</f>
        <v>-</v>
      </c>
      <c r="J20" s="33"/>
    </row>
    <row r="21" spans="1:16" ht="16.5" customHeight="1" thickBot="1">
      <c r="A21" s="56">
        <v>14</v>
      </c>
      <c r="B21" s="57" t="str">
        <f>IF('2 EstudiantadoEstProf'!I21&lt;&gt;0,'2 EstudiantadoEstProf'!I21,"-")</f>
        <v>-</v>
      </c>
      <c r="C21" s="58" t="str">
        <f>IF('2 EstudiantadoEstProf'!R21&lt;&gt;0,'2 EstudiantadoEstProf'!R21,"-")</f>
        <v>-</v>
      </c>
      <c r="D21" s="58" t="str">
        <f>IF('2 EstudiantadoEstProf'!S21&lt;&gt;0,'2 EstudiantadoEstProf'!S21,"-")</f>
        <v>-</v>
      </c>
      <c r="E21" s="58" t="str">
        <f>IF('2 EstudiantadoEstProf'!T21&lt;&gt;0,'2 EstudiantadoEstProf'!T21,"-")</f>
        <v>-</v>
      </c>
      <c r="F21" s="58" t="str">
        <f>IF('2 EstudiantadoEstProf'!U21&lt;&gt;0,'2 EstudiantadoEstProf'!U21,"-")</f>
        <v>-</v>
      </c>
      <c r="G21" s="58" t="str">
        <f>IF('2 EstudiantadoEstProf'!V21&lt;&gt;0,'2 EstudiantadoEstProf'!V21,"-")</f>
        <v>-</v>
      </c>
      <c r="H21" s="58" t="str">
        <f>IF('2 EstudiantadoEstProf'!W21&lt;&gt;0,'2 EstudiantadoEstProf'!W21,"-")</f>
        <v>Anual</v>
      </c>
      <c r="I21" s="58" t="str">
        <f>IF('2 EstudiantadoEstProf'!X21&lt;&gt;0,'2 EstudiantadoEstProf'!X21,"-")</f>
        <v>-</v>
      </c>
      <c r="J21" s="33"/>
    </row>
    <row r="22" spans="1:16" ht="16.5" customHeight="1" thickBot="1">
      <c r="A22" s="56">
        <v>15</v>
      </c>
      <c r="B22" s="57" t="str">
        <f>IF('2 EstudiantadoEstProf'!I22&lt;&gt;0,'2 EstudiantadoEstProf'!I22,"-")</f>
        <v>-</v>
      </c>
      <c r="C22" s="58" t="str">
        <f>IF('2 EstudiantadoEstProf'!R22&lt;&gt;0,'2 EstudiantadoEstProf'!R22,"-")</f>
        <v>-</v>
      </c>
      <c r="D22" s="58" t="str">
        <f>IF('2 EstudiantadoEstProf'!S22&lt;&gt;0,'2 EstudiantadoEstProf'!S22,"-")</f>
        <v>-</v>
      </c>
      <c r="E22" s="58" t="str">
        <f>IF('2 EstudiantadoEstProf'!T22&lt;&gt;0,'2 EstudiantadoEstProf'!T22,"-")</f>
        <v>-</v>
      </c>
      <c r="F22" s="58" t="str">
        <f>IF('2 EstudiantadoEstProf'!U22&lt;&gt;0,'2 EstudiantadoEstProf'!U22,"-")</f>
        <v>-</v>
      </c>
      <c r="G22" s="58" t="str">
        <f>IF('2 EstudiantadoEstProf'!V22&lt;&gt;0,'2 EstudiantadoEstProf'!V22,"-")</f>
        <v>-</v>
      </c>
      <c r="H22" s="58" t="str">
        <f>IF('2 EstudiantadoEstProf'!W22&lt;&gt;0,'2 EstudiantadoEstProf'!W22,"-")</f>
        <v>Anual</v>
      </c>
      <c r="I22" s="58" t="str">
        <f>IF('2 EstudiantadoEstProf'!X22&lt;&gt;0,'2 EstudiantadoEstProf'!X22,"-")</f>
        <v>-</v>
      </c>
      <c r="J22" s="33"/>
    </row>
    <row r="23" spans="1:16" ht="16.5" customHeight="1" thickBot="1">
      <c r="A23" s="56">
        <v>16</v>
      </c>
      <c r="B23" s="57" t="str">
        <f>IF('2 EstudiantadoEstProf'!I23&lt;&gt;0,'2 EstudiantadoEstProf'!I23,"-")</f>
        <v>-</v>
      </c>
      <c r="C23" s="58" t="str">
        <f>IF('2 EstudiantadoEstProf'!R23&lt;&gt;0,'2 EstudiantadoEstProf'!R23,"-")</f>
        <v>-</v>
      </c>
      <c r="D23" s="58" t="str">
        <f>IF('2 EstudiantadoEstProf'!S23&lt;&gt;0,'2 EstudiantadoEstProf'!S23,"-")</f>
        <v>-</v>
      </c>
      <c r="E23" s="58" t="str">
        <f>IF('2 EstudiantadoEstProf'!T23&lt;&gt;0,'2 EstudiantadoEstProf'!T23,"-")</f>
        <v>-</v>
      </c>
      <c r="F23" s="58" t="str">
        <f>IF('2 EstudiantadoEstProf'!U23&lt;&gt;0,'2 EstudiantadoEstProf'!U23,"-")</f>
        <v>-</v>
      </c>
      <c r="G23" s="58" t="str">
        <f>IF('2 EstudiantadoEstProf'!V23&lt;&gt;0,'2 EstudiantadoEstProf'!V23,"-")</f>
        <v>-</v>
      </c>
      <c r="H23" s="58" t="str">
        <f>IF('2 EstudiantadoEstProf'!W23&lt;&gt;0,'2 EstudiantadoEstProf'!W23,"-")</f>
        <v>Anual</v>
      </c>
      <c r="I23" s="58" t="str">
        <f>IF('2 EstudiantadoEstProf'!X23&lt;&gt;0,'2 EstudiantadoEstProf'!X23,"-")</f>
        <v>-</v>
      </c>
      <c r="J23" s="33"/>
    </row>
    <row r="24" spans="1:16" ht="16.5" customHeight="1" thickBot="1">
      <c r="A24" s="56">
        <v>17</v>
      </c>
      <c r="B24" s="59" t="str">
        <f>IF('Indicadores x proyec'!B18&lt;&gt;0,'Indicadores x proyec'!B18,"-")</f>
        <v>-</v>
      </c>
      <c r="C24" s="60" t="str">
        <f>IF('Indicadores x proyec'!D18/100&lt;&gt;0,'Indicadores x proyec'!D18/100,"-")</f>
        <v>-</v>
      </c>
      <c r="D24" s="60" t="str">
        <f>IF('Indicadores x proyec'!E18/100&lt;&gt;0,'Indicadores x proyec'!E18/100,"-")</f>
        <v>-</v>
      </c>
      <c r="E24" s="60" t="str">
        <f>IF('Indicadores x proyec'!F18/100&lt;&gt;0,'Indicadores x proyec'!F18/100,"-")</f>
        <v>-</v>
      </c>
      <c r="F24" s="60" t="str">
        <f>IF('Indicadores x proyec'!G18/100&lt;&gt;0,'Indicadores x proyec'!G18/100,"-")</f>
        <v>-</v>
      </c>
      <c r="G24" s="60" t="str">
        <f>IF('Indicadores x proyec'!H18/100&lt;&gt;0,'Indicadores x proyec'!H18/100,"-")</f>
        <v>-</v>
      </c>
      <c r="H24" s="58" t="str">
        <f>'Indicadores x proyec'!I18</f>
        <v>Anual</v>
      </c>
      <c r="I24" s="60" t="str">
        <f>IF('Indicadores x proyec'!J18&lt;&gt;0,'Indicadores x proyec'!J18,"-")</f>
        <v>-</v>
      </c>
      <c r="J24" s="33"/>
    </row>
    <row r="25" spans="1:16" ht="16.5" customHeight="1" thickBot="1">
      <c r="A25" s="56">
        <v>18</v>
      </c>
      <c r="B25" s="57" t="str">
        <f>IF('2 EstudiantadoEstProf'!I26&lt;&gt;0,'2 EstudiantadoEstProf'!I26,"-")</f>
        <v>-</v>
      </c>
      <c r="C25" s="58" t="str">
        <f>IF('2 EstudiantadoEstProf'!R26&lt;&gt;0,'2 EstudiantadoEstProf'!R26,"-")</f>
        <v>-</v>
      </c>
      <c r="D25" s="58" t="str">
        <f>IF('2 EstudiantadoEstProf'!S26&lt;&gt;0,'2 EstudiantadoEstProf'!S26,"-")</f>
        <v>-</v>
      </c>
      <c r="E25" s="58" t="str">
        <f>IF('2 EstudiantadoEstProf'!T26&lt;&gt;0,'2 EstudiantadoEstProf'!T26,"-")</f>
        <v>-</v>
      </c>
      <c r="F25" s="58" t="str">
        <f>IF('2 EstudiantadoEstProf'!U26&lt;&gt;0,'2 EstudiantadoEstProf'!U26,"-")</f>
        <v>-</v>
      </c>
      <c r="G25" s="58" t="str">
        <f>IF('2 EstudiantadoEstProf'!V26&lt;&gt;0,'2 EstudiantadoEstProf'!V26,"-")</f>
        <v>-</v>
      </c>
      <c r="H25" s="58" t="str">
        <f>IF('2 EstudiantadoEstProf'!W26&lt;&gt;0,'2 EstudiantadoEstProf'!W26,"-")</f>
        <v>Anual</v>
      </c>
      <c r="I25" s="58" t="str">
        <f>IF('2 EstudiantadoEstProf'!X26&lt;&gt;0,'2 EstudiantadoEstProf'!X26,"-")</f>
        <v>-</v>
      </c>
      <c r="J25" s="33"/>
    </row>
    <row r="26" spans="1:16" ht="16.5" customHeight="1" thickBot="1">
      <c r="A26" s="56">
        <v>19</v>
      </c>
      <c r="B26" s="59" t="str">
        <f>IF('Indicadores x proyec'!B20&lt;&gt;0,'Indicadores x proyec'!B20,"-")</f>
        <v>-</v>
      </c>
      <c r="C26" s="60" t="str">
        <f>IF('Indicadores x proyec'!D20/100&lt;&gt;0,'Indicadores x proyec'!D20/100,"-")</f>
        <v>-</v>
      </c>
      <c r="D26" s="60" t="str">
        <f>IF('Indicadores x proyec'!E20/100&lt;&gt;0,'Indicadores x proyec'!E20/100,"-")</f>
        <v>-</v>
      </c>
      <c r="E26" s="60" t="str">
        <f>IF('Indicadores x proyec'!F20/100&lt;&gt;0,'Indicadores x proyec'!F20/100,"-")</f>
        <v>-</v>
      </c>
      <c r="F26" s="60" t="str">
        <f>IF('Indicadores x proyec'!G20/100&lt;&gt;0,'Indicadores x proyec'!G20/100,"-")</f>
        <v>-</v>
      </c>
      <c r="G26" s="60" t="str">
        <f>IF('Indicadores x proyec'!H20/100&lt;&gt;0,'Indicadores x proyec'!H20/100,"-")</f>
        <v>-</v>
      </c>
      <c r="H26" s="58" t="str">
        <f>'Indicadores x proyec'!I20</f>
        <v>Anual</v>
      </c>
      <c r="I26" s="60" t="str">
        <f>IF('Indicadores x proyec'!J20&lt;&gt;0,'Indicadores x proyec'!J20,"-")</f>
        <v>-</v>
      </c>
      <c r="J26" s="33"/>
      <c r="K26" s="37"/>
      <c r="L26" s="37"/>
      <c r="M26" s="37"/>
      <c r="N26" s="37"/>
      <c r="O26" s="37"/>
      <c r="P26" s="37"/>
    </row>
    <row r="27" spans="1:16" ht="16.5" customHeight="1" thickBot="1">
      <c r="A27" s="56">
        <v>20</v>
      </c>
      <c r="B27" s="59" t="str">
        <f>IF('Indicadores x proyec'!B22&lt;&gt;0,'Indicadores x proyec'!B22,"-")</f>
        <v>-</v>
      </c>
      <c r="C27" s="60" t="str">
        <f>IF('2 EstudiantadoEstProf'!R29/100&lt;&gt;0,'2 EstudiantadoEstProf'!R29/100,"-")</f>
        <v>-</v>
      </c>
      <c r="D27" s="60" t="str">
        <f>IF('2 EstudiantadoEstProf'!S29/100&lt;&gt;0,'2 EstudiantadoEstProf'!S29/100,"-")</f>
        <v>-</v>
      </c>
      <c r="E27" s="60" t="str">
        <f>IF('2 EstudiantadoEstProf'!T29/100&lt;&gt;0,'2 EstudiantadoEstProf'!T29/100,"-")</f>
        <v>-</v>
      </c>
      <c r="F27" s="60" t="str">
        <f>IF('2 EstudiantadoEstProf'!U29/100&lt;&gt;0,'2 EstudiantadoEstProf'!U29/100,"-")</f>
        <v>-</v>
      </c>
      <c r="G27" s="60" t="str">
        <f>IF('2 EstudiantadoEstProf'!V29/100&lt;&gt;0,'2 EstudiantadoEstProf'!V29/100,"-")</f>
        <v>-</v>
      </c>
      <c r="H27" s="58" t="str">
        <f>'Indicadores x proyec'!I22</f>
        <v>Anual</v>
      </c>
      <c r="I27" s="60" t="str">
        <f>IF('Indicadores x proyec'!J22&lt;&gt;0,'Indicadores x proyec'!J22,"-")</f>
        <v>-</v>
      </c>
      <c r="J27" s="33"/>
    </row>
    <row r="28" spans="1:16" ht="16.5" customHeight="1" thickBot="1">
      <c r="A28" s="56">
        <v>21</v>
      </c>
      <c r="B28" s="57" t="str">
        <f>IF('2 EstudiantadoEstProf'!I33&lt;&gt;0,'2 EstudiantadoEstProf'!I33,"-")</f>
        <v>-</v>
      </c>
      <c r="C28" s="58" t="str">
        <f>IF('2 EstudiantadoEstProf'!R33&lt;&gt;0,'2 EstudiantadoEstProf'!R33,"-")</f>
        <v>-</v>
      </c>
      <c r="D28" s="58" t="str">
        <f>IF('2 EstudiantadoEstProf'!S33&lt;&gt;0,'2 EstudiantadoEstProf'!S33,"-")</f>
        <v>-</v>
      </c>
      <c r="E28" s="58" t="str">
        <f>IF('2 EstudiantadoEstProf'!T33&lt;&gt;0,'2 EstudiantadoEstProf'!T33,"-")</f>
        <v>-</v>
      </c>
      <c r="F28" s="58" t="str">
        <f>IF('2 EstudiantadoEstProf'!U33&lt;&gt;0,'2 EstudiantadoEstProf'!U33,"-")</f>
        <v>-</v>
      </c>
      <c r="G28" s="58" t="str">
        <f>IF('2 EstudiantadoEstProf'!V33&lt;&gt;0,'2 EstudiantadoEstProf'!V33,"-")</f>
        <v>-</v>
      </c>
      <c r="H28" s="58" t="str">
        <f>IF('2 EstudiantadoEstProf'!W33&lt;&gt;0,'2 EstudiantadoEstProf'!W33,"-")</f>
        <v>Anual</v>
      </c>
      <c r="I28" s="58" t="str">
        <f>IF('2 EstudiantadoEstProf'!X33&lt;&gt;0,'2 EstudiantadoEstProf'!X33,"-")</f>
        <v>-</v>
      </c>
      <c r="J28" s="33"/>
    </row>
    <row r="29" spans="1:16" ht="16.5" customHeight="1" thickBot="1">
      <c r="A29" s="56">
        <v>22</v>
      </c>
      <c r="B29" s="59" t="str">
        <f>IF('Indicadores x proyec'!B26&lt;&gt;0,'Indicadores x proyec'!B26,"-")</f>
        <v>-</v>
      </c>
      <c r="C29" s="60" t="str">
        <f>IF('Indicadores x proyec'!D26/100&lt;&gt;0,'Indicadores x proyec'!D26/100,"-")</f>
        <v>-</v>
      </c>
      <c r="D29" s="60" t="str">
        <f>IF('Indicadores x proyec'!E26/100&lt;&gt;0,'Indicadores x proyec'!E26/100,"-")</f>
        <v>-</v>
      </c>
      <c r="E29" s="60" t="str">
        <f>IF('Indicadores x proyec'!F26/100&lt;&gt;0,'Indicadores x proyec'!F26/100,"-")</f>
        <v>-</v>
      </c>
      <c r="F29" s="60" t="str">
        <f>IF('Indicadores x proyec'!G26/100&lt;&gt;0,'Indicadores x proyec'!G26/100,"-")</f>
        <v>-</v>
      </c>
      <c r="G29" s="60" t="str">
        <f>IF('Indicadores x proyec'!H26/100&lt;&gt;0,'Indicadores x proyec'!H26/100,"-")</f>
        <v>-</v>
      </c>
      <c r="H29" s="58" t="str">
        <f>'Indicadores x proyec'!I26</f>
        <v>Anual</v>
      </c>
      <c r="I29" s="60" t="str">
        <f>IF('Indicadores x proyec'!J26&lt;&gt;0,'Indicadores x proyec'!J26,"-")</f>
        <v>-</v>
      </c>
      <c r="J29" s="33"/>
    </row>
    <row r="30" spans="1:16" ht="16.5" customHeight="1" thickBot="1">
      <c r="A30" s="56">
        <v>23</v>
      </c>
      <c r="B30" s="57" t="str">
        <f>IF('2 EstudiantadoEstProf'!I36&lt;&gt;0,'2 EstudiantadoEstProf'!I36,"-")</f>
        <v>-</v>
      </c>
      <c r="C30" s="58" t="str">
        <f>IF('2 EstudiantadoEstProf'!R36&lt;&gt;0,'2 EstudiantadoEstProf'!R36,"-")</f>
        <v>-</v>
      </c>
      <c r="D30" s="58" t="str">
        <f>IF('2 EstudiantadoEstProf'!S36&lt;&gt;0,'2 EstudiantadoEstProf'!S36,"-")</f>
        <v>-</v>
      </c>
      <c r="E30" s="58" t="str">
        <f>IF('2 EstudiantadoEstProf'!T36&lt;&gt;0,'2 EstudiantadoEstProf'!T36,"-")</f>
        <v>-</v>
      </c>
      <c r="F30" s="58" t="str">
        <f>IF('2 EstudiantadoEstProf'!U36&lt;&gt;0,'2 EstudiantadoEstProf'!U36,"-")</f>
        <v>-</v>
      </c>
      <c r="G30" s="58" t="str">
        <f>IF('2 EstudiantadoEstProf'!V36&lt;&gt;0,'2 EstudiantadoEstProf'!V36,"-")</f>
        <v>-</v>
      </c>
      <c r="H30" s="58" t="str">
        <f>IF('2 EstudiantadoEstProf'!W36&lt;&gt;0,'2 EstudiantadoEstProf'!W36,"-")</f>
        <v>Anual</v>
      </c>
      <c r="I30" s="58" t="str">
        <f>IF('2 EstudiantadoEstProf'!X36&lt;&gt;0,'2 EstudiantadoEstProf'!X36,"-")</f>
        <v>-</v>
      </c>
      <c r="J30" s="33"/>
    </row>
    <row r="31" spans="1:16" ht="16.5" customHeight="1" thickBot="1">
      <c r="A31" s="56">
        <v>24</v>
      </c>
      <c r="B31" s="57" t="str">
        <f>IF('2 EstudiantadoEstProf'!I37&lt;&gt;0,'2 EstudiantadoEstProf'!I37,"-")</f>
        <v>-</v>
      </c>
      <c r="C31" s="58" t="str">
        <f>IF('2 EstudiantadoEstProf'!R37&lt;&gt;0,'2 EstudiantadoEstProf'!R37,"-")</f>
        <v>-</v>
      </c>
      <c r="D31" s="58" t="str">
        <f>IF('2 EstudiantadoEstProf'!S37&lt;&gt;0,'2 EstudiantadoEstProf'!S37,"-")</f>
        <v>-</v>
      </c>
      <c r="E31" s="58" t="str">
        <f>IF('2 EstudiantadoEstProf'!T37&lt;&gt;0,'2 EstudiantadoEstProf'!T37,"-")</f>
        <v>-</v>
      </c>
      <c r="F31" s="58" t="str">
        <f>IF('2 EstudiantadoEstProf'!U37&lt;&gt;0,'2 EstudiantadoEstProf'!U37,"-")</f>
        <v>-</v>
      </c>
      <c r="G31" s="58" t="str">
        <f>IF('2 EstudiantadoEstProf'!V37&lt;&gt;0,'2 EstudiantadoEstProf'!V37,"-")</f>
        <v>-</v>
      </c>
      <c r="H31" s="58" t="str">
        <f>IF('2 EstudiantadoEstProf'!W37&lt;&gt;0,'2 EstudiantadoEstProf'!W37,"-")</f>
        <v>Anual</v>
      </c>
      <c r="I31" s="58" t="str">
        <f>IF('2 EstudiantadoEstProf'!X37&lt;&gt;0,'2 EstudiantadoEstProf'!X37,"-")</f>
        <v>-</v>
      </c>
      <c r="J31" s="33"/>
    </row>
    <row r="32" spans="1:16" ht="16.5" customHeight="1" thickBot="1">
      <c r="A32" s="56">
        <v>25</v>
      </c>
      <c r="B32" s="57" t="str">
        <f>IF('2 EstudiantadoEstProf'!I38&lt;&gt;0,'2 EstudiantadoEstProf'!I38,"-")</f>
        <v>-</v>
      </c>
      <c r="C32" s="58" t="str">
        <f>IF('2 EstudiantadoEstProf'!R38&lt;&gt;0,'2 EstudiantadoEstProf'!R38,"-")</f>
        <v>-</v>
      </c>
      <c r="D32" s="58" t="str">
        <f>IF('2 EstudiantadoEstProf'!S38&lt;&gt;0,'2 EstudiantadoEstProf'!S38,"-")</f>
        <v>-</v>
      </c>
      <c r="E32" s="58" t="str">
        <f>IF('2 EstudiantadoEstProf'!T38&lt;&gt;0,'2 EstudiantadoEstProf'!T38,"-")</f>
        <v>-</v>
      </c>
      <c r="F32" s="58" t="str">
        <f>IF('2 EstudiantadoEstProf'!U38&lt;&gt;0,'2 EstudiantadoEstProf'!U38,"-")</f>
        <v>-</v>
      </c>
      <c r="G32" s="58" t="str">
        <f>IF('2 EstudiantadoEstProf'!V38&lt;&gt;0,'2 EstudiantadoEstProf'!V38,"-")</f>
        <v>-</v>
      </c>
      <c r="H32" s="58" t="str">
        <f>IF('2 EstudiantadoEstProf'!W38&lt;&gt;0,'2 EstudiantadoEstProf'!W38,"-")</f>
        <v>Anual</v>
      </c>
      <c r="I32" s="58" t="str">
        <f>IF('2 EstudiantadoEstProf'!X38&lt;&gt;0,'2 EstudiantadoEstProf'!X38,"-")</f>
        <v>-</v>
      </c>
      <c r="J32" s="33"/>
      <c r="K32" s="38"/>
    </row>
    <row r="33" spans="1:12" ht="16.5" customHeight="1" thickBot="1">
      <c r="A33" s="56">
        <v>26</v>
      </c>
      <c r="B33" s="57" t="str">
        <f>IF('2 EstudiantadoEstProf'!I39&lt;&gt;0,'2 EstudiantadoEstProf'!I39,"-")</f>
        <v>-</v>
      </c>
      <c r="C33" s="58" t="str">
        <f>IF('2 EstudiantadoEstProf'!R39&lt;&gt;0,'2 EstudiantadoEstProf'!R39,"-")</f>
        <v>-</v>
      </c>
      <c r="D33" s="58" t="str">
        <f>IF('2 EstudiantadoEstProf'!S39&lt;&gt;0,'2 EstudiantadoEstProf'!S39,"-")</f>
        <v>-</v>
      </c>
      <c r="E33" s="58" t="str">
        <f>IF('2 EstudiantadoEstProf'!T39&lt;&gt;0,'2 EstudiantadoEstProf'!T39,"-")</f>
        <v>-</v>
      </c>
      <c r="F33" s="58" t="str">
        <f>IF('2 EstudiantadoEstProf'!U39&lt;&gt;0,'2 EstudiantadoEstProf'!U39,"-")</f>
        <v>-</v>
      </c>
      <c r="G33" s="58" t="str">
        <f>IF('2 EstudiantadoEstProf'!V39&lt;&gt;0,'2 EstudiantadoEstProf'!V39,"-")</f>
        <v>-</v>
      </c>
      <c r="H33" s="58" t="str">
        <f>IF('2 EstudiantadoEstProf'!W39&lt;&gt;0,'2 EstudiantadoEstProf'!W39,"-")</f>
        <v>Anual</v>
      </c>
      <c r="I33" s="58" t="str">
        <f>IF('2 EstudiantadoEstProf'!X39&lt;&gt;0,'2 EstudiantadoEstProf'!X39,"-")</f>
        <v>-</v>
      </c>
      <c r="J33" s="33"/>
      <c r="K33" s="38"/>
    </row>
    <row r="34" spans="1:12">
      <c r="A34" s="61"/>
      <c r="B34" s="62"/>
      <c r="C34" s="63"/>
      <c r="D34" s="63"/>
      <c r="E34" s="63"/>
      <c r="F34" s="63"/>
      <c r="G34" s="63"/>
      <c r="H34" s="63"/>
      <c r="I34" s="63"/>
      <c r="J34" s="63"/>
      <c r="L34" s="38"/>
    </row>
    <row r="35" spans="1:12">
      <c r="A35" s="64"/>
      <c r="B35" s="65"/>
      <c r="C35" s="66"/>
      <c r="D35" s="66"/>
      <c r="E35" s="66"/>
      <c r="F35" s="66"/>
      <c r="G35" s="66"/>
      <c r="H35" s="66"/>
      <c r="I35" s="66"/>
      <c r="J35" s="66"/>
    </row>
    <row r="36" spans="1:12" ht="16.5" customHeight="1">
      <c r="A36" s="217" t="s">
        <v>612</v>
      </c>
      <c r="B36" s="218"/>
      <c r="C36" s="219"/>
      <c r="D36" s="219"/>
      <c r="E36" s="219"/>
      <c r="F36" s="219"/>
      <c r="G36" s="219"/>
      <c r="H36" s="219"/>
      <c r="I36" s="219"/>
      <c r="J36" s="219"/>
    </row>
    <row r="37" spans="1:12">
      <c r="A37" s="220" t="s">
        <v>610</v>
      </c>
      <c r="B37" s="215" t="s">
        <v>598</v>
      </c>
      <c r="C37" s="215" t="s">
        <v>16</v>
      </c>
      <c r="D37" s="215">
        <v>2027</v>
      </c>
      <c r="E37" s="215">
        <v>2028</v>
      </c>
      <c r="F37" s="215">
        <v>2029</v>
      </c>
      <c r="G37" s="54" t="str">
        <f>TEXT($J$1,"mmmm")</f>
        <v>agosto</v>
      </c>
      <c r="H37" s="215" t="s">
        <v>611</v>
      </c>
      <c r="I37" s="215" t="s">
        <v>15</v>
      </c>
      <c r="J37" s="33"/>
    </row>
    <row r="38" spans="1:12" ht="16.5" customHeight="1" thickBot="1">
      <c r="A38" s="216"/>
      <c r="B38" s="216"/>
      <c r="C38" s="216"/>
      <c r="D38" s="216"/>
      <c r="E38" s="216"/>
      <c r="F38" s="216"/>
      <c r="G38" s="55">
        <v>2030</v>
      </c>
      <c r="H38" s="216"/>
      <c r="I38" s="216"/>
      <c r="J38" s="33"/>
    </row>
    <row r="39" spans="1:12" ht="16.5" customHeight="1" thickBot="1">
      <c r="A39" s="56">
        <v>1</v>
      </c>
      <c r="B39" s="57" t="str">
        <f>IF('3 Est avanzados excelencia'!I3&lt;&gt;0,'3 Est avanzados excelencia'!I3,"-")</f>
        <v>-</v>
      </c>
      <c r="C39" s="58" t="str">
        <f>IF('3 Est avanzados excelencia'!R3&lt;&gt;0,'3 Est avanzados excelencia'!R3,"-")</f>
        <v>-</v>
      </c>
      <c r="D39" s="58" t="str">
        <f>IF('3 Est avanzados excelencia'!S3&lt;&gt;0,'3 Est avanzados excelencia'!S3,"-")</f>
        <v>-</v>
      </c>
      <c r="E39" s="58" t="str">
        <f>IF('3 Est avanzados excelencia'!T3&lt;&gt;0,'3 Est avanzados excelencia'!T3,"-")</f>
        <v>-</v>
      </c>
      <c r="F39" s="58" t="str">
        <f>IF('3 Est avanzados excelencia'!U3&lt;&gt;0,'3 Est avanzados excelencia'!U3,"-")</f>
        <v>-</v>
      </c>
      <c r="G39" s="58" t="str">
        <f>IF('3 Est avanzados excelencia'!V3&lt;&gt;0,'3 Est avanzados excelencia'!V3,"-")</f>
        <v>-</v>
      </c>
      <c r="H39" s="58" t="str">
        <f>IF('3 Est avanzados excelencia'!W3&lt;&gt;0,'3 Est avanzados excelencia'!W3,"-")</f>
        <v>Anual</v>
      </c>
      <c r="I39" s="58" t="str">
        <f>IF('3 Est avanzados excelencia'!X3&lt;&gt;0,'3 Est avanzados excelencia'!X3,"-")</f>
        <v>-</v>
      </c>
      <c r="J39" s="33"/>
    </row>
    <row r="40" spans="1:12" ht="16.5" customHeight="1" thickBot="1">
      <c r="A40" s="56">
        <v>2</v>
      </c>
      <c r="B40" s="57" t="str">
        <f>IF('3 Est avanzados excelencia'!I4&lt;&gt;0,'3 Est avanzados excelencia'!I4,"-")</f>
        <v>-</v>
      </c>
      <c r="C40" s="58" t="str">
        <f>IF('3 Est avanzados excelencia'!R4&lt;&gt;0,'3 Est avanzados excelencia'!R4,"-")</f>
        <v>-</v>
      </c>
      <c r="D40" s="58" t="str">
        <f>IF('3 Est avanzados excelencia'!S4&lt;&gt;0,'3 Est avanzados excelencia'!S4,"-")</f>
        <v>-</v>
      </c>
      <c r="E40" s="58" t="str">
        <f>IF('3 Est avanzados excelencia'!T4&lt;&gt;0,'3 Est avanzados excelencia'!T4,"-")</f>
        <v>-</v>
      </c>
      <c r="F40" s="58" t="str">
        <f>IF('3 Est avanzados excelencia'!U4&lt;&gt;0,'3 Est avanzados excelencia'!U4,"-")</f>
        <v>-</v>
      </c>
      <c r="G40" s="58" t="str">
        <f>IF('3 Est avanzados excelencia'!V4&lt;&gt;0,'3 Est avanzados excelencia'!V4,"-")</f>
        <v>-</v>
      </c>
      <c r="H40" s="58" t="str">
        <f>IF('3 Est avanzados excelencia'!W4&lt;&gt;0,'3 Est avanzados excelencia'!W4,"-")</f>
        <v>Anual</v>
      </c>
      <c r="I40" s="58" t="str">
        <f>IF('3 Est avanzados excelencia'!X4&lt;&gt;0,'3 Est avanzados excelencia'!X4,"-")</f>
        <v>-</v>
      </c>
      <c r="J40" s="33"/>
    </row>
    <row r="41" spans="1:12" ht="16.5" customHeight="1" thickBot="1">
      <c r="A41" s="56">
        <v>3</v>
      </c>
      <c r="B41" s="57" t="str">
        <f>IF('3 Est avanzados excelencia'!I5&lt;&gt;0,'3 Est avanzados excelencia'!I5,"-")</f>
        <v>-</v>
      </c>
      <c r="C41" s="58" t="str">
        <f>IF('3 Est avanzados excelencia'!R5&lt;&gt;0,'3 Est avanzados excelencia'!R5,"-")</f>
        <v>-</v>
      </c>
      <c r="D41" s="58" t="str">
        <f>IF('3 Est avanzados excelencia'!S5&lt;&gt;0,'3 Est avanzados excelencia'!S5,"-")</f>
        <v>-</v>
      </c>
      <c r="E41" s="58" t="str">
        <f>IF('3 Est avanzados excelencia'!T5&lt;&gt;0,'3 Est avanzados excelencia'!T5,"-")</f>
        <v>-</v>
      </c>
      <c r="F41" s="58" t="str">
        <f>IF('3 Est avanzados excelencia'!U5&lt;&gt;0,'3 Est avanzados excelencia'!U5,"-")</f>
        <v>-</v>
      </c>
      <c r="G41" s="58" t="str">
        <f>IF('3 Est avanzados excelencia'!V5&lt;&gt;0,'3 Est avanzados excelencia'!V5,"-")</f>
        <v>-</v>
      </c>
      <c r="H41" s="58" t="str">
        <f>IF('3 Est avanzados excelencia'!W5&lt;&gt;0,'3 Est avanzados excelencia'!W5,"-")</f>
        <v>Anual</v>
      </c>
      <c r="I41" s="58" t="str">
        <f>IF('3 Est avanzados excelencia'!X5&lt;&gt;0,'3 Est avanzados excelencia'!X5,"-")</f>
        <v>-</v>
      </c>
      <c r="J41" s="33"/>
    </row>
    <row r="42" spans="1:12" ht="16.5" customHeight="1" thickBot="1">
      <c r="A42" s="56">
        <v>4</v>
      </c>
      <c r="B42" s="57" t="str">
        <f>IF('3 Est avanzados excelencia'!I6&lt;&gt;0,'3 Est avanzados excelencia'!I6,"-")</f>
        <v>-</v>
      </c>
      <c r="C42" s="58" t="str">
        <f>IF('3 Est avanzados excelencia'!R6&lt;&gt;0,'3 Est avanzados excelencia'!R6,"-")</f>
        <v>-</v>
      </c>
      <c r="D42" s="58" t="str">
        <f>IF('3 Est avanzados excelencia'!S6&lt;&gt;0,'3 Est avanzados excelencia'!S6,"-")</f>
        <v>-</v>
      </c>
      <c r="E42" s="58" t="str">
        <f>IF('3 Est avanzados excelencia'!T6&lt;&gt;0,'3 Est avanzados excelencia'!T6,"-")</f>
        <v>-</v>
      </c>
      <c r="F42" s="58" t="str">
        <f>IF('3 Est avanzados excelencia'!U6&lt;&gt;0,'3 Est avanzados excelencia'!U6,"-")</f>
        <v>-</v>
      </c>
      <c r="G42" s="58" t="str">
        <f>IF('3 Est avanzados excelencia'!V6&lt;&gt;0,'3 Est avanzados excelencia'!V6,"-")</f>
        <v>-</v>
      </c>
      <c r="H42" s="58" t="str">
        <f>IF('3 Est avanzados excelencia'!W6&lt;&gt;0,'3 Est avanzados excelencia'!W6,"-")</f>
        <v>Anual</v>
      </c>
      <c r="I42" s="58" t="str">
        <f>IF('3 Est avanzados excelencia'!X6&lt;&gt;0,'3 Est avanzados excelencia'!X6,"-")</f>
        <v>-</v>
      </c>
      <c r="J42" s="33"/>
    </row>
    <row r="43" spans="1:12" ht="16.5" customHeight="1" thickBot="1">
      <c r="A43" s="56">
        <v>5</v>
      </c>
      <c r="B43" s="57" t="str">
        <f>IF('3 Est avanzados excelencia'!I7&lt;&gt;0,'3 Est avanzados excelencia'!I7,"-")</f>
        <v>-</v>
      </c>
      <c r="C43" s="58" t="str">
        <f>IF('3 Est avanzados excelencia'!R7&lt;&gt;0,'3 Est avanzados excelencia'!R7,"-")</f>
        <v>-</v>
      </c>
      <c r="D43" s="58" t="str">
        <f>IF('3 Est avanzados excelencia'!S7&lt;&gt;0,'3 Est avanzados excelencia'!S7,"-")</f>
        <v>-</v>
      </c>
      <c r="E43" s="58" t="str">
        <f>IF('3 Est avanzados excelencia'!T7&lt;&gt;0,'3 Est avanzados excelencia'!T7,"-")</f>
        <v>-</v>
      </c>
      <c r="F43" s="58" t="str">
        <f>IF('3 Est avanzados excelencia'!U7&lt;&gt;0,'3 Est avanzados excelencia'!U7,"-")</f>
        <v>-</v>
      </c>
      <c r="G43" s="58" t="str">
        <f>IF('3 Est avanzados excelencia'!V7&lt;&gt;0,'3 Est avanzados excelencia'!V7,"-")</f>
        <v>-</v>
      </c>
      <c r="H43" s="58" t="str">
        <f>IF('3 Est avanzados excelencia'!W7&lt;&gt;0,'3 Est avanzados excelencia'!W7,"-")</f>
        <v>Anual</v>
      </c>
      <c r="I43" s="58" t="str">
        <f>IF('3 Est avanzados excelencia'!X7&lt;&gt;0,'3 Est avanzados excelencia'!X7,"-")</f>
        <v>-</v>
      </c>
      <c r="J43" s="33"/>
    </row>
    <row r="44" spans="1:12" ht="16.5" customHeight="1" thickBot="1">
      <c r="A44" s="56">
        <v>6</v>
      </c>
      <c r="B44" s="57" t="str">
        <f>IF('3 Est avanzados excelencia'!I8&lt;&gt;0,'3 Est avanzados excelencia'!I8,"-")</f>
        <v>-</v>
      </c>
      <c r="C44" s="58" t="str">
        <f>IF('3 Est avanzados excelencia'!R8&lt;&gt;0,'3 Est avanzados excelencia'!R8,"-")</f>
        <v>-</v>
      </c>
      <c r="D44" s="58" t="str">
        <f>IF('3 Est avanzados excelencia'!S8&lt;&gt;0,'3 Est avanzados excelencia'!S8,"-")</f>
        <v>-</v>
      </c>
      <c r="E44" s="58" t="str">
        <f>IF('3 Est avanzados excelencia'!T8&lt;&gt;0,'3 Est avanzados excelencia'!T8,"-")</f>
        <v>-</v>
      </c>
      <c r="F44" s="58" t="str">
        <f>IF('3 Est avanzados excelencia'!U8&lt;&gt;0,'3 Est avanzados excelencia'!U8,"-")</f>
        <v>-</v>
      </c>
      <c r="G44" s="58" t="str">
        <f>IF('3 Est avanzados excelencia'!V8&lt;&gt;0,'3 Est avanzados excelencia'!V8,"-")</f>
        <v>-</v>
      </c>
      <c r="H44" s="58" t="str">
        <f>IF('3 Est avanzados excelencia'!W8&lt;&gt;0,'3 Est avanzados excelencia'!W8,"-")</f>
        <v>Anual</v>
      </c>
      <c r="I44" s="58" t="str">
        <f>IF('3 Est avanzados excelencia'!X8&lt;&gt;0,'3 Est avanzados excelencia'!X8,"-")</f>
        <v>-</v>
      </c>
      <c r="J44" s="33"/>
    </row>
    <row r="45" spans="1:12" ht="16.5" customHeight="1" thickBot="1">
      <c r="A45" s="56">
        <v>7</v>
      </c>
      <c r="B45" s="57" t="str">
        <f>IF('Indicadores x proyec'!B32&lt;&gt;0,'Indicadores x proyec'!B32,"-")</f>
        <v>-</v>
      </c>
      <c r="C45" s="60" t="str">
        <f>IF('Indicadores x proyec'!D32/100&lt;&gt;0,'Indicadores x proyec'!D32/100,"-")</f>
        <v>-</v>
      </c>
      <c r="D45" s="60" t="str">
        <f>IF('Indicadores x proyec'!E32/100&lt;&gt;0,'Indicadores x proyec'!E32/100,"-")</f>
        <v>-</v>
      </c>
      <c r="E45" s="60" t="str">
        <f>IF('Indicadores x proyec'!F32/100&lt;&gt;0,'Indicadores x proyec'!F32/100,"-")</f>
        <v>-</v>
      </c>
      <c r="F45" s="60" t="str">
        <f>IF('Indicadores x proyec'!G32/100&lt;&gt;0,'Indicadores x proyec'!G32/100,"-")</f>
        <v>-</v>
      </c>
      <c r="G45" s="60" t="str">
        <f>IF('Indicadores x proyec'!H32/100&lt;&gt;0,'Indicadores x proyec'!H32/100,"-")</f>
        <v>-</v>
      </c>
      <c r="H45" s="58" t="str">
        <f>IF('Indicadores x proyec'!I32&lt;&gt;0,'Indicadores x proyec'!I32,"-")</f>
        <v>Anual</v>
      </c>
      <c r="I45" s="58" t="str">
        <f>IF('Indicadores x proyec'!J32&lt;&gt;0,'Indicadores x proyec'!J32,"-")</f>
        <v>-</v>
      </c>
      <c r="J45" s="33"/>
    </row>
    <row r="46" spans="1:12">
      <c r="A46" s="61"/>
      <c r="B46" s="62"/>
      <c r="C46" s="67"/>
      <c r="D46" s="67"/>
      <c r="E46" s="67"/>
      <c r="F46" s="67"/>
      <c r="G46" s="67"/>
      <c r="H46" s="67"/>
      <c r="I46" s="63"/>
      <c r="J46" s="63"/>
    </row>
    <row r="47" spans="1:12">
      <c r="A47" s="64"/>
      <c r="B47" s="65"/>
      <c r="C47" s="66"/>
      <c r="D47" s="66"/>
      <c r="E47" s="66"/>
      <c r="F47" s="66"/>
      <c r="G47" s="66"/>
      <c r="H47" s="66"/>
      <c r="I47" s="66"/>
      <c r="J47" s="66"/>
    </row>
    <row r="48" spans="1:12" ht="19.5" customHeight="1">
      <c r="A48" s="53" t="s">
        <v>613</v>
      </c>
      <c r="B48" s="68"/>
      <c r="C48" s="69"/>
      <c r="D48" s="69"/>
      <c r="E48" s="69"/>
      <c r="F48" s="69"/>
      <c r="G48" s="69"/>
      <c r="H48" s="69"/>
      <c r="I48" s="69"/>
      <c r="J48" s="69"/>
    </row>
    <row r="49" spans="1:10" ht="16.5" customHeight="1">
      <c r="A49" s="217" t="s">
        <v>614</v>
      </c>
      <c r="B49" s="218"/>
      <c r="C49" s="219"/>
      <c r="D49" s="219"/>
      <c r="E49" s="219"/>
      <c r="F49" s="219"/>
      <c r="G49" s="219"/>
      <c r="H49" s="219"/>
      <c r="I49" s="219"/>
      <c r="J49" s="219"/>
    </row>
    <row r="50" spans="1:10">
      <c r="A50" s="220" t="s">
        <v>610</v>
      </c>
      <c r="B50" s="215" t="s">
        <v>598</v>
      </c>
      <c r="C50" s="215" t="s">
        <v>16</v>
      </c>
      <c r="D50" s="215">
        <v>2027</v>
      </c>
      <c r="E50" s="215">
        <v>2028</v>
      </c>
      <c r="F50" s="215">
        <v>2029</v>
      </c>
      <c r="G50" s="54" t="str">
        <f>TEXT($J$1,"mmmm")</f>
        <v>agosto</v>
      </c>
      <c r="H50" s="215" t="s">
        <v>611</v>
      </c>
      <c r="I50" s="215" t="s">
        <v>15</v>
      </c>
      <c r="J50" s="33"/>
    </row>
    <row r="51" spans="1:10" ht="16.5" customHeight="1" thickBot="1">
      <c r="A51" s="216"/>
      <c r="B51" s="216"/>
      <c r="C51" s="216"/>
      <c r="D51" s="216"/>
      <c r="E51" s="216"/>
      <c r="F51" s="216"/>
      <c r="G51" s="55">
        <v>2030</v>
      </c>
      <c r="H51" s="216"/>
      <c r="I51" s="216"/>
      <c r="J51" s="33"/>
    </row>
    <row r="52" spans="1:10" ht="16.5" customHeight="1" thickBot="1">
      <c r="A52" s="56">
        <v>1</v>
      </c>
      <c r="B52" s="42" t="str">
        <f>IF('4 Investigación abierta'!I3&lt;&gt;0,'4 Investigación abierta'!I3,"-")</f>
        <v>Mantener al menos 3 cuerpos académicos de calidad en cada medición anual de 2027 a 2030.</v>
      </c>
      <c r="C52" s="58">
        <f>IF('4 Investigación abierta'!R3&lt;&gt;0,'4 Investigación abierta'!R3,"-")</f>
        <v>3</v>
      </c>
      <c r="D52" s="58">
        <f>IF('4 Investigación abierta'!S3&lt;&gt;0,'4 Investigación abierta'!S3,"-")</f>
        <v>3</v>
      </c>
      <c r="E52" s="58">
        <f>IF('4 Investigación abierta'!T3&lt;&gt;0,'4 Investigación abierta'!T3,"-")</f>
        <v>3</v>
      </c>
      <c r="F52" s="58">
        <f>IF('4 Investigación abierta'!U3&lt;&gt;0,'4 Investigación abierta'!U3,"-")</f>
        <v>3</v>
      </c>
      <c r="G52" s="58">
        <f>IF('4 Investigación abierta'!V3&lt;&gt;0,'4 Investigación abierta'!V3,"-")</f>
        <v>3</v>
      </c>
      <c r="H52" s="58" t="str">
        <f>IF('4 Investigación abierta'!W3&lt;&gt;0,'4 Investigación abierta'!W3,"-")</f>
        <v>Anual</v>
      </c>
      <c r="I52" s="58" t="str">
        <f>IF('4 Investigación abierta'!X3&lt;&gt;0,'4 Investigación abierta'!X3,"-")</f>
        <v>Por validar con el área responsable</v>
      </c>
      <c r="J52" s="33"/>
    </row>
    <row r="53" spans="1:10" ht="16.5" customHeight="1" thickBot="1">
      <c r="A53" s="56">
        <v>2</v>
      </c>
      <c r="B53" s="57" t="str">
        <f>IF('Indicadores x proyec'!B38&lt;&gt;0,'Indicadores x proyec'!B38,"-")</f>
        <v>-</v>
      </c>
      <c r="C53" s="60" t="str">
        <f>IF('Indicadores x proyec'!D38/100&lt;&gt;0,'Indicadores x proyec'!D38/100,"-")</f>
        <v>-</v>
      </c>
      <c r="D53" s="60" t="str">
        <f>IF('Indicadores x proyec'!E38/100&lt;&gt;0,'Indicadores x proyec'!E38/100,"-")</f>
        <v>-</v>
      </c>
      <c r="E53" s="60" t="str">
        <f>IF('Indicadores x proyec'!F38/100&lt;&gt;0,'Indicadores x proyec'!F38/100,"-")</f>
        <v>-</v>
      </c>
      <c r="F53" s="60" t="str">
        <f>IF('Indicadores x proyec'!G38/100&lt;&gt;0,'Indicadores x proyec'!G38/100,"-")</f>
        <v>-</v>
      </c>
      <c r="G53" s="60" t="str">
        <f>IF('Indicadores x proyec'!H38/100&lt;&gt;0,'Indicadores x proyec'!H38/100,"-")</f>
        <v>-</v>
      </c>
      <c r="H53" s="58" t="str">
        <f>IF('Indicadores x proyec'!I38&lt;&gt;0,'Indicadores x proyec'!I38,"-")</f>
        <v>Anual</v>
      </c>
      <c r="I53" s="58" t="str">
        <f>IF('Indicadores x proyec'!J38&lt;&gt;0,'Indicadores x proyec'!J38,"-")</f>
        <v>-</v>
      </c>
      <c r="J53" s="33"/>
    </row>
    <row r="54" spans="1:10" ht="16.5" customHeight="1" thickBot="1">
      <c r="A54" s="56">
        <v>3</v>
      </c>
      <c r="B54" s="57" t="str">
        <f>IF('Indicadores x proyec'!B40&lt;&gt;0,'Indicadores x proyec'!B40,"-")</f>
        <v>-</v>
      </c>
      <c r="C54" s="60" t="str">
        <f>IF('Indicadores x proyec'!D40/100&lt;&gt;0,'Indicadores x proyec'!D40/100,"-")</f>
        <v>-</v>
      </c>
      <c r="D54" s="60" t="str">
        <f>IF('Indicadores x proyec'!E40/100&lt;&gt;0,'Indicadores x proyec'!E40/100,"-")</f>
        <v>-</v>
      </c>
      <c r="E54" s="60" t="str">
        <f>IF('Indicadores x proyec'!F40/100&lt;&gt;0,'Indicadores x proyec'!F40/100,"-")</f>
        <v>-</v>
      </c>
      <c r="F54" s="60" t="str">
        <f>IF('Indicadores x proyec'!G40/100&lt;&gt;0,'Indicadores x proyec'!G40/100,"-")</f>
        <v>-</v>
      </c>
      <c r="G54" s="60" t="str">
        <f>IF('Indicadores x proyec'!H40/100&lt;&gt;0,'Indicadores x proyec'!H40/100,"-")</f>
        <v>-</v>
      </c>
      <c r="H54" s="58" t="str">
        <f>IF('Indicadores x proyec'!I40&lt;&gt;0,'Indicadores x proyec'!I40,"-")</f>
        <v>Anual</v>
      </c>
      <c r="I54" s="58" t="str">
        <f>IF('Indicadores x proyec'!J40&lt;&gt;0,'Indicadores x proyec'!J40,"-")</f>
        <v>-</v>
      </c>
      <c r="J54" s="33"/>
    </row>
    <row r="55" spans="1:10" ht="16.5" customHeight="1" thickBot="1">
      <c r="A55" s="56">
        <v>4</v>
      </c>
      <c r="B55" s="57" t="str">
        <f>IF('Indicadores x proyec'!B42&lt;&gt;0,'Indicadores x proyec'!B42,"-")</f>
        <v>-</v>
      </c>
      <c r="C55" s="60" t="str">
        <f>IF('Indicadores x proyec'!D42/100&lt;&gt;0,'Indicadores x proyec'!D42/100,"-")</f>
        <v>-</v>
      </c>
      <c r="D55" s="60" t="str">
        <f>IF('Indicadores x proyec'!E42/100&lt;&gt;0,'Indicadores x proyec'!E42/100,"-")</f>
        <v>-</v>
      </c>
      <c r="E55" s="60" t="str">
        <f>IF('Indicadores x proyec'!F42/100&lt;&gt;0,'Indicadores x proyec'!F42/100,"-")</f>
        <v>-</v>
      </c>
      <c r="F55" s="60" t="str">
        <f>IF('Indicadores x proyec'!G42/100&lt;&gt;0,'Indicadores x proyec'!G42/100,"-")</f>
        <v>-</v>
      </c>
      <c r="G55" s="60" t="str">
        <f>IF('Indicadores x proyec'!H42/100&lt;&gt;0,'Indicadores x proyec'!H42/100,"-")</f>
        <v>-</v>
      </c>
      <c r="H55" s="58" t="str">
        <f>IF('Indicadores x proyec'!I42&lt;&gt;0,'Indicadores x proyec'!I42,"-")</f>
        <v>Anual</v>
      </c>
      <c r="I55" s="58" t="str">
        <f>IF('Indicadores x proyec'!J42&lt;&gt;0,'Indicadores x proyec'!J42,"-")</f>
        <v>-</v>
      </c>
      <c r="J55" s="33"/>
    </row>
    <row r="56" spans="1:10" ht="16.5" customHeight="1" thickBot="1">
      <c r="A56" s="56">
        <v>5</v>
      </c>
      <c r="B56" s="42" t="str">
        <f>IF('4 Investigación abierta'!I10&lt;&gt;0,'4 Investigación abierta'!I10,"-")</f>
        <v>-</v>
      </c>
      <c r="C56" s="58" t="str">
        <f>IF('4 Investigación abierta'!R10&lt;&gt;0,'4 Investigación abierta'!R10,"-")</f>
        <v>-</v>
      </c>
      <c r="D56" s="58" t="str">
        <f>IF('4 Investigación abierta'!S10&lt;&gt;0,'4 Investigación abierta'!S10,"-")</f>
        <v>-</v>
      </c>
      <c r="E56" s="58" t="str">
        <f>IF('4 Investigación abierta'!T10&lt;&gt;0,'4 Investigación abierta'!T10,"-")</f>
        <v>-</v>
      </c>
      <c r="F56" s="58" t="str">
        <f>IF('4 Investigación abierta'!U10&lt;&gt;0,'4 Investigación abierta'!U10,"-")</f>
        <v>-</v>
      </c>
      <c r="G56" s="58" t="str">
        <f>IF('4 Investigación abierta'!V10&lt;&gt;0,'4 Investigación abierta'!V10,"-")</f>
        <v>-</v>
      </c>
      <c r="H56" s="58" t="str">
        <f>IF('4 Investigación abierta'!W10&lt;&gt;0,'4 Investigación abierta'!W10,"-")</f>
        <v>Anual</v>
      </c>
      <c r="I56" s="58" t="str">
        <f>IF('4 Investigación abierta'!X10&lt;&gt;0,'4 Investigación abierta'!X10,"-")</f>
        <v>-</v>
      </c>
      <c r="J56" s="33"/>
    </row>
    <row r="57" spans="1:10" ht="16.5" customHeight="1" thickBot="1">
      <c r="A57" s="56">
        <v>6</v>
      </c>
      <c r="B57" s="126" t="str">
        <f>IF('4 Investigación abierta'!I11&lt;&gt;0,'4 Investigación abierta'!I11,"-")</f>
        <v>-</v>
      </c>
      <c r="C57" s="58" t="str">
        <f>IF('4 Investigación abierta'!R11&lt;&gt;0,'4 Investigación abierta'!R11,"-")</f>
        <v>-</v>
      </c>
      <c r="D57" s="58" t="str">
        <f>IF('4 Investigación abierta'!S11&lt;&gt;0,'4 Investigación abierta'!S11,"-")</f>
        <v>-</v>
      </c>
      <c r="E57" s="58" t="str">
        <f>IF('4 Investigación abierta'!T11&lt;&gt;0,'4 Investigación abierta'!T11,"-")</f>
        <v>-</v>
      </c>
      <c r="F57" s="58" t="str">
        <f>IF('4 Investigación abierta'!U11&lt;&gt;0,'4 Investigación abierta'!U11,"-")</f>
        <v>-</v>
      </c>
      <c r="G57" s="58" t="str">
        <f>IF('4 Investigación abierta'!V11&lt;&gt;0,'4 Investigación abierta'!V11,"-")</f>
        <v>-</v>
      </c>
      <c r="H57" s="58" t="str">
        <f>IF('4 Investigación abierta'!W11&lt;&gt;0,'4 Investigación abierta'!W11,"-")</f>
        <v>Anual</v>
      </c>
      <c r="I57" s="58" t="str">
        <f>IF('4 Investigación abierta'!X11&lt;&gt;0,'4 Investigación abierta'!X11,"-")</f>
        <v>-</v>
      </c>
      <c r="J57" s="33"/>
    </row>
    <row r="58" spans="1:10" ht="16.5" customHeight="1" thickBot="1">
      <c r="A58" s="56">
        <v>7</v>
      </c>
      <c r="B58" s="57" t="str">
        <f>IF('Indicadores x proyec'!B44&lt;&gt;0,'Indicadores x proyec'!B44,"-")</f>
        <v>-</v>
      </c>
      <c r="C58" s="60" t="str">
        <f>IF('Indicadores x proyec'!D44/100&lt;&gt;0,'Indicadores x proyec'!D44/100,"-")</f>
        <v>-</v>
      </c>
      <c r="D58" s="60" t="str">
        <f>IF('Indicadores x proyec'!E44/100&lt;&gt;0,'Indicadores x proyec'!E44/100,"-")</f>
        <v>-</v>
      </c>
      <c r="E58" s="60" t="str">
        <f>IF('Indicadores x proyec'!F44/100&lt;&gt;0,'Indicadores x proyec'!F44/100,"-")</f>
        <v>-</v>
      </c>
      <c r="F58" s="60" t="str">
        <f>IF('Indicadores x proyec'!G44/100&lt;&gt;0,'Indicadores x proyec'!G44/100,"-")</f>
        <v>-</v>
      </c>
      <c r="G58" s="60" t="str">
        <f>IF('Indicadores x proyec'!H44/100&lt;&gt;0,'Indicadores x proyec'!H44/100,"-")</f>
        <v>-</v>
      </c>
      <c r="H58" s="58" t="str">
        <f>IF('Indicadores x proyec'!I44&lt;&gt;0,'Indicadores x proyec'!I44,"-")</f>
        <v>Anual</v>
      </c>
      <c r="I58" s="58" t="str">
        <f>IF('Indicadores x proyec'!J44&lt;&gt;0,'Indicadores x proyec'!J44,"-")</f>
        <v>-</v>
      </c>
      <c r="J58" s="33"/>
    </row>
    <row r="59" spans="1:10" ht="16.5" customHeight="1" thickBot="1">
      <c r="A59" s="56">
        <v>8</v>
      </c>
      <c r="B59" s="57" t="str">
        <f>IF('Indicadores x proyec'!B46&lt;&gt;0,'Indicadores x proyec'!B46,"-")</f>
        <v>-</v>
      </c>
      <c r="C59" s="60" t="str">
        <f>IF('Indicadores x proyec'!D46/100&lt;&gt;0,'Indicadores x proyec'!D46/100,"-")</f>
        <v>-</v>
      </c>
      <c r="D59" s="60" t="str">
        <f>IF('Indicadores x proyec'!E46/100&lt;&gt;0,'Indicadores x proyec'!E46/100,"-")</f>
        <v>-</v>
      </c>
      <c r="E59" s="60" t="str">
        <f>IF('Indicadores x proyec'!F46/100&lt;&gt;0,'Indicadores x proyec'!F46/100,"-")</f>
        <v>-</v>
      </c>
      <c r="F59" s="60" t="str">
        <f>IF('Indicadores x proyec'!G46/100&lt;&gt;0,'Indicadores x proyec'!G46/100,"-")</f>
        <v>-</v>
      </c>
      <c r="G59" s="60" t="str">
        <f>IF('Indicadores x proyec'!H46/100&lt;&gt;0,'Indicadores x proyec'!H46/100,"-")</f>
        <v>-</v>
      </c>
      <c r="H59" s="58" t="str">
        <f>IF('Indicadores x proyec'!I46&lt;&gt;0,'Indicadores x proyec'!I46,"-")</f>
        <v>Anual</v>
      </c>
      <c r="I59" s="58" t="str">
        <f>IF('Indicadores x proyec'!J46&lt;&gt;0,'Indicadores x proyec'!J46,"-")</f>
        <v>-</v>
      </c>
      <c r="J59" s="33"/>
    </row>
    <row r="60" spans="1:10">
      <c r="A60" s="68"/>
      <c r="B60" s="68"/>
      <c r="C60" s="69"/>
      <c r="D60" s="69"/>
      <c r="E60" s="69"/>
      <c r="F60" s="69"/>
      <c r="G60" s="69"/>
      <c r="H60" s="69"/>
      <c r="I60" s="69"/>
      <c r="J60" s="69"/>
    </row>
    <row r="61" spans="1:10">
      <c r="A61" s="68"/>
      <c r="B61" s="68"/>
      <c r="C61" s="69"/>
      <c r="D61" s="69"/>
      <c r="E61" s="69"/>
      <c r="F61" s="69"/>
      <c r="G61" s="69"/>
      <c r="H61" s="69"/>
      <c r="I61" s="69"/>
      <c r="J61" s="69"/>
    </row>
    <row r="62" spans="1:10" ht="16.5" customHeight="1">
      <c r="A62" s="222" t="s">
        <v>615</v>
      </c>
      <c r="B62" s="218"/>
      <c r="C62" s="219"/>
      <c r="D62" s="219"/>
      <c r="E62" s="219"/>
      <c r="F62" s="219"/>
      <c r="G62" s="219"/>
      <c r="H62" s="219"/>
      <c r="I62" s="219"/>
      <c r="J62" s="219"/>
    </row>
    <row r="63" spans="1:10">
      <c r="A63" s="220" t="s">
        <v>610</v>
      </c>
      <c r="B63" s="215" t="s">
        <v>598</v>
      </c>
      <c r="C63" s="215" t="s">
        <v>16</v>
      </c>
      <c r="D63" s="215">
        <v>2027</v>
      </c>
      <c r="E63" s="215">
        <v>2028</v>
      </c>
      <c r="F63" s="215">
        <v>2029</v>
      </c>
      <c r="G63" s="54" t="str">
        <f>TEXT($J$1,"mmmm")</f>
        <v>agosto</v>
      </c>
      <c r="H63" s="215" t="s">
        <v>611</v>
      </c>
      <c r="I63" s="215" t="s">
        <v>15</v>
      </c>
      <c r="J63" s="33"/>
    </row>
    <row r="64" spans="1:10" ht="16.5" customHeight="1" thickBot="1">
      <c r="A64" s="216"/>
      <c r="B64" s="216"/>
      <c r="C64" s="216"/>
      <c r="D64" s="216"/>
      <c r="E64" s="216"/>
      <c r="F64" s="216"/>
      <c r="G64" s="55">
        <v>2030</v>
      </c>
      <c r="H64" s="216"/>
      <c r="I64" s="216"/>
      <c r="J64" s="33"/>
    </row>
    <row r="65" spans="1:12" ht="16.5" customHeight="1" thickBot="1">
      <c r="A65" s="56">
        <v>1</v>
      </c>
      <c r="B65" s="126" t="str">
        <f>IF('5 Innovación, desarrollo tec'!I3&lt;&gt;0,'5 Innovación, desarrollo tec'!I3,"-")</f>
        <v>-</v>
      </c>
      <c r="C65" s="58" t="str">
        <f>IF('5 Innovación, desarrollo tec'!R3&lt;&gt;0,'5 Innovación, desarrollo tec'!R3,"-")</f>
        <v>-</v>
      </c>
      <c r="D65" s="58" t="str">
        <f>IF('5 Innovación, desarrollo tec'!S3&lt;&gt;0,'5 Innovación, desarrollo tec'!S3,"-")</f>
        <v>-</v>
      </c>
      <c r="E65" s="58" t="str">
        <f>IF('5 Innovación, desarrollo tec'!T3&lt;&gt;0,'5 Innovación, desarrollo tec'!T3,"-")</f>
        <v>-</v>
      </c>
      <c r="F65" s="58" t="str">
        <f>IF('5 Innovación, desarrollo tec'!U3&lt;&gt;0,'5 Innovación, desarrollo tec'!U3,"-")</f>
        <v>-</v>
      </c>
      <c r="G65" s="58" t="str">
        <f>IF('5 Innovación, desarrollo tec'!V3&lt;&gt;0,'5 Innovación, desarrollo tec'!V3,"-")</f>
        <v>-</v>
      </c>
      <c r="H65" s="58" t="str">
        <f>IF('5 Innovación, desarrollo tec'!W3&lt;&gt;0,'5 Innovación, desarrollo tec'!W3,"-")</f>
        <v>Anual</v>
      </c>
      <c r="I65" s="58" t="str">
        <f>IF('5 Innovación, desarrollo tec'!X3&lt;&gt;0,'5 Innovación, desarrollo tec'!X3,"-")</f>
        <v>-</v>
      </c>
      <c r="J65" s="33"/>
    </row>
    <row r="66" spans="1:12" ht="16.5" customHeight="1" thickBot="1">
      <c r="A66" s="56">
        <v>2</v>
      </c>
      <c r="B66" s="126" t="str">
        <f>IF('5 Innovación, desarrollo tec'!I4&lt;&gt;0,'5 Innovación, desarrollo tec'!I4,"-")</f>
        <v>-</v>
      </c>
      <c r="C66" s="58" t="str">
        <f>IF('5 Innovación, desarrollo tec'!R4&lt;&gt;0,'5 Innovación, desarrollo tec'!R4,"-")</f>
        <v>-</v>
      </c>
      <c r="D66" s="58" t="str">
        <f>IF('5 Innovación, desarrollo tec'!S4&lt;&gt;0,'5 Innovación, desarrollo tec'!S4,"-")</f>
        <v>-</v>
      </c>
      <c r="E66" s="58" t="str">
        <f>IF('5 Innovación, desarrollo tec'!T4&lt;&gt;0,'5 Innovación, desarrollo tec'!T4,"-")</f>
        <v>-</v>
      </c>
      <c r="F66" s="58" t="str">
        <f>IF('5 Innovación, desarrollo tec'!U4&lt;&gt;0,'5 Innovación, desarrollo tec'!U4,"-")</f>
        <v>-</v>
      </c>
      <c r="G66" s="58" t="str">
        <f>IF('5 Innovación, desarrollo tec'!V4&lt;&gt;0,'5 Innovación, desarrollo tec'!V4,"-")</f>
        <v>-</v>
      </c>
      <c r="H66" s="58" t="str">
        <f>IF('5 Innovación, desarrollo tec'!W4&lt;&gt;0,'5 Innovación, desarrollo tec'!W4,"-")</f>
        <v>Anual</v>
      </c>
      <c r="I66" s="58" t="str">
        <f>IF('5 Innovación, desarrollo tec'!X4&lt;&gt;0,'5 Innovación, desarrollo tec'!X4,"-")</f>
        <v>-</v>
      </c>
      <c r="J66" s="33"/>
    </row>
    <row r="67" spans="1:12">
      <c r="A67" s="68"/>
      <c r="B67" s="68"/>
      <c r="C67" s="69"/>
      <c r="D67" s="69"/>
      <c r="E67" s="69"/>
      <c r="F67" s="69"/>
      <c r="G67" s="69"/>
      <c r="H67" s="69"/>
      <c r="I67" s="69"/>
      <c r="J67" s="69"/>
    </row>
    <row r="68" spans="1:12">
      <c r="A68" s="68"/>
      <c r="B68" s="68"/>
      <c r="C68" s="69"/>
      <c r="D68" s="69"/>
      <c r="E68" s="69"/>
      <c r="F68" s="69"/>
      <c r="G68" s="69"/>
      <c r="H68" s="69"/>
      <c r="I68" s="69"/>
      <c r="J68" s="69"/>
    </row>
    <row r="69" spans="1:12" ht="16.5" customHeight="1">
      <c r="A69" s="217" t="s">
        <v>616</v>
      </c>
      <c r="B69" s="218"/>
      <c r="C69" s="219"/>
      <c r="D69" s="219"/>
      <c r="E69" s="219"/>
      <c r="F69" s="219"/>
      <c r="G69" s="219"/>
      <c r="H69" s="219"/>
      <c r="I69" s="219"/>
      <c r="J69" s="219"/>
    </row>
    <row r="70" spans="1:12">
      <c r="A70" s="220" t="s">
        <v>610</v>
      </c>
      <c r="B70" s="220" t="s">
        <v>598</v>
      </c>
      <c r="C70" s="215" t="s">
        <v>16</v>
      </c>
      <c r="D70" s="215">
        <v>2027</v>
      </c>
      <c r="E70" s="215">
        <v>2028</v>
      </c>
      <c r="F70" s="215">
        <v>2029</v>
      </c>
      <c r="G70" s="54" t="str">
        <f>TEXT($J$1,"mmmm")</f>
        <v>agosto</v>
      </c>
      <c r="H70" s="215" t="s">
        <v>611</v>
      </c>
      <c r="I70" s="215" t="s">
        <v>15</v>
      </c>
      <c r="J70" s="33"/>
    </row>
    <row r="71" spans="1:12" ht="16.5" customHeight="1" thickBot="1">
      <c r="A71" s="216"/>
      <c r="B71" s="216"/>
      <c r="C71" s="216"/>
      <c r="D71" s="216"/>
      <c r="E71" s="216"/>
      <c r="F71" s="216"/>
      <c r="G71" s="55">
        <v>2030</v>
      </c>
      <c r="H71" s="216"/>
      <c r="I71" s="216"/>
      <c r="J71" s="33"/>
    </row>
    <row r="72" spans="1:12" ht="16.5" customHeight="1" thickBot="1">
      <c r="A72" s="58">
        <v>1</v>
      </c>
      <c r="B72" s="70" t="str">
        <f>IF('6 Dif y divulga de la ciencia'!I3&lt;&gt;0,'6 Dif y divulga de la ciencia'!I3,"-")</f>
        <v>-</v>
      </c>
      <c r="C72" s="58" t="str">
        <f>IF('6 Dif y divulga de la ciencia'!R3&lt;&gt;0,'6 Dif y divulga de la ciencia'!R3,"-")</f>
        <v>-</v>
      </c>
      <c r="D72" s="58" t="str">
        <f>IF('6 Dif y divulga de la ciencia'!S3&lt;&gt;0,'6 Dif y divulga de la ciencia'!S3,"-")</f>
        <v>-</v>
      </c>
      <c r="E72" s="58" t="str">
        <f>IF('6 Dif y divulga de la ciencia'!T3&lt;&gt;0,'6 Dif y divulga de la ciencia'!T3,"-")</f>
        <v>-</v>
      </c>
      <c r="F72" s="58" t="str">
        <f>IF('6 Dif y divulga de la ciencia'!U3&lt;&gt;0,'6 Dif y divulga de la ciencia'!U3,"-")</f>
        <v>-</v>
      </c>
      <c r="G72" s="58" t="str">
        <f>IF('6 Dif y divulga de la ciencia'!V3&lt;&gt;0,'6 Dif y divulga de la ciencia'!V3,"-")</f>
        <v>-</v>
      </c>
      <c r="H72" s="58" t="str">
        <f>IF('6 Dif y divulga de la ciencia'!W3&lt;&gt;0,'6 Dif y divulga de la ciencia'!W3,"-")</f>
        <v>Anual</v>
      </c>
      <c r="I72" s="58" t="str">
        <f>IF('6 Dif y divulga de la ciencia'!X3&lt;&gt;0,'6 Dif y divulga de la ciencia'!X3,"-")</f>
        <v>-</v>
      </c>
      <c r="J72" s="33"/>
    </row>
    <row r="73" spans="1:12" ht="16.5" customHeight="1" thickBot="1">
      <c r="A73" s="58">
        <v>2</v>
      </c>
      <c r="B73" s="70" t="str">
        <f>IF('6 Dif y divulga de la ciencia'!I4&lt;&gt;0,'6 Dif y divulga de la ciencia'!I4,"-")</f>
        <v>-</v>
      </c>
      <c r="C73" s="58" t="str">
        <f>IF('6 Dif y divulga de la ciencia'!R4&lt;&gt;0,'6 Dif y divulga de la ciencia'!R4,"-")</f>
        <v>-</v>
      </c>
      <c r="D73" s="58" t="str">
        <f>IF('6 Dif y divulga de la ciencia'!S4&lt;&gt;0,'6 Dif y divulga de la ciencia'!S4,"-")</f>
        <v>-</v>
      </c>
      <c r="E73" s="58" t="str">
        <f>IF('6 Dif y divulga de la ciencia'!T4&lt;&gt;0,'6 Dif y divulga de la ciencia'!T4,"-")</f>
        <v>-</v>
      </c>
      <c r="F73" s="58" t="str">
        <f>IF('6 Dif y divulga de la ciencia'!U4&lt;&gt;0,'6 Dif y divulga de la ciencia'!U4,"-")</f>
        <v>-</v>
      </c>
      <c r="G73" s="58" t="str">
        <f>IF('6 Dif y divulga de la ciencia'!V4&lt;&gt;0,'6 Dif y divulga de la ciencia'!V4,"-")</f>
        <v>-</v>
      </c>
      <c r="H73" s="58" t="str">
        <f>IF('6 Dif y divulga de la ciencia'!W4&lt;&gt;0,'6 Dif y divulga de la ciencia'!W4,"-")</f>
        <v>Anual</v>
      </c>
      <c r="I73" s="58" t="str">
        <f>IF('6 Dif y divulga de la ciencia'!X4&lt;&gt;0,'6 Dif y divulga de la ciencia'!X4,"-")</f>
        <v>-</v>
      </c>
      <c r="J73" s="33"/>
      <c r="L73" s="42"/>
    </row>
    <row r="74" spans="1:12" ht="16.5" customHeight="1" thickBot="1">
      <c r="A74" s="58">
        <v>3</v>
      </c>
      <c r="B74" s="70" t="str">
        <f>IF('6 Dif y divulga de la ciencia'!I5&lt;&gt;0,'6 Dif y divulga de la ciencia'!I5,"-")</f>
        <v>-</v>
      </c>
      <c r="C74" s="58" t="str">
        <f>IF('6 Dif y divulga de la ciencia'!R5&lt;&gt;0,'6 Dif y divulga de la ciencia'!R5,"-")</f>
        <v>-</v>
      </c>
      <c r="D74" s="58" t="str">
        <f>IF('6 Dif y divulga de la ciencia'!S5&lt;&gt;0,'6 Dif y divulga de la ciencia'!S5,"-")</f>
        <v>-</v>
      </c>
      <c r="E74" s="58" t="str">
        <f>IF('6 Dif y divulga de la ciencia'!T5&lt;&gt;0,'6 Dif y divulga de la ciencia'!T5,"-")</f>
        <v>-</v>
      </c>
      <c r="F74" s="58" t="str">
        <f>IF('6 Dif y divulga de la ciencia'!U5&lt;&gt;0,'6 Dif y divulga de la ciencia'!U5,"-")</f>
        <v>-</v>
      </c>
      <c r="G74" s="58" t="str">
        <f>IF('6 Dif y divulga de la ciencia'!V5&lt;&gt;0,'6 Dif y divulga de la ciencia'!V5,"-")</f>
        <v>-</v>
      </c>
      <c r="H74" s="58" t="str">
        <f>IF('6 Dif y divulga de la ciencia'!W5&lt;&gt;0,'6 Dif y divulga de la ciencia'!W5,"-")</f>
        <v>Anual</v>
      </c>
      <c r="I74" s="58" t="str">
        <f>IF('6 Dif y divulga de la ciencia'!X5&lt;&gt;0,'6 Dif y divulga de la ciencia'!X5,"-")</f>
        <v>-</v>
      </c>
      <c r="J74" s="33"/>
    </row>
    <row r="75" spans="1:12">
      <c r="A75" s="63"/>
      <c r="B75" s="71"/>
      <c r="C75" s="61"/>
      <c r="D75" s="61"/>
      <c r="E75" s="61"/>
      <c r="F75" s="61"/>
      <c r="G75" s="61"/>
      <c r="H75" s="61"/>
      <c r="I75" s="61"/>
      <c r="J75" s="61"/>
    </row>
    <row r="76" spans="1:12" ht="19.5" customHeight="1">
      <c r="A76" s="53" t="s">
        <v>617</v>
      </c>
      <c r="B76" s="72"/>
      <c r="C76" s="73"/>
      <c r="D76" s="73"/>
      <c r="E76" s="73"/>
      <c r="F76" s="73"/>
      <c r="G76" s="73"/>
      <c r="H76" s="73"/>
      <c r="I76" s="73"/>
      <c r="J76" s="73"/>
    </row>
    <row r="77" spans="1:12" ht="16.5" customHeight="1">
      <c r="A77" s="217" t="s">
        <v>618</v>
      </c>
      <c r="B77" s="218"/>
      <c r="C77" s="219"/>
      <c r="D77" s="219"/>
      <c r="E77" s="219"/>
      <c r="F77" s="219"/>
      <c r="G77" s="219"/>
      <c r="H77" s="219"/>
      <c r="I77" s="219"/>
      <c r="J77" s="219"/>
    </row>
    <row r="78" spans="1:12">
      <c r="A78" s="220" t="s">
        <v>610</v>
      </c>
      <c r="B78" s="215" t="s">
        <v>598</v>
      </c>
      <c r="C78" s="215" t="s">
        <v>16</v>
      </c>
      <c r="D78" s="215">
        <v>2027</v>
      </c>
      <c r="E78" s="215">
        <v>2028</v>
      </c>
      <c r="F78" s="215">
        <v>2029</v>
      </c>
      <c r="G78" s="54" t="str">
        <f>TEXT($J$1,"mmmm")</f>
        <v>agosto</v>
      </c>
      <c r="H78" s="215" t="s">
        <v>611</v>
      </c>
      <c r="I78" s="215" t="s">
        <v>15</v>
      </c>
      <c r="J78" s="33"/>
    </row>
    <row r="79" spans="1:12" ht="16.5" customHeight="1" thickBot="1">
      <c r="A79" s="216"/>
      <c r="B79" s="216"/>
      <c r="C79" s="216"/>
      <c r="D79" s="216"/>
      <c r="E79" s="216"/>
      <c r="F79" s="216"/>
      <c r="G79" s="55">
        <v>2030</v>
      </c>
      <c r="H79" s="216"/>
      <c r="I79" s="216"/>
      <c r="J79" s="33"/>
    </row>
    <row r="80" spans="1:12" ht="16.5" customHeight="1" thickBot="1">
      <c r="A80" s="58">
        <v>1</v>
      </c>
      <c r="B80" s="74" t="str">
        <f>IF('7 Cultura desarrollo integral'!I3&lt;&gt;0,'7 Cultura desarrollo integral'!I3,"-")</f>
        <v>-</v>
      </c>
      <c r="C80" s="58" t="str">
        <f>IF('7 Cultura desarrollo integral'!R3&lt;&gt;0,'7 Cultura desarrollo integral'!R3,"-")</f>
        <v>-</v>
      </c>
      <c r="D80" s="58" t="str">
        <f>IF('7 Cultura desarrollo integral'!S3&lt;&gt;0,'7 Cultura desarrollo integral'!S3,"-")</f>
        <v>-</v>
      </c>
      <c r="E80" s="58" t="str">
        <f>IF('7 Cultura desarrollo integral'!T3&lt;&gt;0,'7 Cultura desarrollo integral'!T3,"-")</f>
        <v>-</v>
      </c>
      <c r="F80" s="58" t="str">
        <f>IF('7 Cultura desarrollo integral'!U3&lt;&gt;0,'7 Cultura desarrollo integral'!U3,"-")</f>
        <v>-</v>
      </c>
      <c r="G80" s="58" t="str">
        <f>IF('7 Cultura desarrollo integral'!V3&lt;&gt;0,'7 Cultura desarrollo integral'!V3,"-")</f>
        <v>-</v>
      </c>
      <c r="H80" s="58" t="str">
        <f>IF('7 Cultura desarrollo integral'!W3&lt;&gt;0,'7 Cultura desarrollo integral'!W3,"-")</f>
        <v xml:space="preserve">Anual </v>
      </c>
      <c r="I80" s="58" t="str">
        <f>IF('7 Cultura desarrollo integral'!X3&lt;&gt;0,'7 Cultura desarrollo integral'!X3,"-")</f>
        <v>-</v>
      </c>
      <c r="J80" s="33"/>
    </row>
    <row r="81" spans="1:10" ht="16.5" customHeight="1" thickBot="1">
      <c r="A81" s="58">
        <v>2</v>
      </c>
      <c r="B81" s="74" t="str">
        <f>IF('7 Cultura desarrollo integral'!I4&lt;&gt;0,'7 Cultura desarrollo integral'!I4,"-")</f>
        <v>-</v>
      </c>
      <c r="C81" s="58" t="str">
        <f>IF('7 Cultura desarrollo integral'!R4&lt;&gt;0,'7 Cultura desarrollo integral'!R4,"-")</f>
        <v>-</v>
      </c>
      <c r="D81" s="58" t="str">
        <f>IF('7 Cultura desarrollo integral'!S4&lt;&gt;0,'7 Cultura desarrollo integral'!S4,"-")</f>
        <v>-</v>
      </c>
      <c r="E81" s="58" t="str">
        <f>IF('7 Cultura desarrollo integral'!T4&lt;&gt;0,'7 Cultura desarrollo integral'!T4,"-")</f>
        <v>-</v>
      </c>
      <c r="F81" s="58" t="str">
        <f>IF('7 Cultura desarrollo integral'!U4&lt;&gt;0,'7 Cultura desarrollo integral'!U4,"-")</f>
        <v>-</v>
      </c>
      <c r="G81" s="58" t="str">
        <f>IF('7 Cultura desarrollo integral'!V4&lt;&gt;0,'7 Cultura desarrollo integral'!V4,"-")</f>
        <v>-</v>
      </c>
      <c r="H81" s="58" t="str">
        <f>IF('7 Cultura desarrollo integral'!W4&lt;&gt;0,'7 Cultura desarrollo integral'!W4,"-")</f>
        <v xml:space="preserve">Anual </v>
      </c>
      <c r="I81" s="58" t="str">
        <f>IF('7 Cultura desarrollo integral'!X4&lt;&gt;0,'7 Cultura desarrollo integral'!X4,"-")</f>
        <v>-</v>
      </c>
      <c r="J81" s="33"/>
    </row>
    <row r="82" spans="1:10" ht="16.5" customHeight="1" thickBot="1">
      <c r="A82" s="58">
        <v>3</v>
      </c>
      <c r="B82" s="74" t="str">
        <f>IF('7 Cultura desarrollo integral'!I5&lt;&gt;0,'7 Cultura desarrollo integral'!I5,"-")</f>
        <v>-</v>
      </c>
      <c r="C82" s="58" t="str">
        <f>IF('7 Cultura desarrollo integral'!R5&lt;&gt;0,'7 Cultura desarrollo integral'!R5,"-")</f>
        <v>-</v>
      </c>
      <c r="D82" s="58" t="str">
        <f>IF('7 Cultura desarrollo integral'!S5&lt;&gt;0,'7 Cultura desarrollo integral'!S5,"-")</f>
        <v>-</v>
      </c>
      <c r="E82" s="58" t="str">
        <f>IF('7 Cultura desarrollo integral'!T5&lt;&gt;0,'7 Cultura desarrollo integral'!T5,"-")</f>
        <v>-</v>
      </c>
      <c r="F82" s="58" t="str">
        <f>IF('7 Cultura desarrollo integral'!U5&lt;&gt;0,'7 Cultura desarrollo integral'!U5,"-")</f>
        <v>-</v>
      </c>
      <c r="G82" s="58" t="str">
        <f>IF('7 Cultura desarrollo integral'!V5&lt;&gt;0,'7 Cultura desarrollo integral'!V5,"-")</f>
        <v>-</v>
      </c>
      <c r="H82" s="58" t="str">
        <f>IF('7 Cultura desarrollo integral'!W5&lt;&gt;0,'7 Cultura desarrollo integral'!W5,"-")</f>
        <v xml:space="preserve">Anual </v>
      </c>
      <c r="I82" s="58" t="str">
        <f>IF('7 Cultura desarrollo integral'!X5&lt;&gt;0,'7 Cultura desarrollo integral'!X5,"-")</f>
        <v>-</v>
      </c>
      <c r="J82" s="33"/>
    </row>
    <row r="83" spans="1:10" ht="16.5" customHeight="1" thickBot="1">
      <c r="A83" s="58">
        <v>4</v>
      </c>
      <c r="B83" s="74" t="str">
        <f>IF('7 Cultura desarrollo integral'!I6&lt;&gt;0,'7 Cultura desarrollo integral'!I6,"-")</f>
        <v>-</v>
      </c>
      <c r="C83" s="58" t="str">
        <f>IF('7 Cultura desarrollo integral'!R6&lt;&gt;0,'7 Cultura desarrollo integral'!R6,"-")</f>
        <v>-</v>
      </c>
      <c r="D83" s="58" t="str">
        <f>IF('7 Cultura desarrollo integral'!S6&lt;&gt;0,'7 Cultura desarrollo integral'!S6,"-")</f>
        <v>-</v>
      </c>
      <c r="E83" s="58" t="str">
        <f>IF('7 Cultura desarrollo integral'!T6&lt;&gt;0,'7 Cultura desarrollo integral'!T6,"-")</f>
        <v>-</v>
      </c>
      <c r="F83" s="58" t="str">
        <f>IF('7 Cultura desarrollo integral'!U6&lt;&gt;0,'7 Cultura desarrollo integral'!U6,"-")</f>
        <v>-</v>
      </c>
      <c r="G83" s="58" t="str">
        <f>IF('7 Cultura desarrollo integral'!V6&lt;&gt;0,'7 Cultura desarrollo integral'!V6,"-")</f>
        <v>-</v>
      </c>
      <c r="H83" s="58" t="str">
        <f>IF('7 Cultura desarrollo integral'!W6&lt;&gt;0,'7 Cultura desarrollo integral'!W6,"-")</f>
        <v xml:space="preserve">Anual </v>
      </c>
      <c r="I83" s="58" t="str">
        <f>IF('7 Cultura desarrollo integral'!X6&lt;&gt;0,'7 Cultura desarrollo integral'!X6,"-")</f>
        <v>-</v>
      </c>
      <c r="J83" s="33"/>
    </row>
    <row r="84" spans="1:10" ht="16.5" customHeight="1" thickBot="1">
      <c r="A84" s="58">
        <v>5</v>
      </c>
      <c r="B84" s="74" t="str">
        <f>IF('7 Cultura desarrollo integral'!I7&lt;&gt;0,'7 Cultura desarrollo integral'!I7,"-")</f>
        <v>-</v>
      </c>
      <c r="C84" s="58" t="str">
        <f>IF('7 Cultura desarrollo integral'!R7&lt;&gt;0,'7 Cultura desarrollo integral'!R7,"-")</f>
        <v>-</v>
      </c>
      <c r="D84" s="58" t="str">
        <f>IF('7 Cultura desarrollo integral'!S7&lt;&gt;0,'7 Cultura desarrollo integral'!S7,"-")</f>
        <v>-</v>
      </c>
      <c r="E84" s="58" t="str">
        <f>IF('7 Cultura desarrollo integral'!T7&lt;&gt;0,'7 Cultura desarrollo integral'!T7,"-")</f>
        <v>-</v>
      </c>
      <c r="F84" s="58" t="str">
        <f>IF('7 Cultura desarrollo integral'!U7&lt;&gt;0,'7 Cultura desarrollo integral'!U7,"-")</f>
        <v>-</v>
      </c>
      <c r="G84" s="58" t="str">
        <f>IF('7 Cultura desarrollo integral'!V7&lt;&gt;0,'7 Cultura desarrollo integral'!V7,"-")</f>
        <v>-</v>
      </c>
      <c r="H84" s="58" t="str">
        <f>IF('7 Cultura desarrollo integral'!W7&lt;&gt;0,'7 Cultura desarrollo integral'!W7,"-")</f>
        <v xml:space="preserve">Anual </v>
      </c>
      <c r="I84" s="58" t="str">
        <f>IF('7 Cultura desarrollo integral'!X7&lt;&gt;0,'7 Cultura desarrollo integral'!X7,"-")</f>
        <v>-</v>
      </c>
      <c r="J84" s="33"/>
    </row>
    <row r="85" spans="1:10" ht="16.5" customHeight="1" thickBot="1">
      <c r="A85" s="58">
        <v>6</v>
      </c>
      <c r="B85" s="74" t="str">
        <f>IF('7 Cultura desarrollo integral'!I8&lt;&gt;0,'7 Cultura desarrollo integral'!I8,"-")</f>
        <v>-</v>
      </c>
      <c r="C85" s="58" t="str">
        <f>IF('7 Cultura desarrollo integral'!R8&lt;&gt;0,'7 Cultura desarrollo integral'!R8,"-")</f>
        <v>-</v>
      </c>
      <c r="D85" s="58" t="str">
        <f>IF('7 Cultura desarrollo integral'!S8&lt;&gt;0,'7 Cultura desarrollo integral'!S8,"-")</f>
        <v>-</v>
      </c>
      <c r="E85" s="58" t="str">
        <f>IF('7 Cultura desarrollo integral'!T8&lt;&gt;0,'7 Cultura desarrollo integral'!T8,"-")</f>
        <v>-</v>
      </c>
      <c r="F85" s="58" t="str">
        <f>IF('7 Cultura desarrollo integral'!U8&lt;&gt;0,'7 Cultura desarrollo integral'!U8,"-")</f>
        <v>-</v>
      </c>
      <c r="G85" s="58" t="str">
        <f>IF('7 Cultura desarrollo integral'!V8&lt;&gt;0,'7 Cultura desarrollo integral'!V8,"-")</f>
        <v>-</v>
      </c>
      <c r="H85" s="58" t="str">
        <f>IF('7 Cultura desarrollo integral'!W8&lt;&gt;0,'7 Cultura desarrollo integral'!W8,"-")</f>
        <v xml:space="preserve">Anual </v>
      </c>
      <c r="I85" s="58" t="str">
        <f>IF('7 Cultura desarrollo integral'!X8&lt;&gt;0,'7 Cultura desarrollo integral'!X8,"-")</f>
        <v>-</v>
      </c>
      <c r="J85" s="33"/>
    </row>
    <row r="86" spans="1:10">
      <c r="A86" s="63"/>
      <c r="B86" s="72"/>
      <c r="C86" s="73"/>
      <c r="D86" s="73"/>
      <c r="E86" s="73"/>
      <c r="F86" s="73"/>
      <c r="G86" s="73"/>
      <c r="H86" s="73"/>
      <c r="I86" s="73"/>
      <c r="J86" s="73"/>
    </row>
    <row r="87" spans="1:10">
      <c r="A87" s="63"/>
      <c r="B87" s="72"/>
      <c r="C87" s="73"/>
      <c r="D87" s="73"/>
      <c r="E87" s="73"/>
      <c r="F87" s="73"/>
      <c r="G87" s="73"/>
      <c r="H87" s="73"/>
      <c r="I87" s="73"/>
      <c r="J87" s="73"/>
    </row>
    <row r="88" spans="1:10" ht="16.5" customHeight="1">
      <c r="A88" s="217" t="s">
        <v>619</v>
      </c>
      <c r="B88" s="218"/>
      <c r="C88" s="219"/>
      <c r="D88" s="219"/>
      <c r="E88" s="219"/>
      <c r="F88" s="219"/>
      <c r="G88" s="219"/>
      <c r="H88" s="219"/>
      <c r="I88" s="219"/>
      <c r="J88" s="219"/>
    </row>
    <row r="89" spans="1:10">
      <c r="A89" s="220" t="s">
        <v>610</v>
      </c>
      <c r="B89" s="215" t="s">
        <v>598</v>
      </c>
      <c r="C89" s="215" t="s">
        <v>16</v>
      </c>
      <c r="D89" s="215">
        <v>2027</v>
      </c>
      <c r="E89" s="215">
        <v>2028</v>
      </c>
      <c r="F89" s="215">
        <v>2029</v>
      </c>
      <c r="G89" s="54" t="str">
        <f>TEXT($J$1,"mmmm")</f>
        <v>agosto</v>
      </c>
      <c r="H89" s="215" t="s">
        <v>611</v>
      </c>
      <c r="I89" s="215" t="s">
        <v>15</v>
      </c>
      <c r="J89" s="33"/>
    </row>
    <row r="90" spans="1:10" ht="16.5" customHeight="1" thickBot="1">
      <c r="A90" s="216"/>
      <c r="B90" s="216"/>
      <c r="C90" s="216"/>
      <c r="D90" s="216"/>
      <c r="E90" s="216"/>
      <c r="F90" s="216"/>
      <c r="G90" s="55">
        <v>2030</v>
      </c>
      <c r="H90" s="216"/>
      <c r="I90" s="216"/>
      <c r="J90" s="33"/>
    </row>
    <row r="91" spans="1:10" ht="16.5" customHeight="1" thickBot="1">
      <c r="A91" s="58">
        <v>1</v>
      </c>
      <c r="B91" s="70" t="str">
        <f>IF('8 Deporte universitario'!I3&lt;&gt;0,'8 Deporte universitario'!I3,"-")</f>
        <v>-</v>
      </c>
      <c r="C91" s="58" t="str">
        <f>IF('8 Deporte universitario'!R3&lt;&gt;0,'8 Deporte universitario'!R3,"-")</f>
        <v>-</v>
      </c>
      <c r="D91" s="58" t="str">
        <f>IF('8 Deporte universitario'!S3&lt;&gt;0,'8 Deporte universitario'!S3,"-")</f>
        <v>-</v>
      </c>
      <c r="E91" s="58" t="str">
        <f>IF('8 Deporte universitario'!T3&lt;&gt;0,'8 Deporte universitario'!T3,"-")</f>
        <v>-</v>
      </c>
      <c r="F91" s="58" t="str">
        <f>IF('8 Deporte universitario'!U3&lt;&gt;0,'8 Deporte universitario'!U3,"-")</f>
        <v>-</v>
      </c>
      <c r="G91" s="58" t="str">
        <f>IF('8 Deporte universitario'!V3&lt;&gt;0,'8 Deporte universitario'!V3,"-")</f>
        <v>-</v>
      </c>
      <c r="H91" s="58" t="str">
        <f>IF('8 Deporte universitario'!W3&lt;&gt;0,'8 Deporte universitario'!W3,"-")</f>
        <v>Anual</v>
      </c>
      <c r="I91" s="58" t="str">
        <f>IF('8 Deporte universitario'!X3&lt;&gt;0,'8 Deporte universitario'!X3,"-")</f>
        <v>-</v>
      </c>
      <c r="J91" s="33"/>
    </row>
    <row r="92" spans="1:10" ht="16.5" customHeight="1" thickBot="1">
      <c r="A92" s="58">
        <v>2</v>
      </c>
      <c r="B92" s="70" t="str">
        <f>IF('Indicadores x proyec'!B52&lt;&gt;0,'Indicadores x proyec'!B52,"-")</f>
        <v>-</v>
      </c>
      <c r="C92" s="60" t="str">
        <f>IF('Indicadores x proyec'!D52/100&lt;&gt;0,'Indicadores x proyec'!D52/100,"-")</f>
        <v>-</v>
      </c>
      <c r="D92" s="60" t="str">
        <f>IF('Indicadores x proyec'!E52/100&lt;&gt;0,'Indicadores x proyec'!E52/100,"-")</f>
        <v>-</v>
      </c>
      <c r="E92" s="60" t="str">
        <f>IF('Indicadores x proyec'!F52/100&lt;&gt;0,'Indicadores x proyec'!F52/100,"-")</f>
        <v>-</v>
      </c>
      <c r="F92" s="60" t="str">
        <f>IF('Indicadores x proyec'!G52/100&lt;&gt;0,'Indicadores x proyec'!G52/100,"-")</f>
        <v>-</v>
      </c>
      <c r="G92" s="60" t="str">
        <f>IF('Indicadores x proyec'!H52/100&lt;&gt;0,'Indicadores x proyec'!H52/100,"-")</f>
        <v>-</v>
      </c>
      <c r="H92" s="58" t="str">
        <f>IF('Indicadores x proyec'!I52&lt;&gt;0,'Indicadores x proyec'!I52,"-")</f>
        <v>Anual</v>
      </c>
      <c r="I92" s="58" t="str">
        <f>IF('Indicadores x proyec'!J52&lt;&gt;0,'Indicadores x proyec'!J52,"-")</f>
        <v>-</v>
      </c>
      <c r="J92" s="33"/>
    </row>
    <row r="93" spans="1:10" ht="16.5" customHeight="1" thickBot="1">
      <c r="A93" s="58">
        <v>3</v>
      </c>
      <c r="B93" s="70" t="str">
        <f>IF('Indicadores x proyec'!B54&lt;&gt;0,'Indicadores x proyec'!B54,"-")</f>
        <v>-</v>
      </c>
      <c r="C93" s="113" t="str">
        <f>IF('Indicadores x proyec'!D54/100&lt;&gt;0,'Indicadores x proyec'!D54/100,"-")</f>
        <v>-</v>
      </c>
      <c r="D93" s="113" t="str">
        <f>IF('Indicadores x proyec'!E54/100&lt;&gt;0,'Indicadores x proyec'!E54/100,"-")</f>
        <v>-</v>
      </c>
      <c r="E93" s="113" t="str">
        <f>IF('Indicadores x proyec'!F54/100&lt;&gt;0,'Indicadores x proyec'!F54/100,"-")</f>
        <v>-</v>
      </c>
      <c r="F93" s="113" t="str">
        <f>IF('Indicadores x proyec'!G54/100&lt;&gt;0,'Indicadores x proyec'!G54/100,"-")</f>
        <v>-</v>
      </c>
      <c r="G93" s="113" t="str">
        <f>IF('Indicadores x proyec'!H54/100&lt;&gt;0,'Indicadores x proyec'!H54/100,"-")</f>
        <v>-</v>
      </c>
      <c r="H93" s="58" t="str">
        <f>IF('Indicadores x proyec'!I54&lt;&gt;0,'Indicadores x proyec'!I54,"-")</f>
        <v>Anual</v>
      </c>
      <c r="I93" s="58" t="str">
        <f>IF('Indicadores x proyec'!J54&lt;&gt;0,'Indicadores x proyec'!J54,"-")</f>
        <v>-</v>
      </c>
      <c r="J93" s="33"/>
    </row>
    <row r="94" spans="1:10" ht="16.5" customHeight="1" thickBot="1">
      <c r="A94" s="58">
        <v>4</v>
      </c>
      <c r="B94" s="70" t="str">
        <f>IF('Indicadores x proyec'!B56&lt;&gt;0,'Indicadores x proyec'!B56,"-")</f>
        <v>-</v>
      </c>
      <c r="C94" s="60" t="str">
        <f>IF('Indicadores x proyec'!D56/100&lt;&gt;0,'Indicadores x proyec'!D56/100,"-")</f>
        <v>-</v>
      </c>
      <c r="D94" s="60" t="str">
        <f>IF('Indicadores x proyec'!E56/100&lt;&gt;0,'Indicadores x proyec'!E56/100,"-")</f>
        <v>-</v>
      </c>
      <c r="E94" s="60" t="str">
        <f>IF('Indicadores x proyec'!F56/100&lt;&gt;0,'Indicadores x proyec'!F56/100,"-")</f>
        <v>-</v>
      </c>
      <c r="F94" s="60" t="str">
        <f>IF('Indicadores x proyec'!G56/100&lt;&gt;0,'Indicadores x proyec'!G56/100,"-")</f>
        <v>-</v>
      </c>
      <c r="G94" s="60" t="str">
        <f>IF('Indicadores x proyec'!H56/100&lt;&gt;0,'Indicadores x proyec'!H56/100,"-")</f>
        <v>-</v>
      </c>
      <c r="H94" s="58" t="str">
        <f>IF('Indicadores x proyec'!I56&lt;&gt;0,'Indicadores x proyec'!I56,"-")</f>
        <v>Anual</v>
      </c>
      <c r="I94" s="58" t="str">
        <f>IF('Indicadores x proyec'!J56&lt;&gt;0,'Indicadores x proyec'!J56,"-")</f>
        <v>-</v>
      </c>
      <c r="J94" s="33"/>
    </row>
    <row r="95" spans="1:10" ht="16.5" customHeight="1" thickBot="1">
      <c r="A95" s="58">
        <v>5</v>
      </c>
      <c r="B95" s="70" t="str">
        <f>IF('8 Deporte universitario'!I10&lt;&gt;0,'8 Deporte universitario'!I10,"-")</f>
        <v>-</v>
      </c>
      <c r="C95" s="58" t="str">
        <f>IF('8 Deporte universitario'!R10&lt;&gt;0,'8 Deporte universitario'!R10,"-")</f>
        <v>-</v>
      </c>
      <c r="D95" s="58" t="str">
        <f>IF('8 Deporte universitario'!S10&lt;&gt;0,'8 Deporte universitario'!S10,"-")</f>
        <v>-</v>
      </c>
      <c r="E95" s="58" t="str">
        <f>IF('8 Deporte universitario'!T10&lt;&gt;0,'8 Deporte universitario'!T10,"-")</f>
        <v>-</v>
      </c>
      <c r="F95" s="58" t="str">
        <f>IF('8 Deporte universitario'!U10&lt;&gt;0,'8 Deporte universitario'!U10,"-")</f>
        <v>-</v>
      </c>
      <c r="G95" s="58" t="str">
        <f>IF('8 Deporte universitario'!V10&lt;&gt;0,'8 Deporte universitario'!V10,"-")</f>
        <v>-</v>
      </c>
      <c r="H95" s="58" t="str">
        <f>IF('8 Deporte universitario'!W10&lt;&gt;0,'8 Deporte universitario'!W10,"-")</f>
        <v>Anual</v>
      </c>
      <c r="I95" s="58" t="str">
        <f>IF('8 Deporte universitario'!X10&lt;&gt;0,'8 Deporte universitario'!X10,"-")</f>
        <v>-</v>
      </c>
      <c r="J95" s="33"/>
    </row>
    <row r="96" spans="1:10">
      <c r="A96" s="75"/>
      <c r="B96" s="76"/>
      <c r="C96" s="77"/>
      <c r="D96" s="77"/>
      <c r="E96" s="77"/>
      <c r="F96" s="77"/>
      <c r="G96" s="77"/>
      <c r="H96" s="77"/>
      <c r="I96" s="77"/>
      <c r="J96" s="73"/>
    </row>
    <row r="97" spans="1:12">
      <c r="A97" s="78"/>
      <c r="B97" s="72"/>
      <c r="C97" s="73"/>
      <c r="D97" s="73"/>
      <c r="E97" s="73"/>
      <c r="F97" s="73"/>
      <c r="G97" s="73"/>
      <c r="H97" s="73"/>
      <c r="I97" s="73"/>
      <c r="J97" s="73"/>
    </row>
    <row r="98" spans="1:12" ht="19.5" customHeight="1">
      <c r="A98" s="53" t="s">
        <v>620</v>
      </c>
      <c r="B98" s="68"/>
      <c r="C98" s="69"/>
      <c r="D98" s="69"/>
      <c r="E98" s="69"/>
      <c r="F98" s="69"/>
      <c r="G98" s="69"/>
      <c r="H98" s="69"/>
      <c r="I98" s="69"/>
      <c r="J98" s="69"/>
    </row>
    <row r="99" spans="1:12" ht="16.5" customHeight="1">
      <c r="A99" s="217" t="s">
        <v>621</v>
      </c>
      <c r="B99" s="218"/>
      <c r="C99" s="219"/>
      <c r="D99" s="219"/>
      <c r="E99" s="219"/>
      <c r="F99" s="219"/>
      <c r="G99" s="219"/>
      <c r="H99" s="219"/>
      <c r="I99" s="219"/>
      <c r="J99" s="219"/>
    </row>
    <row r="100" spans="1:12">
      <c r="A100" s="220" t="s">
        <v>610</v>
      </c>
      <c r="B100" s="215" t="s">
        <v>598</v>
      </c>
      <c r="C100" s="215" t="s">
        <v>16</v>
      </c>
      <c r="D100" s="215">
        <v>2027</v>
      </c>
      <c r="E100" s="215">
        <v>2028</v>
      </c>
      <c r="F100" s="215">
        <v>2029</v>
      </c>
      <c r="G100" s="54" t="str">
        <f>TEXT($J$1,"mmmm")</f>
        <v>agosto</v>
      </c>
      <c r="H100" s="215" t="s">
        <v>611</v>
      </c>
      <c r="I100" s="215" t="s">
        <v>15</v>
      </c>
      <c r="J100" s="33"/>
    </row>
    <row r="101" spans="1:12" ht="16.5" customHeight="1" thickBot="1">
      <c r="A101" s="216"/>
      <c r="B101" s="216"/>
      <c r="C101" s="216"/>
      <c r="D101" s="216"/>
      <c r="E101" s="216"/>
      <c r="F101" s="216"/>
      <c r="G101" s="55">
        <v>2030</v>
      </c>
      <c r="H101" s="216"/>
      <c r="I101" s="216"/>
      <c r="J101" s="33"/>
    </row>
    <row r="102" spans="1:12" ht="16.5" customHeight="1" thickBot="1">
      <c r="A102" s="58">
        <v>1</v>
      </c>
      <c r="B102" s="70" t="str">
        <f>IF('Indicadores x proyec'!B62&lt;&gt;0,'Indicadores x proyec'!B62,"-")</f>
        <v>-</v>
      </c>
      <c r="C102" s="60" t="str">
        <f>IF('Indicadores x proyec'!D62/100&lt;&gt;0,'Indicadores x proyec'!D62/100,"-")</f>
        <v>-</v>
      </c>
      <c r="D102" s="60" t="str">
        <f>IF('Indicadores x proyec'!E62/100&lt;&gt;0,'Indicadores x proyec'!E62/100,"-")</f>
        <v>-</v>
      </c>
      <c r="E102" s="60" t="str">
        <f>IF('Indicadores x proyec'!F62/100&lt;&gt;0,'Indicadores x proyec'!F62/100,"-")</f>
        <v>-</v>
      </c>
      <c r="F102" s="60" t="str">
        <f>IF('Indicadores x proyec'!G62/100&lt;&gt;0,'Indicadores x proyec'!G62/100,"-")</f>
        <v>-</v>
      </c>
      <c r="G102" s="60" t="str">
        <f>IF('Indicadores x proyec'!H62/100&lt;&gt;0,'Indicadores x proyec'!H62/100,"-")</f>
        <v>-</v>
      </c>
      <c r="H102" s="58" t="str">
        <f>IF('Indicadores x proyec'!I62&lt;&gt;0,'Indicadores x proyec'!I62,"-")</f>
        <v>Anual</v>
      </c>
      <c r="I102" s="58" t="str">
        <f>IF('Indicadores x proyec'!J62&lt;&gt;0,'Indicadores x proyec'!J62,"-")</f>
        <v>-</v>
      </c>
      <c r="J102" s="33"/>
    </row>
    <row r="103" spans="1:12" ht="16.5" customHeight="1" thickBot="1">
      <c r="A103" s="58">
        <v>2</v>
      </c>
      <c r="B103" s="70" t="str">
        <f>IF('Indicadores x proyec'!B64&lt;&gt;0,'Indicadores x proyec'!B64,"-")</f>
        <v>-</v>
      </c>
      <c r="C103" s="60" t="str">
        <f>IF('Indicadores x proyec'!D64/100&lt;&gt;0,'Indicadores x proyec'!D64/100,"-")</f>
        <v>-</v>
      </c>
      <c r="D103" s="60" t="str">
        <f>IF('Indicadores x proyec'!E64/100&lt;&gt;0,'Indicadores x proyec'!E64/100,"-")</f>
        <v>-</v>
      </c>
      <c r="E103" s="60" t="str">
        <f>IF('Indicadores x proyec'!F64/100&lt;&gt;0,'Indicadores x proyec'!F64/100,"-")</f>
        <v>-</v>
      </c>
      <c r="F103" s="60" t="str">
        <f>IF('Indicadores x proyec'!G64/100&lt;&gt;0,'Indicadores x proyec'!G64/100,"-")</f>
        <v>-</v>
      </c>
      <c r="G103" s="60" t="str">
        <f>IF('Indicadores x proyec'!H64/100&lt;&gt;0,'Indicadores x proyec'!H64/100,"-")</f>
        <v>-</v>
      </c>
      <c r="H103" s="58" t="str">
        <f>IF('Indicadores x proyec'!I64&lt;&gt;0,'Indicadores x proyec'!I64,"-")</f>
        <v>Anual</v>
      </c>
      <c r="I103" s="58" t="str">
        <f>IF('Indicadores x proyec'!J64&lt;&gt;0,'Indicadores x proyec'!J64,"-")</f>
        <v>-</v>
      </c>
      <c r="J103" s="33"/>
    </row>
    <row r="104" spans="1:12" ht="16.5" customHeight="1" thickBot="1">
      <c r="A104" s="58">
        <v>3</v>
      </c>
      <c r="B104" s="70" t="str">
        <f>IF('Indicadores x proyec'!B66&lt;&gt;0,'Indicadores x proyec'!B66,"-")</f>
        <v>-</v>
      </c>
      <c r="C104" s="60" t="str">
        <f>IF('Indicadores x proyec'!D66/100&lt;&gt;0,'Indicadores x proyec'!D66/100,"-")</f>
        <v>-</v>
      </c>
      <c r="D104" s="60" t="str">
        <f>IF('Indicadores x proyec'!E66/100&lt;&gt;0,'Indicadores x proyec'!E66/100,"-")</f>
        <v>-</v>
      </c>
      <c r="E104" s="60" t="str">
        <f>IF('Indicadores x proyec'!F66/100&lt;&gt;0,'Indicadores x proyec'!F66/100,"-")</f>
        <v>-</v>
      </c>
      <c r="F104" s="60" t="str">
        <f>IF('Indicadores x proyec'!G66/100&lt;&gt;0,'Indicadores x proyec'!G66/100,"-")</f>
        <v>-</v>
      </c>
      <c r="G104" s="60" t="str">
        <f>IF('Indicadores x proyec'!H66/100&lt;&gt;0,'Indicadores x proyec'!H66/100,"-")</f>
        <v>-</v>
      </c>
      <c r="H104" s="58" t="str">
        <f>IF('Indicadores x proyec'!I66&lt;&gt;0,'Indicadores x proyec'!I66,"-")</f>
        <v>Anual</v>
      </c>
      <c r="I104" s="58" t="str">
        <f>IF('Indicadores x proyec'!J66&lt;&gt;0,'Indicadores x proyec'!J66,"-")</f>
        <v>-</v>
      </c>
      <c r="J104" s="33"/>
      <c r="L104" s="40"/>
    </row>
    <row r="105" spans="1:12" ht="16.5" customHeight="1" thickBot="1">
      <c r="A105" s="58">
        <v>4</v>
      </c>
      <c r="B105" s="70" t="str">
        <f>IF('Indicadores x proyec'!B68&lt;&gt;0,'Indicadores x proyec'!B68,"-")</f>
        <v>-</v>
      </c>
      <c r="C105" s="60" t="str">
        <f>IF('Indicadores x proyec'!D68/100&lt;&gt;0,'Indicadores x proyec'!D68/100,"-")</f>
        <v>-</v>
      </c>
      <c r="D105" s="60" t="str">
        <f>IF('Indicadores x proyec'!E68/100&lt;&gt;0,'Indicadores x proyec'!E68/100,"-")</f>
        <v>-</v>
      </c>
      <c r="E105" s="60" t="str">
        <f>IF('Indicadores x proyec'!F68/100&lt;&gt;0,'Indicadores x proyec'!F68/100,"-")</f>
        <v>-</v>
      </c>
      <c r="F105" s="60" t="str">
        <f>IF('Indicadores x proyec'!G68/100&lt;&gt;0,'Indicadores x proyec'!G68/100,"-")</f>
        <v>-</v>
      </c>
      <c r="G105" s="60" t="str">
        <f>IF('Indicadores x proyec'!H68/100&lt;&gt;0,'Indicadores x proyec'!H68/100,"-")</f>
        <v>-</v>
      </c>
      <c r="H105" s="58" t="str">
        <f>IF('Indicadores x proyec'!I68&lt;&gt;0,'Indicadores x proyec'!I68,"-")</f>
        <v>Anual</v>
      </c>
      <c r="I105" s="58" t="str">
        <f>IF('Indicadores x proyec'!J68&lt;&gt;0,'Indicadores x proyec'!J68,"-")</f>
        <v>-</v>
      </c>
      <c r="J105" s="33"/>
    </row>
    <row r="106" spans="1:12" ht="16.5" customHeight="1" thickBot="1">
      <c r="A106" s="58">
        <v>5</v>
      </c>
      <c r="B106" s="70" t="str">
        <f>IF('Indicadores x proyec'!B70&lt;&gt;0,'Indicadores x proyec'!B70,"-")</f>
        <v>-</v>
      </c>
      <c r="C106" s="60" t="str">
        <f>IF('Indicadores x proyec'!D70/100&lt;&gt;0,'Indicadores x proyec'!D70/100,"-")</f>
        <v>-</v>
      </c>
      <c r="D106" s="60" t="str">
        <f>IF('Indicadores x proyec'!E70/100&lt;&gt;0,'Indicadores x proyec'!E70/100,"-")</f>
        <v>-</v>
      </c>
      <c r="E106" s="60" t="str">
        <f>IF('Indicadores x proyec'!F70/100&lt;&gt;0,'Indicadores x proyec'!F70/100,"-")</f>
        <v>-</v>
      </c>
      <c r="F106" s="60" t="str">
        <f>IF('Indicadores x proyec'!G70/100&lt;&gt;0,'Indicadores x proyec'!G70/100,"-")</f>
        <v>-</v>
      </c>
      <c r="G106" s="60" t="str">
        <f>IF('Indicadores x proyec'!H70/100&lt;&gt;0,'Indicadores x proyec'!H70/100,"-")</f>
        <v>-</v>
      </c>
      <c r="H106" s="58" t="str">
        <f>IF('Indicadores x proyec'!I70&lt;&gt;0,'Indicadores x proyec'!I70,"-")</f>
        <v>Anual</v>
      </c>
      <c r="I106" s="58" t="str">
        <f>IF('Indicadores x proyec'!J70&lt;&gt;0,'Indicadores x proyec'!J70,"-")</f>
        <v>-</v>
      </c>
      <c r="J106" s="33"/>
    </row>
    <row r="107" spans="1:12" ht="16.5" customHeight="1" thickBot="1">
      <c r="A107" s="58">
        <v>6</v>
      </c>
      <c r="B107" s="70" t="str">
        <f>IF('9 Fortalecimiento docente'!I13&lt;&gt;0,'9 Fortalecimiento docente'!I13,"-")</f>
        <v>-</v>
      </c>
      <c r="C107" s="58" t="str">
        <f>IF('9 Fortalecimiento docente'!R13&lt;&gt;0,'9 Fortalecimiento docente'!R13,"-")</f>
        <v>-</v>
      </c>
      <c r="D107" s="58" t="str">
        <f>IF('9 Fortalecimiento docente'!S13&lt;&gt;0,'9 Fortalecimiento docente'!S13,"-")</f>
        <v>-</v>
      </c>
      <c r="E107" s="58" t="str">
        <f>IF('9 Fortalecimiento docente'!T13&lt;&gt;0,'9 Fortalecimiento docente'!T13,"-")</f>
        <v>-</v>
      </c>
      <c r="F107" s="58" t="str">
        <f>IF('9 Fortalecimiento docente'!U13&lt;&gt;0,'9 Fortalecimiento docente'!U13,"-")</f>
        <v>-</v>
      </c>
      <c r="G107" s="58" t="str">
        <f>IF('9 Fortalecimiento docente'!V13&lt;&gt;0,'9 Fortalecimiento docente'!V13,"-")</f>
        <v>-</v>
      </c>
      <c r="H107" s="58" t="str">
        <f>IF('9 Fortalecimiento docente'!W13&lt;&gt;0,'9 Fortalecimiento docente'!W13,"-")</f>
        <v>Anual</v>
      </c>
      <c r="I107" s="58" t="str">
        <f>IF('9 Fortalecimiento docente'!X13&lt;&gt;0,'9 Fortalecimiento docente'!X13,"-")</f>
        <v>-</v>
      </c>
      <c r="J107" s="33"/>
    </row>
    <row r="108" spans="1:12" ht="16.5" customHeight="1" thickBot="1">
      <c r="A108" s="58">
        <v>7</v>
      </c>
      <c r="B108" s="70" t="str">
        <f>IF('9 Fortalecimiento docente'!I14&lt;&gt;0,'9 Fortalecimiento docente'!I14,"-")</f>
        <v>-</v>
      </c>
      <c r="C108" s="58" t="str">
        <f>IF('9 Fortalecimiento docente'!R14&lt;&gt;0,'9 Fortalecimiento docente'!R14,"-")</f>
        <v>-</v>
      </c>
      <c r="D108" s="58" t="str">
        <f>IF('9 Fortalecimiento docente'!S14&lt;&gt;0,'9 Fortalecimiento docente'!S14,"-")</f>
        <v>-</v>
      </c>
      <c r="E108" s="58" t="str">
        <f>IF('9 Fortalecimiento docente'!T14&lt;&gt;0,'9 Fortalecimiento docente'!T14,"-")</f>
        <v>-</v>
      </c>
      <c r="F108" s="58" t="str">
        <f>IF('9 Fortalecimiento docente'!U14&lt;&gt;0,'9 Fortalecimiento docente'!U14,"-")</f>
        <v>-</v>
      </c>
      <c r="G108" s="58" t="str">
        <f>IF('9 Fortalecimiento docente'!V14&lt;&gt;0,'9 Fortalecimiento docente'!V14,"-")</f>
        <v>-</v>
      </c>
      <c r="H108" s="58" t="str">
        <f>IF('9 Fortalecimiento docente'!W14&lt;&gt;0,'9 Fortalecimiento docente'!W14,"-")</f>
        <v>Acumulada</v>
      </c>
      <c r="I108" s="58" t="str">
        <f>IF('9 Fortalecimiento docente'!X14&lt;&gt;0,'9 Fortalecimiento docente'!X14,"-")</f>
        <v>-</v>
      </c>
      <c r="J108" s="33"/>
    </row>
    <row r="109" spans="1:12" ht="16.5" customHeight="1" thickBot="1">
      <c r="A109" s="58">
        <v>8</v>
      </c>
      <c r="B109" s="70" t="str">
        <f>IF('Indicadores x proyec'!B72&lt;&gt;0,'Indicadores x proyec'!B72,"-")</f>
        <v>-</v>
      </c>
      <c r="C109" s="60" t="str">
        <f>IF('Indicadores x proyec'!D72/100&lt;&gt;0,'Indicadores x proyec'!D72/100,"-")</f>
        <v>-</v>
      </c>
      <c r="D109" s="60" t="str">
        <f>IF('Indicadores x proyec'!E72/100&lt;&gt;0,'Indicadores x proyec'!E72/100,"-")</f>
        <v>-</v>
      </c>
      <c r="E109" s="60" t="str">
        <f>IF('Indicadores x proyec'!F72/100&lt;&gt;0,'Indicadores x proyec'!F72/100,"-")</f>
        <v>-</v>
      </c>
      <c r="F109" s="60" t="str">
        <f>IF('Indicadores x proyec'!G72/100&lt;&gt;0,'Indicadores x proyec'!G72/100,"-")</f>
        <v>-</v>
      </c>
      <c r="G109" s="60" t="str">
        <f>IF('Indicadores x proyec'!H72/100&lt;&gt;0,'Indicadores x proyec'!H72/100,"-")</f>
        <v>-</v>
      </c>
      <c r="H109" s="58" t="str">
        <f>IF('Indicadores x proyec'!I72&lt;&gt;0,'Indicadores x proyec'!I72,"-")</f>
        <v>Acumulada</v>
      </c>
      <c r="I109" s="58" t="str">
        <f>IF('Indicadores x proyec'!J72&lt;&gt;0,'Indicadores x proyec'!J72,"-")</f>
        <v>-</v>
      </c>
      <c r="J109" s="33"/>
    </row>
    <row r="110" spans="1:12" ht="16.5" customHeight="1" thickBot="1">
      <c r="A110" s="58">
        <v>9</v>
      </c>
      <c r="B110" s="70" t="str">
        <f>IF('9 Fortalecimiento docente'!I17&lt;&gt;0,'9 Fortalecimiento docente'!I17,"-")</f>
        <v>-</v>
      </c>
      <c r="C110" s="58" t="str">
        <f>IF('9 Fortalecimiento docente'!R17&lt;&gt;0,'9 Fortalecimiento docente'!R17,"-")</f>
        <v>-</v>
      </c>
      <c r="D110" s="58" t="str">
        <f>IF('9 Fortalecimiento docente'!S17&lt;&gt;0,'9 Fortalecimiento docente'!S17,"-")</f>
        <v>-</v>
      </c>
      <c r="E110" s="58" t="str">
        <f>IF('9 Fortalecimiento docente'!T17&lt;&gt;0,'9 Fortalecimiento docente'!T17,"-")</f>
        <v>-</v>
      </c>
      <c r="F110" s="58" t="str">
        <f>IF('9 Fortalecimiento docente'!U17&lt;&gt;0,'9 Fortalecimiento docente'!U17,"-")</f>
        <v>-</v>
      </c>
      <c r="G110" s="58" t="str">
        <f>IF('9 Fortalecimiento docente'!V17&lt;&gt;0,'9 Fortalecimiento docente'!V17,"-")</f>
        <v>-</v>
      </c>
      <c r="H110" s="58" t="str">
        <f>IF('9 Fortalecimiento docente'!W17&lt;&gt;0,'9 Fortalecimiento docente'!W17,"-")</f>
        <v>Anual</v>
      </c>
      <c r="I110" s="58" t="str">
        <f>IF('9 Fortalecimiento docente'!X17&lt;&gt;0,'9 Fortalecimiento docente'!X17,"-")</f>
        <v>-</v>
      </c>
      <c r="J110" s="33"/>
    </row>
    <row r="111" spans="1:12" ht="16.5" customHeight="1" thickBot="1">
      <c r="A111" s="58">
        <v>10</v>
      </c>
      <c r="B111" s="70" t="str">
        <f>IF('9 Fortalecimiento docente'!I18&lt;&gt;0,'9 Fortalecimiento docente'!I18,"-")</f>
        <v>-</v>
      </c>
      <c r="C111" s="58" t="str">
        <f>IF('9 Fortalecimiento docente'!R18&lt;&gt;0,'9 Fortalecimiento docente'!R18,"-")</f>
        <v>-</v>
      </c>
      <c r="D111" s="58" t="str">
        <f>IF('9 Fortalecimiento docente'!S18&lt;&gt;0,'9 Fortalecimiento docente'!S18,"-")</f>
        <v>-</v>
      </c>
      <c r="E111" s="58" t="str">
        <f>IF('9 Fortalecimiento docente'!T18&lt;&gt;0,'9 Fortalecimiento docente'!T18,"-")</f>
        <v>-</v>
      </c>
      <c r="F111" s="58" t="str">
        <f>IF('9 Fortalecimiento docente'!U18&lt;&gt;0,'9 Fortalecimiento docente'!U18,"-")</f>
        <v>-</v>
      </c>
      <c r="G111" s="58" t="str">
        <f>IF('9 Fortalecimiento docente'!V18&lt;&gt;0,'9 Fortalecimiento docente'!V18,"-")</f>
        <v>-</v>
      </c>
      <c r="H111" s="58" t="str">
        <f>IF('9 Fortalecimiento docente'!W18&lt;&gt;0,'9 Fortalecimiento docente'!W18,"-")</f>
        <v>Anual</v>
      </c>
      <c r="I111" s="58" t="str">
        <f>IF('9 Fortalecimiento docente'!X18&lt;&gt;0,'9 Fortalecimiento docente'!X18,"-")</f>
        <v>-</v>
      </c>
      <c r="J111" s="33"/>
    </row>
    <row r="112" spans="1:12">
      <c r="A112" s="78"/>
      <c r="B112" s="72"/>
      <c r="C112" s="73"/>
      <c r="D112" s="73"/>
      <c r="E112" s="73"/>
      <c r="F112" s="73"/>
      <c r="G112" s="73"/>
      <c r="H112" s="73"/>
      <c r="I112" s="73"/>
      <c r="J112" s="73"/>
    </row>
    <row r="113" spans="1:10">
      <c r="A113" s="80"/>
      <c r="B113" s="68"/>
      <c r="C113" s="69"/>
      <c r="D113" s="69"/>
      <c r="E113" s="69"/>
      <c r="F113" s="69"/>
      <c r="G113" s="69"/>
      <c r="H113" s="69"/>
      <c r="I113" s="69"/>
      <c r="J113" s="69"/>
    </row>
    <row r="114" spans="1:10" ht="16.5" customHeight="1">
      <c r="A114" s="217" t="s">
        <v>622</v>
      </c>
      <c r="B114" s="218"/>
      <c r="C114" s="219"/>
      <c r="D114" s="219"/>
      <c r="E114" s="219"/>
      <c r="F114" s="219"/>
      <c r="G114" s="219"/>
      <c r="H114" s="219"/>
      <c r="I114" s="219"/>
      <c r="J114" s="219"/>
    </row>
    <row r="115" spans="1:10">
      <c r="A115" s="220" t="s">
        <v>610</v>
      </c>
      <c r="B115" s="215" t="s">
        <v>598</v>
      </c>
      <c r="C115" s="215" t="s">
        <v>16</v>
      </c>
      <c r="D115" s="215">
        <v>2027</v>
      </c>
      <c r="E115" s="215">
        <v>2028</v>
      </c>
      <c r="F115" s="215">
        <v>2029</v>
      </c>
      <c r="G115" s="54" t="str">
        <f>TEXT($J$1,"mmmm")</f>
        <v>agosto</v>
      </c>
      <c r="H115" s="215" t="s">
        <v>611</v>
      </c>
      <c r="I115" s="215" t="s">
        <v>15</v>
      </c>
      <c r="J115" s="33"/>
    </row>
    <row r="116" spans="1:10" ht="16.5" customHeight="1" thickBot="1">
      <c r="A116" s="216"/>
      <c r="B116" s="216"/>
      <c r="C116" s="216"/>
      <c r="D116" s="216"/>
      <c r="E116" s="216"/>
      <c r="F116" s="216"/>
      <c r="G116" s="55">
        <v>2029</v>
      </c>
      <c r="H116" s="216"/>
      <c r="I116" s="216"/>
      <c r="J116" s="33"/>
    </row>
    <row r="117" spans="1:10" ht="16.5" customHeight="1" thickBot="1">
      <c r="A117" s="58">
        <v>1</v>
      </c>
      <c r="B117" s="70" t="str">
        <f>IF('Indicadores x proyec'!B78&lt;&gt;0,'Indicadores x proyec'!B78,"-")</f>
        <v>-</v>
      </c>
      <c r="C117" s="60" t="str">
        <f>IF('Indicadores x proyec'!D78/100&lt;&gt;0,'Indicadores x proyec'!D78/100,"-")</f>
        <v>-</v>
      </c>
      <c r="D117" s="60" t="str">
        <f>IF('Indicadores x proyec'!E78/100&lt;&gt;0,'Indicadores x proyec'!E78/100,"-")</f>
        <v>-</v>
      </c>
      <c r="E117" s="60" t="str">
        <f>IF('Indicadores x proyec'!F78/100&lt;&gt;0,'Indicadores x proyec'!F78/100,"-")</f>
        <v>-</v>
      </c>
      <c r="F117" s="60" t="str">
        <f>IF('Indicadores x proyec'!G78/100&lt;&gt;0,'Indicadores x proyec'!G78/100,"-")</f>
        <v>-</v>
      </c>
      <c r="G117" s="60" t="str">
        <f>IF('Indicadores x proyec'!H78/100&lt;&gt;0,'Indicadores x proyec'!H78/100,"-")</f>
        <v>-</v>
      </c>
      <c r="H117" s="79" t="str">
        <f>IF('Indicadores x proyec'!I78&lt;&gt;0,'Indicadores x proyec'!I78,"-")</f>
        <v>Anual</v>
      </c>
      <c r="I117" s="79" t="str">
        <f>IF('Indicadores x proyec'!J78&lt;&gt;0,'Indicadores x proyec'!J78,"-")</f>
        <v>-</v>
      </c>
      <c r="J117" s="33"/>
    </row>
    <row r="118" spans="1:10" ht="16.5" customHeight="1" thickBot="1">
      <c r="A118" s="58">
        <v>2</v>
      </c>
      <c r="B118" s="70" t="str">
        <f>IF('Indicadores x proyec'!B80&lt;&gt;0,'Indicadores x proyec'!B80,"-")</f>
        <v>-</v>
      </c>
      <c r="C118" s="60" t="str">
        <f>IF('Indicadores x proyec'!D80/100&lt;&gt;0,'Indicadores x proyec'!D80/100,"-")</f>
        <v>-</v>
      </c>
      <c r="D118" s="60" t="str">
        <f>IF('Indicadores x proyec'!E80/100&lt;&gt;0,'Indicadores x proyec'!E80/100,"-")</f>
        <v>-</v>
      </c>
      <c r="E118" s="60" t="str">
        <f>IF('Indicadores x proyec'!F80/100&lt;&gt;0,'Indicadores x proyec'!F80/100,"-")</f>
        <v>-</v>
      </c>
      <c r="F118" s="60" t="str">
        <f>IF('Indicadores x proyec'!G80/100&lt;&gt;0,'Indicadores x proyec'!G80/100,"-")</f>
        <v>-</v>
      </c>
      <c r="G118" s="60" t="str">
        <f>IF('Indicadores x proyec'!H80/100&lt;&gt;0,'Indicadores x proyec'!H80/100,"-")</f>
        <v>-</v>
      </c>
      <c r="H118" s="79" t="str">
        <f>IF('Indicadores x proyec'!I80&lt;&gt;0,'Indicadores x proyec'!I80,"-")</f>
        <v>Anual</v>
      </c>
      <c r="I118" s="79" t="str">
        <f>IF('Indicadores x proyec'!J80&lt;&gt;0,'Indicadores x proyec'!J80,"-")</f>
        <v>-</v>
      </c>
      <c r="J118" s="33"/>
    </row>
    <row r="119" spans="1:10" ht="16.5" customHeight="1" thickBot="1">
      <c r="A119" s="58">
        <v>3</v>
      </c>
      <c r="B119" s="70" t="str">
        <f>IF('Indicadores x proyec'!B82&lt;&gt;0,'Indicadores x proyec'!B82,"-")</f>
        <v>-</v>
      </c>
      <c r="C119" s="60" t="str">
        <f>IF('Indicadores x proyec'!D82/100&lt;&gt;0,'Indicadores x proyec'!D82/100,"-")</f>
        <v>-</v>
      </c>
      <c r="D119" s="60" t="str">
        <f>IF('Indicadores x proyec'!E82/100&lt;&gt;0,'Indicadores x proyec'!E82/100,"-")</f>
        <v>-</v>
      </c>
      <c r="E119" s="60" t="str">
        <f>IF('Indicadores x proyec'!F82/100&lt;&gt;0,'Indicadores x proyec'!F82/100,"-")</f>
        <v>-</v>
      </c>
      <c r="F119" s="60" t="str">
        <f>IF('Indicadores x proyec'!G82/100&lt;&gt;0,'Indicadores x proyec'!G82/100,"-")</f>
        <v>-</v>
      </c>
      <c r="G119" s="60" t="str">
        <f>IF('Indicadores x proyec'!H82/100&lt;&gt;0,'Indicadores x proyec'!H82/100,"-")</f>
        <v>-</v>
      </c>
      <c r="H119" s="79" t="str">
        <f>IF('Indicadores x proyec'!I82&lt;&gt;0,'Indicadores x proyec'!I82,"-")</f>
        <v>Anual</v>
      </c>
      <c r="I119" s="79" t="str">
        <f>IF('Indicadores x proyec'!J82&lt;&gt;0,'Indicadores x proyec'!J82,"-")</f>
        <v>-</v>
      </c>
      <c r="J119" s="33"/>
    </row>
    <row r="120" spans="1:10">
      <c r="A120" s="63"/>
      <c r="B120" s="72"/>
      <c r="C120" s="73"/>
      <c r="D120" s="73"/>
      <c r="E120" s="73"/>
      <c r="F120" s="73"/>
      <c r="G120" s="73"/>
      <c r="H120" s="73"/>
      <c r="I120" s="73"/>
      <c r="J120" s="73"/>
    </row>
    <row r="121" spans="1:10">
      <c r="A121" s="63"/>
      <c r="B121" s="72"/>
      <c r="C121" s="73"/>
      <c r="D121" s="73"/>
      <c r="E121" s="73"/>
      <c r="F121" s="73"/>
      <c r="G121" s="73"/>
      <c r="H121" s="73"/>
      <c r="I121" s="73"/>
      <c r="J121" s="73"/>
    </row>
    <row r="122" spans="1:10" ht="19.5" customHeight="1">
      <c r="A122" s="53" t="s">
        <v>623</v>
      </c>
      <c r="B122" s="68"/>
      <c r="C122" s="69"/>
      <c r="D122" s="69"/>
      <c r="E122" s="69"/>
      <c r="F122" s="69"/>
      <c r="G122" s="69"/>
      <c r="H122" s="69"/>
      <c r="I122" s="69"/>
      <c r="J122" s="69"/>
    </row>
    <row r="123" spans="1:10" ht="16.5" customHeight="1">
      <c r="A123" s="217" t="s">
        <v>624</v>
      </c>
      <c r="B123" s="218"/>
      <c r="C123" s="219"/>
      <c r="D123" s="219"/>
      <c r="E123" s="219"/>
      <c r="F123" s="219"/>
      <c r="G123" s="219"/>
      <c r="H123" s="219"/>
      <c r="I123" s="219"/>
      <c r="J123" s="219"/>
    </row>
    <row r="124" spans="1:10">
      <c r="A124" s="220" t="s">
        <v>610</v>
      </c>
      <c r="B124" s="215" t="s">
        <v>598</v>
      </c>
      <c r="C124" s="215" t="s">
        <v>16</v>
      </c>
      <c r="D124" s="215">
        <v>2027</v>
      </c>
      <c r="E124" s="215">
        <v>2028</v>
      </c>
      <c r="F124" s="215">
        <v>2029</v>
      </c>
      <c r="G124" s="54" t="str">
        <f>TEXT($J$1,"mmmm")</f>
        <v>agosto</v>
      </c>
      <c r="H124" s="215" t="s">
        <v>611</v>
      </c>
      <c r="I124" s="215" t="s">
        <v>15</v>
      </c>
      <c r="J124" s="33"/>
    </row>
    <row r="125" spans="1:10" ht="16.5" customHeight="1" thickBot="1">
      <c r="A125" s="216"/>
      <c r="B125" s="216"/>
      <c r="C125" s="216"/>
      <c r="D125" s="216"/>
      <c r="E125" s="216"/>
      <c r="F125" s="216"/>
      <c r="G125" s="55">
        <v>2030</v>
      </c>
      <c r="H125" s="216"/>
      <c r="I125" s="216"/>
      <c r="J125" s="33"/>
    </row>
    <row r="126" spans="1:10" ht="16.5" customHeight="1" thickBot="1">
      <c r="A126" s="58">
        <v>1</v>
      </c>
      <c r="B126" s="70" t="str">
        <f>IF('11 Gestión administrativa'!I3&lt;&gt;0,'11 Gestión administrativa'!I3,"-")</f>
        <v>-</v>
      </c>
      <c r="C126" s="58" t="str">
        <f>IF('11 Gestión administrativa'!R3&lt;&gt;0,'11 Gestión administrativa'!R3,"-")</f>
        <v>-</v>
      </c>
      <c r="D126" s="58" t="str">
        <f>IF('11 Gestión administrativa'!S3&lt;&gt;0,'11 Gestión administrativa'!S3,"-")</f>
        <v>-</v>
      </c>
      <c r="E126" s="58" t="str">
        <f>IF('11 Gestión administrativa'!T3&lt;&gt;0,'11 Gestión administrativa'!T3,"-")</f>
        <v>-</v>
      </c>
      <c r="F126" s="58" t="str">
        <f>IF('11 Gestión administrativa'!U3&lt;&gt;0,'11 Gestión administrativa'!U3,"-")</f>
        <v>-</v>
      </c>
      <c r="G126" s="58" t="str">
        <f>IF('11 Gestión administrativa'!V3&lt;&gt;0,'11 Gestión administrativa'!V3,"-")</f>
        <v>-</v>
      </c>
      <c r="H126" s="58" t="str">
        <f>IF('11 Gestión administrativa'!W3&lt;&gt;0,'11 Gestión administrativa'!W3,"-")</f>
        <v>Anual</v>
      </c>
      <c r="I126" s="58" t="str">
        <f>IF('11 Gestión administrativa'!X3&lt;&gt;0,'11 Gestión administrativa'!X3,"-")</f>
        <v>-</v>
      </c>
      <c r="J126" s="33"/>
    </row>
    <row r="127" spans="1:10" ht="16.5" customHeight="1" thickBot="1">
      <c r="A127" s="58">
        <v>2</v>
      </c>
      <c r="B127" s="70" t="str">
        <f>IF('11 Gestión administrativa'!I4&lt;&gt;0,'11 Gestión administrativa'!I4,"-")</f>
        <v>-</v>
      </c>
      <c r="C127" s="58" t="str">
        <f>IF('11 Gestión administrativa'!R4&lt;&gt;0,'11 Gestión administrativa'!R4,"-")</f>
        <v>-</v>
      </c>
      <c r="D127" s="58" t="str">
        <f>IF('11 Gestión administrativa'!S4&lt;&gt;0,'11 Gestión administrativa'!S4,"-")</f>
        <v>-</v>
      </c>
      <c r="E127" s="58" t="str">
        <f>IF('11 Gestión administrativa'!T4&lt;&gt;0,'11 Gestión administrativa'!T4,"-")</f>
        <v>-</v>
      </c>
      <c r="F127" s="58" t="str">
        <f>IF('11 Gestión administrativa'!U4&lt;&gt;0,'11 Gestión administrativa'!U4,"-")</f>
        <v>-</v>
      </c>
      <c r="G127" s="58" t="str">
        <f>IF('11 Gestión administrativa'!V4&lt;&gt;0,'11 Gestión administrativa'!V4,"-")</f>
        <v>-</v>
      </c>
      <c r="H127" s="58" t="str">
        <f>IF('11 Gestión administrativa'!W4&lt;&gt;0,'11 Gestión administrativa'!W4,"-")</f>
        <v>Anual</v>
      </c>
      <c r="I127" s="58" t="str">
        <f>IF('11 Gestión administrativa'!X4&lt;&gt;0,'11 Gestión administrativa'!X4,"-")</f>
        <v>-</v>
      </c>
      <c r="J127" s="33"/>
    </row>
    <row r="128" spans="1:10">
      <c r="A128" s="81"/>
      <c r="B128" s="72"/>
      <c r="C128" s="73"/>
      <c r="D128" s="73"/>
      <c r="E128" s="73"/>
      <c r="F128" s="73"/>
      <c r="G128" s="73"/>
      <c r="H128" s="73"/>
      <c r="I128" s="73"/>
      <c r="J128" s="73"/>
    </row>
    <row r="129" spans="1:10">
      <c r="A129" s="81"/>
      <c r="B129" s="72"/>
      <c r="C129" s="73"/>
      <c r="D129" s="73"/>
      <c r="E129" s="73"/>
      <c r="F129" s="73"/>
      <c r="G129" s="73"/>
      <c r="H129" s="73"/>
      <c r="I129" s="73"/>
      <c r="J129" s="73"/>
    </row>
    <row r="130" spans="1:10">
      <c r="A130" s="80"/>
      <c r="B130" s="68"/>
      <c r="C130" s="69"/>
      <c r="D130" s="69"/>
      <c r="E130" s="69"/>
      <c r="F130" s="69"/>
      <c r="G130" s="69"/>
      <c r="H130" s="69"/>
      <c r="I130" s="69"/>
      <c r="J130" s="69"/>
    </row>
    <row r="131" spans="1:10" ht="16.5" customHeight="1">
      <c r="A131" s="217" t="s">
        <v>625</v>
      </c>
      <c r="B131" s="218"/>
      <c r="C131" s="219"/>
      <c r="D131" s="219"/>
      <c r="E131" s="219"/>
      <c r="F131" s="219"/>
      <c r="G131" s="219"/>
      <c r="H131" s="219"/>
      <c r="I131" s="219"/>
      <c r="J131" s="219"/>
    </row>
    <row r="132" spans="1:10">
      <c r="A132" s="220" t="s">
        <v>610</v>
      </c>
      <c r="B132" s="215" t="s">
        <v>598</v>
      </c>
      <c r="C132" s="215" t="s">
        <v>16</v>
      </c>
      <c r="D132" s="215">
        <v>2027</v>
      </c>
      <c r="E132" s="215">
        <v>2028</v>
      </c>
      <c r="F132" s="215">
        <v>2029</v>
      </c>
      <c r="G132" s="54" t="str">
        <f>TEXT($J$1,"mmmm")</f>
        <v>agosto</v>
      </c>
      <c r="H132" s="215" t="s">
        <v>611</v>
      </c>
      <c r="I132" s="215" t="s">
        <v>15</v>
      </c>
      <c r="J132" s="33"/>
    </row>
    <row r="133" spans="1:10" ht="16.5" customHeight="1" thickBot="1">
      <c r="A133" s="216"/>
      <c r="B133" s="216"/>
      <c r="C133" s="216"/>
      <c r="D133" s="216"/>
      <c r="E133" s="216"/>
      <c r="F133" s="216"/>
      <c r="G133" s="55">
        <v>2030</v>
      </c>
      <c r="H133" s="216"/>
      <c r="I133" s="216"/>
      <c r="J133" s="33"/>
    </row>
    <row r="134" spans="1:10" ht="16.5" customHeight="1" thickBot="1">
      <c r="A134" s="58">
        <v>1</v>
      </c>
      <c r="B134" s="70" t="str">
        <f>IF('12 Fortalecimiento tecnológico'!I3&lt;&gt;0,'12 Fortalecimiento tecnológico'!I3,"-")</f>
        <v>-</v>
      </c>
      <c r="C134" s="58" t="str">
        <f>IF('12 Fortalecimiento tecnológico'!R3&lt;&gt;0,'12 Fortalecimiento tecnológico'!R3,"-")</f>
        <v>-</v>
      </c>
      <c r="D134" s="58" t="str">
        <f>IF('12 Fortalecimiento tecnológico'!S3&lt;&gt;0,'12 Fortalecimiento tecnológico'!S3,"-")</f>
        <v>-</v>
      </c>
      <c r="E134" s="58" t="str">
        <f>IF('12 Fortalecimiento tecnológico'!T3&lt;&gt;0,'12 Fortalecimiento tecnológico'!T3,"-")</f>
        <v>-</v>
      </c>
      <c r="F134" s="58" t="str">
        <f>IF('12 Fortalecimiento tecnológico'!U3&lt;&gt;0,'12 Fortalecimiento tecnológico'!U3,"-")</f>
        <v>-</v>
      </c>
      <c r="G134" s="58" t="str">
        <f>IF('12 Fortalecimiento tecnológico'!V3&lt;&gt;0,'12 Fortalecimiento tecnológico'!V3,"-")</f>
        <v>-</v>
      </c>
      <c r="H134" s="58" t="str">
        <f>IF('12 Fortalecimiento tecnológico'!W3&lt;&gt;0,'12 Fortalecimiento tecnológico'!W3,"-")</f>
        <v>Anual</v>
      </c>
      <c r="I134" s="58" t="str">
        <f>IF('12 Fortalecimiento tecnológico'!X3&lt;&gt;0,'12 Fortalecimiento tecnológico'!X3,"-")</f>
        <v>-</v>
      </c>
      <c r="J134" s="33"/>
    </row>
    <row r="135" spans="1:10" ht="16.5" customHeight="1" thickBot="1">
      <c r="A135" s="58">
        <v>2</v>
      </c>
      <c r="B135" s="70" t="str">
        <f>IF('12 Fortalecimiento tecnológico'!I4&lt;&gt;0,'12 Fortalecimiento tecnológico'!I4,"-")</f>
        <v>-</v>
      </c>
      <c r="C135" s="58" t="str">
        <f>IF('12 Fortalecimiento tecnológico'!R4&lt;&gt;0,'12 Fortalecimiento tecnológico'!R4,"-")</f>
        <v>-</v>
      </c>
      <c r="D135" s="58" t="str">
        <f>IF('12 Fortalecimiento tecnológico'!S4&lt;&gt;0,'12 Fortalecimiento tecnológico'!S4,"-")</f>
        <v>-</v>
      </c>
      <c r="E135" s="58" t="str">
        <f>IF('12 Fortalecimiento tecnológico'!T4&lt;&gt;0,'12 Fortalecimiento tecnológico'!T4,"-")</f>
        <v>-</v>
      </c>
      <c r="F135" s="58" t="str">
        <f>IF('12 Fortalecimiento tecnológico'!U4&lt;&gt;0,'12 Fortalecimiento tecnológico'!U4,"-")</f>
        <v>-</v>
      </c>
      <c r="G135" s="58" t="str">
        <f>IF('12 Fortalecimiento tecnológico'!V4&lt;&gt;0,'12 Fortalecimiento tecnológico'!V4,"-")</f>
        <v>-</v>
      </c>
      <c r="H135" s="58" t="str">
        <f>IF('12 Fortalecimiento tecnológico'!W4&lt;&gt;0,'12 Fortalecimiento tecnológico'!W4,"-")</f>
        <v>Anual</v>
      </c>
      <c r="I135" s="58" t="str">
        <f>IF('12 Fortalecimiento tecnológico'!X4&lt;&gt;0,'12 Fortalecimiento tecnológico'!X4,"-")</f>
        <v>-</v>
      </c>
      <c r="J135" s="33"/>
    </row>
    <row r="136" spans="1:10">
      <c r="A136" s="78"/>
      <c r="B136" s="72"/>
      <c r="C136" s="73"/>
      <c r="D136" s="73"/>
      <c r="E136" s="73"/>
      <c r="F136" s="73"/>
      <c r="G136" s="73"/>
      <c r="H136" s="73"/>
      <c r="I136" s="73"/>
      <c r="J136" s="73"/>
    </row>
    <row r="137" spans="1:10">
      <c r="A137" s="78"/>
      <c r="B137" s="72"/>
      <c r="C137" s="73"/>
      <c r="D137" s="73"/>
      <c r="E137" s="73"/>
      <c r="F137" s="73"/>
      <c r="G137" s="73"/>
      <c r="H137" s="73"/>
      <c r="I137" s="73"/>
      <c r="J137" s="73"/>
    </row>
    <row r="138" spans="1:10">
      <c r="A138" s="80"/>
      <c r="B138" s="68"/>
      <c r="C138" s="69"/>
      <c r="D138" s="69"/>
      <c r="E138" s="69"/>
      <c r="F138" s="69"/>
      <c r="G138" s="69"/>
      <c r="H138" s="69"/>
      <c r="I138" s="69"/>
      <c r="J138" s="69"/>
    </row>
    <row r="139" spans="1:10" ht="16.5" customHeight="1">
      <c r="A139" s="217" t="s">
        <v>626</v>
      </c>
      <c r="B139" s="218"/>
      <c r="C139" s="219"/>
      <c r="D139" s="219"/>
      <c r="E139" s="219"/>
      <c r="F139" s="219"/>
      <c r="G139" s="219"/>
      <c r="H139" s="219"/>
      <c r="I139" s="219"/>
      <c r="J139" s="219"/>
    </row>
    <row r="140" spans="1:10">
      <c r="A140" s="220" t="s">
        <v>610</v>
      </c>
      <c r="B140" s="215" t="s">
        <v>598</v>
      </c>
      <c r="C140" s="215" t="s">
        <v>16</v>
      </c>
      <c r="D140" s="215">
        <v>2027</v>
      </c>
      <c r="E140" s="215">
        <v>2028</v>
      </c>
      <c r="F140" s="215">
        <v>2029</v>
      </c>
      <c r="G140" s="54" t="str">
        <f>TEXT($J$1,"mmmm")</f>
        <v>agosto</v>
      </c>
      <c r="H140" s="215" t="s">
        <v>611</v>
      </c>
      <c r="I140" s="215" t="s">
        <v>15</v>
      </c>
      <c r="J140" s="33"/>
    </row>
    <row r="141" spans="1:10" ht="16.5" customHeight="1" thickBot="1">
      <c r="A141" s="216"/>
      <c r="B141" s="216"/>
      <c r="C141" s="216"/>
      <c r="D141" s="216"/>
      <c r="E141" s="216"/>
      <c r="F141" s="216"/>
      <c r="G141" s="55">
        <v>2030</v>
      </c>
      <c r="H141" s="216"/>
      <c r="I141" s="216"/>
      <c r="J141" s="33"/>
    </row>
    <row r="142" spans="1:10" ht="16.5" customHeight="1" thickBot="1">
      <c r="A142" s="58">
        <v>1</v>
      </c>
      <c r="B142" s="70" t="str">
        <f>IF('13 Gobernanza'!I3&lt;&gt;0,'13 Gobernanza'!I3,"-")</f>
        <v>-</v>
      </c>
      <c r="C142" s="58" t="str">
        <f>IF('13 Gobernanza'!R3&lt;&gt;0,'13 Gobernanza'!R3,"-")</f>
        <v>-</v>
      </c>
      <c r="D142" s="58" t="str">
        <f>IF('13 Gobernanza'!S3&lt;&gt;0,'13 Gobernanza'!S3,"-")</f>
        <v>-</v>
      </c>
      <c r="E142" s="58" t="str">
        <f>IF('13 Gobernanza'!T3&lt;&gt;0,'13 Gobernanza'!T3,"-")</f>
        <v>-</v>
      </c>
      <c r="F142" s="58" t="str">
        <f>IF('13 Gobernanza'!U3&lt;&gt;0,'13 Gobernanza'!U3,"-")</f>
        <v>-</v>
      </c>
      <c r="G142" s="58" t="str">
        <f>IF('13 Gobernanza'!V3&lt;&gt;0,'13 Gobernanza'!V3,"-")</f>
        <v>-</v>
      </c>
      <c r="H142" s="58" t="str">
        <f>IF('13 Gobernanza'!W3&lt;&gt;0,'13 Gobernanza'!W3,"-")</f>
        <v>Anual</v>
      </c>
      <c r="I142" s="58" t="str">
        <f>IF('13 Gobernanza'!X3&lt;&gt;0,'13 Gobernanza'!X3,"-")</f>
        <v>-</v>
      </c>
      <c r="J142" s="33"/>
    </row>
    <row r="143" spans="1:10" ht="16.5" customHeight="1" thickBot="1">
      <c r="A143" s="58">
        <v>2</v>
      </c>
      <c r="B143" s="70" t="str">
        <f>IF('13 Gobernanza'!I4&lt;&gt;0,'13 Gobernanza'!I4,"-")</f>
        <v>-</v>
      </c>
      <c r="C143" s="58" t="str">
        <f>IF('13 Gobernanza'!R4&lt;&gt;0,'13 Gobernanza'!R4,"-")</f>
        <v>-</v>
      </c>
      <c r="D143" s="58" t="str">
        <f>IF('13 Gobernanza'!S4&lt;&gt;0,'13 Gobernanza'!S4,"-")</f>
        <v>-</v>
      </c>
      <c r="E143" s="58" t="str">
        <f>IF('13 Gobernanza'!T4&lt;&gt;0,'13 Gobernanza'!T4,"-")</f>
        <v>-</v>
      </c>
      <c r="F143" s="58" t="str">
        <f>IF('13 Gobernanza'!U4&lt;&gt;0,'13 Gobernanza'!U4,"-")</f>
        <v>-</v>
      </c>
      <c r="G143" s="58" t="str">
        <f>IF('13 Gobernanza'!V4&lt;&gt;0,'13 Gobernanza'!V4,"-")</f>
        <v>-</v>
      </c>
      <c r="H143" s="58" t="str">
        <f>IF('13 Gobernanza'!W4&lt;&gt;0,'13 Gobernanza'!W4,"-")</f>
        <v>Anual</v>
      </c>
      <c r="I143" s="58" t="str">
        <f>IF('13 Gobernanza'!X4&lt;&gt;0,'13 Gobernanza'!X4,"-")</f>
        <v>-</v>
      </c>
      <c r="J143" s="33"/>
    </row>
    <row r="144" spans="1:10" ht="16.5" customHeight="1" thickBot="1">
      <c r="A144" s="58">
        <v>3</v>
      </c>
      <c r="B144" s="70" t="str">
        <f>IF('13 Gobernanza'!I5&lt;&gt;0,'13 Gobernanza'!I5,"-")</f>
        <v>-</v>
      </c>
      <c r="C144" s="58" t="str">
        <f>IF('13 Gobernanza'!R5&lt;&gt;0,'13 Gobernanza'!R5,"-")</f>
        <v>-</v>
      </c>
      <c r="D144" s="58" t="str">
        <f>IF('13 Gobernanza'!S5&lt;&gt;0,'13 Gobernanza'!S5,"-")</f>
        <v>-</v>
      </c>
      <c r="E144" s="58" t="str">
        <f>IF('13 Gobernanza'!T5&lt;&gt;0,'13 Gobernanza'!T5,"-")</f>
        <v>-</v>
      </c>
      <c r="F144" s="58" t="str">
        <f>IF('13 Gobernanza'!U5&lt;&gt;0,'13 Gobernanza'!U5,"-")</f>
        <v>-</v>
      </c>
      <c r="G144" s="58" t="str">
        <f>IF('13 Gobernanza'!V5&lt;&gt;0,'13 Gobernanza'!V5,"-")</f>
        <v>-</v>
      </c>
      <c r="H144" s="58" t="str">
        <f>IF('13 Gobernanza'!W5&lt;&gt;0,'13 Gobernanza'!W5,"-")</f>
        <v>Anual</v>
      </c>
      <c r="I144" s="58" t="str">
        <f>IF('13 Gobernanza'!X5&lt;&gt;0,'13 Gobernanza'!X5,"-")</f>
        <v>-</v>
      </c>
      <c r="J144" s="33"/>
    </row>
    <row r="145" spans="1:10" ht="16.5" customHeight="1" thickBot="1">
      <c r="A145" s="58">
        <v>4</v>
      </c>
      <c r="B145" s="70" t="str">
        <f>IF('13 Gobernanza'!I6&lt;&gt;0,'13 Gobernanza'!I6,"-")</f>
        <v>-</v>
      </c>
      <c r="C145" s="58" t="str">
        <f>IF('13 Gobernanza'!R6&lt;&gt;0,'13 Gobernanza'!R6,"-")</f>
        <v>-</v>
      </c>
      <c r="D145" s="58" t="str">
        <f>IF('13 Gobernanza'!S6&lt;&gt;0,'13 Gobernanza'!S6,"-")</f>
        <v>-</v>
      </c>
      <c r="E145" s="58" t="str">
        <f>IF('13 Gobernanza'!T6&lt;&gt;0,'13 Gobernanza'!T6,"-")</f>
        <v>-</v>
      </c>
      <c r="F145" s="58" t="str">
        <f>IF('13 Gobernanza'!U6&lt;&gt;0,'13 Gobernanza'!U6,"-")</f>
        <v>-</v>
      </c>
      <c r="G145" s="58" t="str">
        <f>IF('13 Gobernanza'!V6&lt;&gt;0,'13 Gobernanza'!V6,"-")</f>
        <v>-</v>
      </c>
      <c r="H145" s="58" t="str">
        <f>IF('13 Gobernanza'!W6&lt;&gt;0,'13 Gobernanza'!W6,"-")</f>
        <v>Anual</v>
      </c>
      <c r="I145" s="58" t="str">
        <f>IF('13 Gobernanza'!X6&lt;&gt;0,'13 Gobernanza'!X6,"-")</f>
        <v>-</v>
      </c>
      <c r="J145" s="33"/>
    </row>
    <row r="146" spans="1:10" ht="16.5" customHeight="1" thickBot="1">
      <c r="A146" s="58">
        <v>5</v>
      </c>
      <c r="B146" s="70" t="str">
        <f>IF('13 Gobernanza'!I7&lt;&gt;0,'13 Gobernanza'!I7,"-")</f>
        <v>-</v>
      </c>
      <c r="C146" s="58" t="str">
        <f>IF('13 Gobernanza'!R7&lt;&gt;0,'13 Gobernanza'!R7,"-")</f>
        <v>-</v>
      </c>
      <c r="D146" s="58" t="str">
        <f>IF('13 Gobernanza'!S7&lt;&gt;0,'13 Gobernanza'!S7,"-")</f>
        <v>-</v>
      </c>
      <c r="E146" s="58" t="str">
        <f>IF('13 Gobernanza'!T7&lt;&gt;0,'13 Gobernanza'!T7,"-")</f>
        <v>-</v>
      </c>
      <c r="F146" s="58" t="str">
        <f>IF('13 Gobernanza'!U7&lt;&gt;0,'13 Gobernanza'!U7,"-")</f>
        <v>-</v>
      </c>
      <c r="G146" s="58" t="str">
        <f>IF('13 Gobernanza'!V7&lt;&gt;0,'13 Gobernanza'!V7,"-")</f>
        <v>-</v>
      </c>
      <c r="H146" s="58" t="str">
        <f>IF('13 Gobernanza'!W7&lt;&gt;0,'13 Gobernanza'!W7,"-")</f>
        <v>Anual</v>
      </c>
      <c r="I146" s="58" t="str">
        <f>IF('13 Gobernanza'!X7&lt;&gt;0,'13 Gobernanza'!X7,"-")</f>
        <v>-</v>
      </c>
      <c r="J146" s="33"/>
    </row>
    <row r="147" spans="1:10" ht="16.5" customHeight="1" thickBot="1">
      <c r="A147" s="58">
        <v>6</v>
      </c>
      <c r="B147" s="70" t="str">
        <f>IF('13 Gobernanza'!I8&lt;&gt;0,'13 Gobernanza'!I8,"-")</f>
        <v>-</v>
      </c>
      <c r="C147" s="58" t="str">
        <f>IF('13 Gobernanza'!R8&lt;&gt;0,'13 Gobernanza'!R8,"-")</f>
        <v>-</v>
      </c>
      <c r="D147" s="58" t="str">
        <f>IF('13 Gobernanza'!S8&lt;&gt;0,'13 Gobernanza'!S8,"-")</f>
        <v>-</v>
      </c>
      <c r="E147" s="58" t="str">
        <f>IF('13 Gobernanza'!T8&lt;&gt;0,'13 Gobernanza'!T8,"-")</f>
        <v>-</v>
      </c>
      <c r="F147" s="58" t="str">
        <f>IF('13 Gobernanza'!U8&lt;&gt;0,'13 Gobernanza'!U8,"-")</f>
        <v>-</v>
      </c>
      <c r="G147" s="58" t="str">
        <f>IF('13 Gobernanza'!V8&lt;&gt;0,'13 Gobernanza'!V8,"-")</f>
        <v>-</v>
      </c>
      <c r="H147" s="58" t="str">
        <f>IF('13 Gobernanza'!W8&lt;&gt;0,'13 Gobernanza'!W8,"-")</f>
        <v>Anual</v>
      </c>
      <c r="I147" s="58" t="str">
        <f>IF('13 Gobernanza'!X8&lt;&gt;0,'13 Gobernanza'!X8,"-")</f>
        <v>-</v>
      </c>
      <c r="J147" s="33"/>
    </row>
    <row r="148" spans="1:10" ht="16.5" customHeight="1" thickBot="1">
      <c r="A148" s="58">
        <v>7</v>
      </c>
      <c r="B148" s="70" t="str">
        <f>IF('13 Gobernanza'!I9&lt;&gt;0,'13 Gobernanza'!I9,"-")</f>
        <v>-</v>
      </c>
      <c r="C148" s="58" t="str">
        <f>IF('13 Gobernanza'!R9&lt;&gt;0,'13 Gobernanza'!R9,"-")</f>
        <v>-</v>
      </c>
      <c r="D148" s="58" t="str">
        <f>IF('13 Gobernanza'!S9&lt;&gt;0,'13 Gobernanza'!S9,"-")</f>
        <v>-</v>
      </c>
      <c r="E148" s="58" t="str">
        <f>IF('13 Gobernanza'!T9&lt;&gt;0,'13 Gobernanza'!T9,"-")</f>
        <v>-</v>
      </c>
      <c r="F148" s="58" t="str">
        <f>IF('13 Gobernanza'!U9&lt;&gt;0,'13 Gobernanza'!U9,"-")</f>
        <v>-</v>
      </c>
      <c r="G148" s="58" t="str">
        <f>IF('13 Gobernanza'!V9&lt;&gt;0,'13 Gobernanza'!V9,"-")</f>
        <v>-</v>
      </c>
      <c r="H148" s="58" t="str">
        <f>IF('13 Gobernanza'!W9&lt;&gt;0,'13 Gobernanza'!W9,"-")</f>
        <v>Anual</v>
      </c>
      <c r="I148" s="58" t="str">
        <f>IF('13 Gobernanza'!X9&lt;&gt;0,'13 Gobernanza'!X9,"-")</f>
        <v>-</v>
      </c>
      <c r="J148" s="33"/>
    </row>
    <row r="149" spans="1:10" ht="16.5" customHeight="1" thickBot="1">
      <c r="A149" s="58">
        <v>8</v>
      </c>
      <c r="B149" s="70" t="str">
        <f>IF('13 Gobernanza'!I10&lt;&gt;0,'13 Gobernanza'!I10,"-")</f>
        <v>-</v>
      </c>
      <c r="C149" s="58" t="str">
        <f>IF('13 Gobernanza'!R10&lt;&gt;0,'13 Gobernanza'!R10,"-")</f>
        <v>-</v>
      </c>
      <c r="D149" s="58" t="str">
        <f>IF('13 Gobernanza'!S10&lt;&gt;0,'13 Gobernanza'!S10,"-")</f>
        <v>-</v>
      </c>
      <c r="E149" s="58" t="str">
        <f>IF('13 Gobernanza'!T10&lt;&gt;0,'13 Gobernanza'!T10,"-")</f>
        <v>-</v>
      </c>
      <c r="F149" s="58" t="str">
        <f>IF('13 Gobernanza'!U10&lt;&gt;0,'13 Gobernanza'!U10,"-")</f>
        <v>-</v>
      </c>
      <c r="G149" s="58" t="str">
        <f>IF('13 Gobernanza'!V10&lt;&gt;0,'13 Gobernanza'!V10,"-")</f>
        <v>-</v>
      </c>
      <c r="H149" s="58" t="str">
        <f>IF('13 Gobernanza'!W10&lt;&gt;0,'13 Gobernanza'!W10,"-")</f>
        <v>Anual</v>
      </c>
      <c r="I149" s="58" t="str">
        <f>IF('13 Gobernanza'!X10&lt;&gt;0,'13 Gobernanza'!X10,"-")</f>
        <v>-</v>
      </c>
      <c r="J149" s="33"/>
    </row>
    <row r="150" spans="1:10">
      <c r="A150" s="63"/>
      <c r="B150" s="82"/>
      <c r="C150" s="63"/>
      <c r="D150" s="63"/>
      <c r="E150" s="63"/>
      <c r="F150" s="63"/>
      <c r="G150" s="63"/>
      <c r="H150" s="63"/>
      <c r="I150" s="63"/>
      <c r="J150" s="63"/>
    </row>
    <row r="151" spans="1:10">
      <c r="A151" s="63"/>
      <c r="B151" s="82"/>
      <c r="C151" s="63"/>
      <c r="D151" s="63"/>
      <c r="E151" s="63"/>
      <c r="F151" s="63"/>
      <c r="G151" s="63"/>
      <c r="H151" s="63"/>
      <c r="I151" s="63"/>
      <c r="J151" s="63"/>
    </row>
    <row r="152" spans="1:10">
      <c r="A152" s="63"/>
      <c r="B152" s="82"/>
      <c r="C152" s="63"/>
      <c r="D152" s="63"/>
      <c r="E152" s="63"/>
      <c r="F152" s="63"/>
      <c r="G152" s="63"/>
      <c r="H152" s="63"/>
      <c r="I152" s="63"/>
      <c r="J152" s="63"/>
    </row>
    <row r="153" spans="1:10" ht="16.5" customHeight="1">
      <c r="A153" s="217" t="s">
        <v>627</v>
      </c>
      <c r="B153" s="218"/>
      <c r="C153" s="219"/>
      <c r="D153" s="219"/>
      <c r="E153" s="219"/>
      <c r="F153" s="219"/>
      <c r="G153" s="219"/>
      <c r="H153" s="219"/>
      <c r="I153" s="219"/>
      <c r="J153" s="219"/>
    </row>
    <row r="154" spans="1:10">
      <c r="A154" s="220" t="s">
        <v>610</v>
      </c>
      <c r="B154" s="215" t="s">
        <v>598</v>
      </c>
      <c r="C154" s="215" t="s">
        <v>16</v>
      </c>
      <c r="D154" s="215">
        <v>2027</v>
      </c>
      <c r="E154" s="215">
        <v>2028</v>
      </c>
      <c r="F154" s="215">
        <v>2029</v>
      </c>
      <c r="G154" s="54" t="str">
        <f>TEXT($J$1,"mmmm")</f>
        <v>agosto</v>
      </c>
      <c r="H154" s="215" t="s">
        <v>611</v>
      </c>
      <c r="I154" s="215" t="s">
        <v>15</v>
      </c>
      <c r="J154" s="33"/>
    </row>
    <row r="155" spans="1:10" ht="16.5" customHeight="1" thickBot="1">
      <c r="A155" s="216"/>
      <c r="B155" s="216"/>
      <c r="C155" s="216"/>
      <c r="D155" s="216"/>
      <c r="E155" s="216"/>
      <c r="F155" s="216"/>
      <c r="G155" s="55">
        <v>2030</v>
      </c>
      <c r="H155" s="216"/>
      <c r="I155" s="216"/>
      <c r="J155" s="33"/>
    </row>
    <row r="156" spans="1:10" ht="16.5" customHeight="1" thickBot="1">
      <c r="A156" s="58">
        <v>1</v>
      </c>
      <c r="B156" s="70" t="str">
        <f>IF('16 Manejo recursos universitari'!I3&lt;&gt;0,'16 Manejo recursos universitari'!I3,"-")</f>
        <v>-</v>
      </c>
      <c r="C156" s="58" t="str">
        <f>IF('16 Manejo recursos universitari'!R3&lt;&gt;0,'16 Manejo recursos universitari'!R3,"-")</f>
        <v>-</v>
      </c>
      <c r="D156" s="58" t="str">
        <f>IF('16 Manejo recursos universitari'!S3&lt;&gt;0,'16 Manejo recursos universitari'!S3,"-")</f>
        <v>-</v>
      </c>
      <c r="E156" s="58" t="str">
        <f>IF('16 Manejo recursos universitari'!T3&lt;&gt;0,'16 Manejo recursos universitari'!T3,"-")</f>
        <v>-</v>
      </c>
      <c r="F156" s="58" t="str">
        <f>IF('16 Manejo recursos universitari'!U3&lt;&gt;0,'16 Manejo recursos universitari'!U3,"-")</f>
        <v>-</v>
      </c>
      <c r="G156" s="58" t="str">
        <f>IF('16 Manejo recursos universitari'!V3&lt;&gt;0,'16 Manejo recursos universitari'!V3,"-")</f>
        <v>-</v>
      </c>
      <c r="H156" s="58" t="str">
        <f>IF('16 Manejo recursos universitari'!W3&lt;&gt;0,'16 Manejo recursos universitari'!W3,"-")</f>
        <v>Anual</v>
      </c>
      <c r="I156" s="58" t="str">
        <f>IF('16 Manejo recursos universitari'!X3&lt;&gt;0,'16 Manejo recursos universitari'!X3,"-")</f>
        <v>-</v>
      </c>
      <c r="J156" s="33"/>
    </row>
    <row r="157" spans="1:10">
      <c r="A157" s="81"/>
      <c r="B157" s="72"/>
      <c r="C157" s="73"/>
      <c r="D157" s="73"/>
      <c r="E157" s="73"/>
      <c r="F157" s="73"/>
      <c r="G157" s="73"/>
      <c r="H157" s="73"/>
      <c r="I157" s="73"/>
      <c r="J157" s="73"/>
    </row>
    <row r="158" spans="1:10">
      <c r="A158" s="81"/>
      <c r="B158" s="72"/>
      <c r="C158" s="73"/>
      <c r="D158" s="73"/>
      <c r="E158" s="73"/>
      <c r="F158" s="73"/>
      <c r="G158" s="73"/>
      <c r="H158" s="73"/>
      <c r="I158" s="73"/>
      <c r="J158" s="73"/>
    </row>
    <row r="159" spans="1:10" ht="19.5" customHeight="1">
      <c r="A159" s="53" t="s">
        <v>628</v>
      </c>
      <c r="B159" s="68"/>
      <c r="C159" s="69"/>
      <c r="D159" s="69"/>
      <c r="E159" s="69"/>
      <c r="F159" s="69"/>
      <c r="G159" s="69"/>
      <c r="H159" s="69"/>
      <c r="I159" s="69"/>
      <c r="J159" s="69"/>
    </row>
    <row r="160" spans="1:10" ht="16.5" customHeight="1">
      <c r="A160" s="217" t="s">
        <v>629</v>
      </c>
      <c r="B160" s="218"/>
      <c r="C160" s="219"/>
      <c r="D160" s="219"/>
      <c r="E160" s="219"/>
      <c r="F160" s="219"/>
      <c r="G160" s="219"/>
      <c r="H160" s="219"/>
      <c r="I160" s="219"/>
      <c r="J160" s="219"/>
    </row>
    <row r="161" spans="1:10">
      <c r="A161" s="220" t="s">
        <v>610</v>
      </c>
      <c r="B161" s="215" t="s">
        <v>598</v>
      </c>
      <c r="C161" s="215" t="s">
        <v>16</v>
      </c>
      <c r="D161" s="215">
        <v>2027</v>
      </c>
      <c r="E161" s="215">
        <v>2028</v>
      </c>
      <c r="F161" s="215">
        <v>2029</v>
      </c>
      <c r="G161" s="54" t="str">
        <f>TEXT($J$1,"mmmm")</f>
        <v>agosto</v>
      </c>
      <c r="H161" s="215" t="s">
        <v>611</v>
      </c>
      <c r="I161" s="215" t="s">
        <v>15</v>
      </c>
      <c r="J161" s="33"/>
    </row>
    <row r="162" spans="1:10" ht="16.5" customHeight="1" thickBot="1">
      <c r="A162" s="216"/>
      <c r="B162" s="216"/>
      <c r="C162" s="216"/>
      <c r="D162" s="216"/>
      <c r="E162" s="216"/>
      <c r="F162" s="216"/>
      <c r="G162" s="55">
        <v>2030</v>
      </c>
      <c r="H162" s="216"/>
      <c r="I162" s="216"/>
      <c r="J162" s="33"/>
    </row>
    <row r="163" spans="1:10" ht="16.5" customHeight="1" thickBot="1">
      <c r="A163" s="58">
        <v>1</v>
      </c>
      <c r="B163" s="70" t="str">
        <f>IF('Indicadores x proyec'!B88&lt;&gt;0,'Indicadores x proyec'!B88,"-")</f>
        <v>-</v>
      </c>
      <c r="C163" s="60" t="str">
        <f>IF('Indicadores x proyec'!D88/100&lt;&gt;0,'Indicadores x proyec'!D88/100,"-")</f>
        <v>-</v>
      </c>
      <c r="D163" s="60" t="str">
        <f>IF('Indicadores x proyec'!E88/100&lt;&gt;0,'Indicadores x proyec'!E88/100,"-")</f>
        <v>-</v>
      </c>
      <c r="E163" s="60" t="str">
        <f>IF('Indicadores x proyec'!F88/100&lt;&gt;0,'Indicadores x proyec'!F88/100,"-")</f>
        <v>-</v>
      </c>
      <c r="F163" s="60" t="str">
        <f>IF('Indicadores x proyec'!G88/100&lt;&gt;0,'Indicadores x proyec'!G88/100,"-")</f>
        <v>-</v>
      </c>
      <c r="G163" s="60" t="str">
        <f>IF('Indicadores x proyec'!H88/100&lt;&gt;0,'Indicadores x proyec'!H88/100,"-")</f>
        <v>-</v>
      </c>
      <c r="H163" s="58" t="str">
        <f>IF('Indicadores x proyec'!I88&lt;&gt;0,'Indicadores x proyec'!I88,"-")</f>
        <v>Anual</v>
      </c>
      <c r="I163" s="58" t="str">
        <f>IF('Indicadores x proyec'!J88&lt;&gt;0,'Indicadores x proyec'!J88,"-")</f>
        <v>-</v>
      </c>
      <c r="J163" s="33"/>
    </row>
    <row r="164" spans="1:10" ht="16.5" customHeight="1" thickBot="1">
      <c r="A164" s="58">
        <v>2</v>
      </c>
      <c r="B164" s="70" t="str">
        <f>IF('18 Reconocimiento de la diversi'!I5&lt;&gt;0,'18 Reconocimiento de la diversi'!I5,"-")</f>
        <v>-</v>
      </c>
      <c r="C164" s="58" t="str">
        <f>IF('18 Reconocimiento de la diversi'!R5&lt;&gt;0,'18 Reconocimiento de la diversi'!R5,"-")</f>
        <v>-</v>
      </c>
      <c r="D164" s="58" t="str">
        <f>IF('18 Reconocimiento de la diversi'!S5&lt;&gt;0,'18 Reconocimiento de la diversi'!S5,"-")</f>
        <v>-</v>
      </c>
      <c r="E164" s="58" t="str">
        <f>IF('18 Reconocimiento de la diversi'!T5&lt;&gt;0,'18 Reconocimiento de la diversi'!T5,"-")</f>
        <v>-</v>
      </c>
      <c r="F164" s="58" t="str">
        <f>IF('18 Reconocimiento de la diversi'!U5&lt;&gt;0,'18 Reconocimiento de la diversi'!U5,"-")</f>
        <v>-</v>
      </c>
      <c r="G164" s="58" t="str">
        <f>IF('18 Reconocimiento de la diversi'!V5&lt;&gt;0,'18 Reconocimiento de la diversi'!V5,"-")</f>
        <v>-</v>
      </c>
      <c r="H164" s="58" t="str">
        <f>IF('18 Reconocimiento de la diversi'!W5&lt;&gt;0,'18 Reconocimiento de la diversi'!W5,"-")</f>
        <v>Anual</v>
      </c>
      <c r="I164" s="58" t="str">
        <f>IF('18 Reconocimiento de la diversi'!X5&lt;&gt;0,'18 Reconocimiento de la diversi'!X5,"-")</f>
        <v>-</v>
      </c>
      <c r="J164" s="33"/>
    </row>
    <row r="165" spans="1:10" ht="16.5" customHeight="1" thickBot="1">
      <c r="A165" s="58">
        <v>3</v>
      </c>
      <c r="B165" s="70" t="str">
        <f>IF('Indicadores x proyec'!B90&lt;&gt;0,'Indicadores x proyec'!B90,"-")</f>
        <v>-</v>
      </c>
      <c r="C165" s="60" t="str">
        <f>IF('Indicadores x proyec'!D90/100&lt;&gt;0,'Indicadores x proyec'!D90/100,"-")</f>
        <v>-</v>
      </c>
      <c r="D165" s="60" t="str">
        <f>IF('Indicadores x proyec'!E90/100&lt;&gt;0,'Indicadores x proyec'!E90/100,"-")</f>
        <v>-</v>
      </c>
      <c r="E165" s="60" t="str">
        <f>IF('Indicadores x proyec'!F90/100&lt;&gt;0,'Indicadores x proyec'!F90/100,"-")</f>
        <v>-</v>
      </c>
      <c r="F165" s="60" t="str">
        <f>IF('Indicadores x proyec'!G90/100&lt;&gt;0,'Indicadores x proyec'!G90/100,"-")</f>
        <v>-</v>
      </c>
      <c r="G165" s="60" t="str">
        <f>IF('Indicadores x proyec'!H90/100&lt;&gt;0,'Indicadores x proyec'!H90/100,"-")</f>
        <v>-</v>
      </c>
      <c r="H165" s="58" t="str">
        <f>IF('Indicadores x proyec'!I90&lt;&gt;0,'Indicadores x proyec'!I90,"-")</f>
        <v>Anual</v>
      </c>
      <c r="I165" s="58" t="str">
        <f>IF('Indicadores x proyec'!J90&lt;&gt;0,'Indicadores x proyec'!J90,"-")</f>
        <v>-</v>
      </c>
      <c r="J165" s="33"/>
    </row>
    <row r="166" spans="1:10" ht="16.5" customHeight="1" thickBot="1">
      <c r="A166" s="58">
        <v>4</v>
      </c>
      <c r="B166" s="70" t="str">
        <f>IF('18 Reconocimiento de la diversi'!I8&lt;&gt;0,'18 Reconocimiento de la diversi'!I8,"-")</f>
        <v>-</v>
      </c>
      <c r="C166" s="58" t="str">
        <f>IF('18 Reconocimiento de la diversi'!R8&lt;&gt;0,'18 Reconocimiento de la diversi'!R8,"-")</f>
        <v>-</v>
      </c>
      <c r="D166" s="58" t="str">
        <f>IF('18 Reconocimiento de la diversi'!S8&lt;&gt;0,'18 Reconocimiento de la diversi'!S8,"-")</f>
        <v>-</v>
      </c>
      <c r="E166" s="58" t="str">
        <f>IF('18 Reconocimiento de la diversi'!T8&lt;&gt;0,'18 Reconocimiento de la diversi'!T8,"-")</f>
        <v>-</v>
      </c>
      <c r="F166" s="58" t="str">
        <f>IF('18 Reconocimiento de la diversi'!U8&lt;&gt;0,'18 Reconocimiento de la diversi'!U8,"-")</f>
        <v>-</v>
      </c>
      <c r="G166" s="58" t="str">
        <f>IF('18 Reconocimiento de la diversi'!V8&lt;&gt;0,'18 Reconocimiento de la diversi'!V8,"-")</f>
        <v>-</v>
      </c>
      <c r="H166" s="58" t="str">
        <f>IF('18 Reconocimiento de la diversi'!W8&lt;&gt;0,'18 Reconocimiento de la diversi'!W8,"-")</f>
        <v>Anual</v>
      </c>
      <c r="I166" s="58" t="str">
        <f>IF('18 Reconocimiento de la diversi'!X8&lt;&gt;0,'18 Reconocimiento de la diversi'!X8,"-")</f>
        <v>-</v>
      </c>
      <c r="J166" s="33"/>
    </row>
    <row r="167" spans="1:10" ht="16.5" customHeight="1" thickBot="1">
      <c r="A167" s="58">
        <v>5</v>
      </c>
      <c r="B167" s="70" t="str">
        <f>IF('18 Reconocimiento de la diversi'!I9&lt;&gt;0,'18 Reconocimiento de la diversi'!I9,"-")</f>
        <v>-</v>
      </c>
      <c r="C167" s="58" t="str">
        <f>IF('18 Reconocimiento de la diversi'!R9&lt;&gt;0,'18 Reconocimiento de la diversi'!R9,"-")</f>
        <v>-</v>
      </c>
      <c r="D167" s="58" t="str">
        <f>IF('18 Reconocimiento de la diversi'!S9&lt;&gt;0,'18 Reconocimiento de la diversi'!S9,"-")</f>
        <v>-</v>
      </c>
      <c r="E167" s="58" t="str">
        <f>IF('18 Reconocimiento de la diversi'!T9&lt;&gt;0,'18 Reconocimiento de la diversi'!T9,"-")</f>
        <v>-</v>
      </c>
      <c r="F167" s="58" t="str">
        <f>IF('18 Reconocimiento de la diversi'!U9&lt;&gt;0,'18 Reconocimiento de la diversi'!U9,"-")</f>
        <v>-</v>
      </c>
      <c r="G167" s="58" t="str">
        <f>IF('18 Reconocimiento de la diversi'!V9&lt;&gt;0,'18 Reconocimiento de la diversi'!V9,"-")</f>
        <v>-</v>
      </c>
      <c r="H167" s="58" t="str">
        <f>IF('18 Reconocimiento de la diversi'!W9&lt;&gt;0,'18 Reconocimiento de la diversi'!W9,"-")</f>
        <v>Anual</v>
      </c>
      <c r="I167" s="58" t="str">
        <f>IF('18 Reconocimiento de la diversi'!X9&lt;&gt;0,'18 Reconocimiento de la diversi'!X9,"-")</f>
        <v>-</v>
      </c>
      <c r="J167" s="33"/>
    </row>
    <row r="168" spans="1:10" ht="16.5" customHeight="1" thickBot="1">
      <c r="A168" s="58">
        <v>6</v>
      </c>
      <c r="B168" s="70" t="str">
        <f>IF('18 Reconocimiento de la diversi'!I10&lt;&gt;0,'18 Reconocimiento de la diversi'!I10,"-")</f>
        <v>-</v>
      </c>
      <c r="C168" s="58" t="str">
        <f>IF('18 Reconocimiento de la diversi'!R10&lt;&gt;0,'18 Reconocimiento de la diversi'!R10,"-")</f>
        <v>-</v>
      </c>
      <c r="D168" s="58" t="str">
        <f>IF('18 Reconocimiento de la diversi'!S10&lt;&gt;0,'18 Reconocimiento de la diversi'!S10,"-")</f>
        <v>-</v>
      </c>
      <c r="E168" s="58" t="str">
        <f>IF('18 Reconocimiento de la diversi'!T10&lt;&gt;0,'18 Reconocimiento de la diversi'!T10,"-")</f>
        <v>-</v>
      </c>
      <c r="F168" s="58" t="str">
        <f>IF('18 Reconocimiento de la diversi'!U10&lt;&gt;0,'18 Reconocimiento de la diversi'!U10,"-")</f>
        <v>-</v>
      </c>
      <c r="G168" s="58" t="str">
        <f>IF('18 Reconocimiento de la diversi'!V10&lt;&gt;0,'18 Reconocimiento de la diversi'!V10,"-")</f>
        <v>-</v>
      </c>
      <c r="H168" s="58" t="str">
        <f>IF('18 Reconocimiento de la diversi'!W10&lt;&gt;0,'18 Reconocimiento de la diversi'!W10,"-")</f>
        <v>Anual</v>
      </c>
      <c r="I168" s="58" t="str">
        <f>IF('18 Reconocimiento de la diversi'!X10&lt;&gt;0,'18 Reconocimiento de la diversi'!X10,"-")</f>
        <v>-</v>
      </c>
      <c r="J168" s="33"/>
    </row>
    <row r="169" spans="1:10" ht="16.5" customHeight="1" thickBot="1">
      <c r="A169" s="58">
        <v>7</v>
      </c>
      <c r="B169" s="70" t="str">
        <f>IF('18 Reconocimiento de la diversi'!I11&lt;&gt;0,'18 Reconocimiento de la diversi'!I11,"-")</f>
        <v>-</v>
      </c>
      <c r="C169" s="58" t="str">
        <f>IF('18 Reconocimiento de la diversi'!R11&lt;&gt;0,'18 Reconocimiento de la diversi'!R11,"-")</f>
        <v>-</v>
      </c>
      <c r="D169" s="58" t="str">
        <f>IF('18 Reconocimiento de la diversi'!S11&lt;&gt;0,'18 Reconocimiento de la diversi'!S11,"-")</f>
        <v>-</v>
      </c>
      <c r="E169" s="58" t="str">
        <f>IF('18 Reconocimiento de la diversi'!T11&lt;&gt;0,'18 Reconocimiento de la diversi'!T11,"-")</f>
        <v>-</v>
      </c>
      <c r="F169" s="58" t="str">
        <f>IF('18 Reconocimiento de la diversi'!U11&lt;&gt;0,'18 Reconocimiento de la diversi'!U11,"-")</f>
        <v>-</v>
      </c>
      <c r="G169" s="58" t="str">
        <f>IF('18 Reconocimiento de la diversi'!V11&lt;&gt;0,'18 Reconocimiento de la diversi'!V11,"-")</f>
        <v>-</v>
      </c>
      <c r="H169" s="58" t="str">
        <f>IF('18 Reconocimiento de la diversi'!W11&lt;&gt;0,'18 Reconocimiento de la diversi'!W11,"-")</f>
        <v>Anual</v>
      </c>
      <c r="I169" s="58" t="str">
        <f>IF('18 Reconocimiento de la diversi'!X11&lt;&gt;0,'18 Reconocimiento de la diversi'!X11,"-")</f>
        <v>-</v>
      </c>
      <c r="J169" s="33"/>
    </row>
    <row r="170" spans="1:10" ht="16.5" customHeight="1" thickBot="1">
      <c r="A170" s="58">
        <v>8</v>
      </c>
      <c r="B170" s="70" t="str">
        <f>IF('18 Reconocimiento de la diversi'!I12&lt;&gt;0,'18 Reconocimiento de la diversi'!I12,"-")</f>
        <v>-</v>
      </c>
      <c r="C170" s="58" t="str">
        <f>IF('18 Reconocimiento de la diversi'!R12&lt;&gt;0,'18 Reconocimiento de la diversi'!R12,"-")</f>
        <v>-</v>
      </c>
      <c r="D170" s="58" t="str">
        <f>IF('18 Reconocimiento de la diversi'!S12&lt;&gt;0,'18 Reconocimiento de la diversi'!S12,"-")</f>
        <v>-</v>
      </c>
      <c r="E170" s="58" t="str">
        <f>IF('18 Reconocimiento de la diversi'!T12&lt;&gt;0,'18 Reconocimiento de la diversi'!T12,"-")</f>
        <v>-</v>
      </c>
      <c r="F170" s="58" t="str">
        <f>IF('18 Reconocimiento de la diversi'!U12&lt;&gt;0,'18 Reconocimiento de la diversi'!U12,"-")</f>
        <v>-</v>
      </c>
      <c r="G170" s="58" t="str">
        <f>IF('18 Reconocimiento de la diversi'!V12&lt;&gt;0,'18 Reconocimiento de la diversi'!V12,"-")</f>
        <v>-</v>
      </c>
      <c r="H170" s="58" t="str">
        <f>IF('18 Reconocimiento de la diversi'!W12&lt;&gt;0,'18 Reconocimiento de la diversi'!W12,"-")</f>
        <v>Anual</v>
      </c>
      <c r="I170" s="58" t="str">
        <f>IF('18 Reconocimiento de la diversi'!X12&lt;&gt;0,'18 Reconocimiento de la diversi'!X12,"-")</f>
        <v>-</v>
      </c>
      <c r="J170" s="33"/>
    </row>
    <row r="171" spans="1:10">
      <c r="A171" s="81"/>
      <c r="B171" s="72"/>
      <c r="C171" s="73"/>
      <c r="D171" s="73"/>
      <c r="E171" s="73"/>
      <c r="F171" s="73"/>
      <c r="G171" s="73"/>
      <c r="H171" s="73"/>
      <c r="I171" s="73"/>
      <c r="J171" s="73"/>
    </row>
    <row r="172" spans="1:10">
      <c r="A172" s="81"/>
      <c r="B172" s="72"/>
      <c r="C172" s="73"/>
      <c r="D172" s="73"/>
      <c r="E172" s="73"/>
      <c r="F172" s="73"/>
      <c r="G172" s="73"/>
      <c r="H172" s="73"/>
      <c r="I172" s="73"/>
      <c r="J172" s="73"/>
    </row>
    <row r="173" spans="1:10">
      <c r="A173" s="80"/>
      <c r="B173" s="68"/>
      <c r="C173" s="69"/>
      <c r="D173" s="69"/>
      <c r="E173" s="69"/>
      <c r="F173" s="69"/>
      <c r="G173" s="69"/>
      <c r="H173" s="69"/>
      <c r="I173" s="69"/>
      <c r="J173" s="69"/>
    </row>
    <row r="174" spans="1:10" ht="16.5" customHeight="1">
      <c r="A174" s="217" t="s">
        <v>630</v>
      </c>
      <c r="B174" s="218"/>
      <c r="C174" s="219"/>
      <c r="D174" s="219"/>
      <c r="E174" s="219"/>
      <c r="F174" s="219"/>
      <c r="G174" s="219"/>
      <c r="H174" s="219"/>
      <c r="I174" s="219"/>
      <c r="J174" s="219"/>
    </row>
    <row r="175" spans="1:10">
      <c r="A175" s="220" t="s">
        <v>610</v>
      </c>
      <c r="B175" s="215" t="s">
        <v>598</v>
      </c>
      <c r="C175" s="215" t="s">
        <v>16</v>
      </c>
      <c r="D175" s="215">
        <v>2027</v>
      </c>
      <c r="E175" s="215">
        <v>2028</v>
      </c>
      <c r="F175" s="215">
        <v>2029</v>
      </c>
      <c r="G175" s="54" t="str">
        <f>TEXT($J$1,"mmmm")</f>
        <v>agosto</v>
      </c>
      <c r="H175" s="215" t="s">
        <v>611</v>
      </c>
      <c r="I175" s="215" t="s">
        <v>15</v>
      </c>
      <c r="J175" s="33"/>
    </row>
    <row r="176" spans="1:10" ht="16.5" customHeight="1" thickBot="1">
      <c r="A176" s="216"/>
      <c r="B176" s="216"/>
      <c r="C176" s="216"/>
      <c r="D176" s="216"/>
      <c r="E176" s="216"/>
      <c r="F176" s="216"/>
      <c r="G176" s="55">
        <v>2030</v>
      </c>
      <c r="H176" s="216"/>
      <c r="I176" s="216"/>
      <c r="J176" s="33"/>
    </row>
    <row r="177" spans="1:10" ht="16.5" customHeight="1" thickBot="1">
      <c r="A177" s="83">
        <v>1</v>
      </c>
      <c r="B177" s="84" t="str">
        <f>IF('Indicadores x proyec'!B96&lt;&gt;0,'Indicadores x proyec'!B96,"-")</f>
        <v>Mantener al menos 5 acciones de capacitación registradas en cada medición anual de 2027 a 2030.</v>
      </c>
      <c r="C177" s="129">
        <f>IF('19 Constr cultura de paz '!R3&lt;&gt;0,'19 Constr cultura de paz '!R3,"-")</f>
        <v>5</v>
      </c>
      <c r="D177" s="129">
        <f>IF('19 Constr cultura de paz '!S3&lt;&gt;0,'19 Constr cultura de paz '!S3,"-")</f>
        <v>5</v>
      </c>
      <c r="E177" s="129">
        <f>IF('19 Constr cultura de paz '!T3&lt;&gt;0,'19 Constr cultura de paz '!T3,"-")</f>
        <v>5</v>
      </c>
      <c r="F177" s="129">
        <f>IF('19 Constr cultura de paz '!U3&lt;&gt;0,'19 Constr cultura de paz '!U3,"-")</f>
        <v>5</v>
      </c>
      <c r="G177" s="129">
        <f>IF('19 Constr cultura de paz '!V3&lt;&gt;0,'19 Constr cultura de paz '!V3,"-")</f>
        <v>5</v>
      </c>
      <c r="H177" s="83" t="str">
        <f>'19 Constr cultura de paz '!W3</f>
        <v>Anual</v>
      </c>
      <c r="I177" s="83" t="str">
        <f>IF('19 Constr cultura de paz '!X3&lt;&gt;0,'19 Constr cultura de paz '!X3,"-")</f>
        <v>Por validar con el área responsable</v>
      </c>
      <c r="J177" s="33"/>
    </row>
    <row r="178" spans="1:10" ht="16.5" customHeight="1" thickBot="1">
      <c r="A178" s="83">
        <v>2</v>
      </c>
      <c r="B178" s="84" t="str">
        <f>IF('19 Constr cultura de paz '!I4&lt;&gt;0,'19 Constr cultura de paz '!I4,"-")</f>
        <v>-</v>
      </c>
      <c r="C178" s="83" t="str">
        <f>IF('19 Constr cultura de paz '!R4&lt;&gt;0,'19 Constr cultura de paz '!R4,"-")</f>
        <v>-</v>
      </c>
      <c r="D178" s="83" t="str">
        <f>IF('19 Constr cultura de paz '!S4&lt;&gt;0,'19 Constr cultura de paz '!S4,"-")</f>
        <v>-</v>
      </c>
      <c r="E178" s="83" t="str">
        <f>IF('19 Constr cultura de paz '!T4&lt;&gt;0,'19 Constr cultura de paz '!T4,"-")</f>
        <v>-</v>
      </c>
      <c r="F178" s="83" t="str">
        <f>IF('19 Constr cultura de paz '!U4&lt;&gt;0,'19 Constr cultura de paz '!U4,"-")</f>
        <v>-</v>
      </c>
      <c r="G178" s="83" t="str">
        <f>IF('19 Constr cultura de paz '!V4&lt;&gt;0,'19 Constr cultura de paz '!V4,"-")</f>
        <v>-</v>
      </c>
      <c r="H178" s="83" t="str">
        <f>IF('19 Constr cultura de paz '!W4&lt;&gt;0,'19 Constr cultura de paz '!W4,"-")</f>
        <v xml:space="preserve">Anual </v>
      </c>
      <c r="I178" s="83" t="str">
        <f>IF('19 Constr cultura de paz '!X4&lt;&gt;0,'19 Constr cultura de paz '!X4,"-")</f>
        <v>-</v>
      </c>
      <c r="J178" s="33"/>
    </row>
    <row r="179" spans="1:10" ht="16.5" customHeight="1" thickBot="1">
      <c r="A179" s="83">
        <v>3</v>
      </c>
      <c r="B179" s="84" t="str">
        <f>IF('19 Constr cultura de paz '!I5&lt;&gt;0,'19 Constr cultura de paz '!I5,"-")</f>
        <v>-</v>
      </c>
      <c r="C179" s="83" t="str">
        <f>IF('19 Constr cultura de paz '!R5&lt;&gt;0,'19 Constr cultura de paz '!R5,"-")</f>
        <v>-</v>
      </c>
      <c r="D179" s="83" t="str">
        <f>IF('19 Constr cultura de paz '!S5&lt;&gt;0,'19 Constr cultura de paz '!S5,"-")</f>
        <v>-</v>
      </c>
      <c r="E179" s="83" t="str">
        <f>IF('19 Constr cultura de paz '!T5&lt;&gt;0,'19 Constr cultura de paz '!T5,"-")</f>
        <v>-</v>
      </c>
      <c r="F179" s="83" t="str">
        <f>IF('19 Constr cultura de paz '!U5&lt;&gt;0,'19 Constr cultura de paz '!U5,"-")</f>
        <v>-</v>
      </c>
      <c r="G179" s="83" t="str">
        <f>IF('19 Constr cultura de paz '!V5&lt;&gt;0,'19 Constr cultura de paz '!V5,"-")</f>
        <v>-</v>
      </c>
      <c r="H179" s="83" t="str">
        <f>IF('19 Constr cultura de paz '!W5&lt;&gt;0,'19 Constr cultura de paz '!W5,"-")</f>
        <v xml:space="preserve">Anual </v>
      </c>
      <c r="I179" s="83" t="str">
        <f>IF('19 Constr cultura de paz '!X5&lt;&gt;0,'19 Constr cultura de paz '!X5,"-")</f>
        <v>-</v>
      </c>
      <c r="J179" s="33"/>
    </row>
    <row r="180" spans="1:10" ht="16.5" customHeight="1" thickBot="1">
      <c r="A180" s="83">
        <v>4</v>
      </c>
      <c r="B180" s="84" t="str">
        <f>IF('19 Constr cultura de paz '!I6&lt;&gt;0,'19 Constr cultura de paz '!I6,"-")</f>
        <v>-</v>
      </c>
      <c r="C180" s="83" t="str">
        <f>IF('19 Constr cultura de paz '!R6&lt;&gt;0,'19 Constr cultura de paz '!R6,"-")</f>
        <v>-</v>
      </c>
      <c r="D180" s="83" t="str">
        <f>IF('19 Constr cultura de paz '!S6&lt;&gt;0,'19 Constr cultura de paz '!S6,"-")</f>
        <v>-</v>
      </c>
      <c r="E180" s="83" t="str">
        <f>IF('19 Constr cultura de paz '!T6&lt;&gt;0,'19 Constr cultura de paz '!T6,"-")</f>
        <v>-</v>
      </c>
      <c r="F180" s="83" t="str">
        <f>IF('19 Constr cultura de paz '!U6&lt;&gt;0,'19 Constr cultura de paz '!U6,"-")</f>
        <v>-</v>
      </c>
      <c r="G180" s="83" t="str">
        <f>IF('19 Constr cultura de paz '!V6&lt;&gt;0,'19 Constr cultura de paz '!V6,"-")</f>
        <v>-</v>
      </c>
      <c r="H180" s="83" t="str">
        <f>IF('19 Constr cultura de paz '!W6&lt;&gt;0,'19 Constr cultura de paz '!W6,"-")</f>
        <v xml:space="preserve">Anual </v>
      </c>
      <c r="I180" s="83" t="str">
        <f>IF('19 Constr cultura de paz '!X6&lt;&gt;0,'19 Constr cultura de paz '!X6,"-")</f>
        <v>-</v>
      </c>
      <c r="J180" s="33"/>
    </row>
    <row r="181" spans="1:10" ht="16.5" customHeight="1" thickBot="1">
      <c r="A181" s="83">
        <v>5</v>
      </c>
      <c r="B181" s="84" t="str">
        <f>IF('Indicadores x proyec'!B98&lt;&gt;0,'Indicadores x proyec'!B98,"-")</f>
        <v>-</v>
      </c>
      <c r="C181" s="85" t="str">
        <f>IF('Indicadores x proyec'!D98/100&lt;&gt;0,'Indicadores x proyec'!D98/100,"-")</f>
        <v>-</v>
      </c>
      <c r="D181" s="85" t="str">
        <f>IF('Indicadores x proyec'!E98/100&lt;&gt;0,'Indicadores x proyec'!E98/100,"-")</f>
        <v>-</v>
      </c>
      <c r="E181" s="85" t="str">
        <f>IF('Indicadores x proyec'!F98/100&lt;&gt;0,'Indicadores x proyec'!F98/100,"-")</f>
        <v>-</v>
      </c>
      <c r="F181" s="85" t="str">
        <f>IF('Indicadores x proyec'!G98/100&lt;&gt;0,'Indicadores x proyec'!G98/100,"-")</f>
        <v>-</v>
      </c>
      <c r="G181" s="85" t="str">
        <f>IF('Indicadores x proyec'!H98/100&lt;&gt;0,'Indicadores x proyec'!H98/100,"-")</f>
        <v>-</v>
      </c>
      <c r="H181" s="83" t="str">
        <f>IF('Indicadores x proyec'!I98&lt;&gt;0,'Indicadores x proyec'!I98,"-")</f>
        <v xml:space="preserve">Anual </v>
      </c>
      <c r="I181" s="83" t="str">
        <f>IF('Indicadores x proyec'!J98&lt;&gt;0,'Indicadores x proyec'!J98,"-")</f>
        <v>-</v>
      </c>
      <c r="J181" s="33"/>
    </row>
    <row r="182" spans="1:10" ht="16.5" customHeight="1" thickBot="1">
      <c r="A182" s="83">
        <v>6</v>
      </c>
      <c r="B182" s="84" t="str">
        <f>IF('19 Constr cultura de paz '!I9&lt;&gt;0,'19 Constr cultura de paz '!I9,"-")</f>
        <v>-</v>
      </c>
      <c r="C182" s="83" t="str">
        <f>IF('19 Constr cultura de paz '!R9&lt;&gt;0,'19 Constr cultura de paz '!R9,"-")</f>
        <v>-</v>
      </c>
      <c r="D182" s="83" t="str">
        <f>IF('19 Constr cultura de paz '!S9&lt;&gt;0,'19 Constr cultura de paz '!S9,"-")</f>
        <v>-</v>
      </c>
      <c r="E182" s="83" t="str">
        <f>IF('19 Constr cultura de paz '!T9&lt;&gt;0,'19 Constr cultura de paz '!T9,"-")</f>
        <v>-</v>
      </c>
      <c r="F182" s="83" t="str">
        <f>IF('19 Constr cultura de paz '!U9&lt;&gt;0,'19 Constr cultura de paz '!U9,"-")</f>
        <v>-</v>
      </c>
      <c r="G182" s="83" t="str">
        <f>IF('19 Constr cultura de paz '!V9&lt;&gt;0,'19 Constr cultura de paz '!V9,"-")</f>
        <v>-</v>
      </c>
      <c r="H182" s="83" t="str">
        <f>IF('19 Constr cultura de paz '!W9&lt;&gt;0,'19 Constr cultura de paz '!W9,"-")</f>
        <v xml:space="preserve">Anual </v>
      </c>
      <c r="I182" s="83" t="str">
        <f>IF('19 Constr cultura de paz '!X9&lt;&gt;0,'19 Constr cultura de paz '!X9,"-")</f>
        <v>-</v>
      </c>
      <c r="J182" s="33"/>
    </row>
    <row r="183" spans="1:10" ht="16.5" customHeight="1" thickBot="1">
      <c r="A183" s="83">
        <v>7</v>
      </c>
      <c r="B183" s="84" t="str">
        <f>IF('19 Constr cultura de paz '!I10&lt;&gt;0,'19 Constr cultura de paz '!I10,"-")</f>
        <v>-</v>
      </c>
      <c r="C183" s="83" t="str">
        <f>IF('19 Constr cultura de paz '!R10&lt;&gt;0,'19 Constr cultura de paz '!R10,"-")</f>
        <v>-</v>
      </c>
      <c r="D183" s="83" t="str">
        <f>IF('19 Constr cultura de paz '!S10&lt;&gt;0,'19 Constr cultura de paz '!S10,"-")</f>
        <v>-</v>
      </c>
      <c r="E183" s="83" t="str">
        <f>IF('19 Constr cultura de paz '!T10&lt;&gt;0,'19 Constr cultura de paz '!T10,"-")</f>
        <v>-</v>
      </c>
      <c r="F183" s="83" t="str">
        <f>IF('19 Constr cultura de paz '!U10&lt;&gt;0,'19 Constr cultura de paz '!U10,"-")</f>
        <v>-</v>
      </c>
      <c r="G183" s="83" t="str">
        <f>IF('19 Constr cultura de paz '!V10&lt;&gt;0,'19 Constr cultura de paz '!V10,"-")</f>
        <v>-</v>
      </c>
      <c r="H183" s="83" t="str">
        <f>IF('19 Constr cultura de paz '!W10&lt;&gt;0,'19 Constr cultura de paz '!W10,"-")</f>
        <v xml:space="preserve">Anual </v>
      </c>
      <c r="I183" s="83" t="str">
        <f>IF('19 Constr cultura de paz '!X10&lt;&gt;0,'19 Constr cultura de paz '!X10,"-")</f>
        <v>-</v>
      </c>
      <c r="J183" s="33"/>
    </row>
    <row r="184" spans="1:10">
      <c r="A184" s="63"/>
      <c r="B184" s="82"/>
      <c r="C184" s="63"/>
      <c r="D184" s="63"/>
      <c r="E184" s="63"/>
      <c r="F184" s="63"/>
      <c r="G184" s="63"/>
      <c r="H184" s="63"/>
      <c r="I184" s="63"/>
      <c r="J184" s="63"/>
    </row>
    <row r="185" spans="1:10">
      <c r="A185" s="63"/>
      <c r="B185" s="82"/>
      <c r="C185" s="61"/>
      <c r="D185" s="61"/>
      <c r="E185" s="61"/>
      <c r="F185" s="61"/>
      <c r="G185" s="61"/>
      <c r="H185" s="61"/>
      <c r="I185" s="61"/>
      <c r="J185" s="61"/>
    </row>
    <row r="186" spans="1:10">
      <c r="A186" s="78"/>
      <c r="B186" s="72"/>
      <c r="C186" s="73"/>
      <c r="D186" s="73"/>
      <c r="E186" s="73"/>
      <c r="F186" s="73"/>
      <c r="G186" s="73"/>
      <c r="H186" s="73"/>
      <c r="I186" s="73"/>
      <c r="J186" s="73"/>
    </row>
    <row r="187" spans="1:10" ht="16.5" customHeight="1">
      <c r="A187" s="217" t="s">
        <v>631</v>
      </c>
      <c r="B187" s="218"/>
      <c r="C187" s="219"/>
      <c r="D187" s="219"/>
      <c r="E187" s="219"/>
      <c r="F187" s="219"/>
      <c r="G187" s="219"/>
      <c r="H187" s="219"/>
      <c r="I187" s="219"/>
      <c r="J187" s="219"/>
    </row>
    <row r="188" spans="1:10">
      <c r="A188" s="220" t="s">
        <v>610</v>
      </c>
      <c r="B188" s="215" t="s">
        <v>598</v>
      </c>
      <c r="C188" s="215" t="s">
        <v>16</v>
      </c>
      <c r="D188" s="215">
        <v>2027</v>
      </c>
      <c r="E188" s="215">
        <v>2028</v>
      </c>
      <c r="F188" s="215">
        <v>2029</v>
      </c>
      <c r="G188" s="54" t="str">
        <f>TEXT($J$1,"mmmm")</f>
        <v>agosto</v>
      </c>
      <c r="H188" s="215" t="s">
        <v>611</v>
      </c>
      <c r="I188" s="215" t="s">
        <v>15</v>
      </c>
      <c r="J188" s="33"/>
    </row>
    <row r="189" spans="1:10" ht="16.5" customHeight="1" thickBot="1">
      <c r="A189" s="216"/>
      <c r="B189" s="216"/>
      <c r="C189" s="216"/>
      <c r="D189" s="216"/>
      <c r="E189" s="216"/>
      <c r="F189" s="216"/>
      <c r="G189" s="55">
        <v>2030</v>
      </c>
      <c r="H189" s="216"/>
      <c r="I189" s="216"/>
      <c r="J189" s="33"/>
    </row>
    <row r="190" spans="1:10" ht="16.5" customHeight="1" thickBot="1">
      <c r="A190" s="58">
        <v>1</v>
      </c>
      <c r="B190" s="59" t="str">
        <f>IF('20 Retribución social '!I3&lt;&gt;0,'20 Retribución social '!I3,"-")</f>
        <v>-</v>
      </c>
      <c r="C190" s="58" t="str">
        <f>IF('20 Retribución social '!R3&lt;&gt;0,'20 Retribución social '!R3,"-")</f>
        <v>-</v>
      </c>
      <c r="D190" s="58" t="str">
        <f>IF('20 Retribución social '!S3&lt;&gt;0,'20 Retribución social '!S3,"-")</f>
        <v>-</v>
      </c>
      <c r="E190" s="58" t="str">
        <f>IF('20 Retribución social '!T3&lt;&gt;0,'20 Retribución social '!T3,"-")</f>
        <v>-</v>
      </c>
      <c r="F190" s="58" t="str">
        <f>IF('20 Retribución social '!U3&lt;&gt;0,'20 Retribución social '!U3,"-")</f>
        <v>-</v>
      </c>
      <c r="G190" s="58" t="str">
        <f>IF('20 Retribución social '!V3&lt;&gt;0,'20 Retribución social '!V3,"-")</f>
        <v>-</v>
      </c>
      <c r="H190" s="58" t="str">
        <f>IF('20 Retribución social '!W3&lt;&gt;0,'20 Retribución social '!W3,"-")</f>
        <v>Anual</v>
      </c>
      <c r="I190" s="58" t="str">
        <f>IF('20 Retribución social '!X3&lt;&gt;0,'20 Retribución social '!X3,"-")</f>
        <v>-</v>
      </c>
      <c r="J190" s="33"/>
    </row>
    <row r="191" spans="1:10" ht="16.5" customHeight="1" thickBot="1">
      <c r="A191" s="58">
        <v>2</v>
      </c>
      <c r="B191" s="59" t="str">
        <f>IF('20 Retribución social '!I4&lt;&gt;0,'20 Retribución social '!I4,"-")</f>
        <v>-</v>
      </c>
      <c r="C191" s="58" t="str">
        <f>IF('20 Retribución social '!R4&lt;&gt;0,'20 Retribución social '!R4,"-")</f>
        <v>-</v>
      </c>
      <c r="D191" s="58" t="str">
        <f>IF('20 Retribución social '!S4&lt;&gt;0,'20 Retribución social '!S4,"-")</f>
        <v>-</v>
      </c>
      <c r="E191" s="58" t="str">
        <f>IF('20 Retribución social '!T4&lt;&gt;0,'20 Retribución social '!T4,"-")</f>
        <v>-</v>
      </c>
      <c r="F191" s="58" t="str">
        <f>IF('20 Retribución social '!U4&lt;&gt;0,'20 Retribución social '!U4,"-")</f>
        <v>-</v>
      </c>
      <c r="G191" s="58" t="str">
        <f>IF('20 Retribución social '!V4&lt;&gt;0,'20 Retribución social '!V4,"-")</f>
        <v>-</v>
      </c>
      <c r="H191" s="58" t="str">
        <f>IF('20 Retribución social '!W4&lt;&gt;0,'20 Retribución social '!W4,"-")</f>
        <v>Anual</v>
      </c>
      <c r="I191" s="58" t="str">
        <f>IF('20 Retribución social '!X4&lt;&gt;0,'20 Retribución social '!X4,"-")</f>
        <v>-</v>
      </c>
      <c r="J191" s="33"/>
    </row>
    <row r="192" spans="1:10" ht="16.5" customHeight="1" thickBot="1">
      <c r="A192" s="58">
        <v>3</v>
      </c>
      <c r="B192" s="59" t="str">
        <f>IF('20 Retribución social '!I5&lt;&gt;0,'20 Retribución social '!I5,"-")</f>
        <v>-</v>
      </c>
      <c r="C192" s="58" t="str">
        <f>IF('20 Retribución social '!R5&lt;&gt;0,'20 Retribución social '!R5,"-")</f>
        <v>-</v>
      </c>
      <c r="D192" s="58" t="str">
        <f>IF('20 Retribución social '!S5&lt;&gt;0,'20 Retribución social '!S5,"-")</f>
        <v>-</v>
      </c>
      <c r="E192" s="58" t="str">
        <f>IF('20 Retribución social '!T5&lt;&gt;0,'20 Retribución social '!T5,"-")</f>
        <v>-</v>
      </c>
      <c r="F192" s="58" t="str">
        <f>IF('20 Retribución social '!U5&lt;&gt;0,'20 Retribución social '!U5,"-")</f>
        <v>-</v>
      </c>
      <c r="G192" s="58" t="str">
        <f>IF('20 Retribución social '!V5&lt;&gt;0,'20 Retribución social '!V5,"-")</f>
        <v>-</v>
      </c>
      <c r="H192" s="58" t="str">
        <f>IF('20 Retribución social '!W5&lt;&gt;0,'20 Retribución social '!W5,"-")</f>
        <v>Anual</v>
      </c>
      <c r="I192" s="58" t="str">
        <f>IF('20 Retribución social '!X5&lt;&gt;0,'20 Retribución social '!X5,"-")</f>
        <v>-</v>
      </c>
      <c r="J192" s="33"/>
    </row>
    <row r="193" spans="1:10" ht="16.5" customHeight="1" thickBot="1">
      <c r="A193" s="58">
        <v>4</v>
      </c>
      <c r="B193" s="59" t="str">
        <f>IF('20 Retribución social '!I6&lt;&gt;0,'20 Retribución social '!I6,"-")</f>
        <v>-</v>
      </c>
      <c r="C193" s="58" t="str">
        <f>IF('20 Retribución social '!R6&lt;&gt;0,'20 Retribución social '!R6,"-")</f>
        <v>-</v>
      </c>
      <c r="D193" s="58" t="str">
        <f>IF('20 Retribución social '!S6&lt;&gt;0,'20 Retribución social '!S6,"-")</f>
        <v>-</v>
      </c>
      <c r="E193" s="58" t="str">
        <f>IF('20 Retribución social '!T6&lt;&gt;0,'20 Retribución social '!T6,"-")</f>
        <v>-</v>
      </c>
      <c r="F193" s="58" t="str">
        <f>IF('20 Retribución social '!U6&lt;&gt;0,'20 Retribución social '!U6,"-")</f>
        <v>-</v>
      </c>
      <c r="G193" s="58" t="str">
        <f>IF('20 Retribución social '!V6&lt;&gt;0,'20 Retribución social '!V6,"-")</f>
        <v>-</v>
      </c>
      <c r="H193" s="58" t="str">
        <f>IF('20 Retribución social '!W6&lt;&gt;0,'20 Retribución social '!W6,"-")</f>
        <v>Anual</v>
      </c>
      <c r="I193" s="58" t="str">
        <f>IF('20 Retribución social '!X6&lt;&gt;0,'20 Retribución social '!X6,"-")</f>
        <v>-</v>
      </c>
      <c r="J193" s="33"/>
    </row>
    <row r="194" spans="1:10" ht="16.5" customHeight="1" thickBot="1">
      <c r="A194" s="58">
        <v>5</v>
      </c>
      <c r="B194" s="59" t="str">
        <f>IF('20 Retribución social '!I7&lt;&gt;0,'20 Retribución social '!I7,"-")</f>
        <v>-</v>
      </c>
      <c r="C194" s="58" t="str">
        <f>IF('20 Retribución social '!R7&lt;&gt;0,'20 Retribución social '!R7,"-")</f>
        <v>-</v>
      </c>
      <c r="D194" s="58" t="str">
        <f>IF('20 Retribución social '!S7&lt;&gt;0,'20 Retribución social '!S7,"-")</f>
        <v>-</v>
      </c>
      <c r="E194" s="58" t="str">
        <f>IF('20 Retribución social '!T7&lt;&gt;0,'20 Retribución social '!T7,"-")</f>
        <v>-</v>
      </c>
      <c r="F194" s="58" t="str">
        <f>IF('20 Retribución social '!U7&lt;&gt;0,'20 Retribución social '!U7,"-")</f>
        <v>-</v>
      </c>
      <c r="G194" s="58" t="str">
        <f>IF('20 Retribución social '!V7&lt;&gt;0,'20 Retribución social '!V7,"-")</f>
        <v>-</v>
      </c>
      <c r="H194" s="58" t="str">
        <f>IF('20 Retribución social '!W7&lt;&gt;0,'20 Retribución social '!W7,"-")</f>
        <v>Anual</v>
      </c>
      <c r="I194" s="58" t="str">
        <f>IF('20 Retribución social '!X7&lt;&gt;0,'20 Retribución social '!X7,"-")</f>
        <v>-</v>
      </c>
      <c r="J194" s="33"/>
    </row>
    <row r="195" spans="1:10" ht="16.5" customHeight="1" thickBot="1">
      <c r="A195" s="58">
        <v>6</v>
      </c>
      <c r="B195" s="59" t="str">
        <f>IF('20 Retribución social '!I8&lt;&gt;0,'20 Retribución social '!I8,"-")</f>
        <v>-</v>
      </c>
      <c r="C195" s="58" t="str">
        <f>IF('20 Retribución social '!R8&lt;&gt;0,'20 Retribución social '!R8,"-")</f>
        <v>-</v>
      </c>
      <c r="D195" s="58" t="str">
        <f>IF('20 Retribución social '!S8&lt;&gt;0,'20 Retribución social '!S8,"-")</f>
        <v>-</v>
      </c>
      <c r="E195" s="58" t="str">
        <f>IF('20 Retribución social '!T8&lt;&gt;0,'20 Retribución social '!T8,"-")</f>
        <v>-</v>
      </c>
      <c r="F195" s="58" t="str">
        <f>IF('20 Retribución social '!U8&lt;&gt;0,'20 Retribución social '!U8,"-")</f>
        <v>-</v>
      </c>
      <c r="G195" s="58" t="str">
        <f>IF('20 Retribución social '!V8&lt;&gt;0,'20 Retribución social '!V8,"-")</f>
        <v>-</v>
      </c>
      <c r="H195" s="58" t="str">
        <f>IF('20 Retribución social '!W8&lt;&gt;0,'20 Retribución social '!W8,"-")</f>
        <v>Anual</v>
      </c>
      <c r="I195" s="58" t="str">
        <f>IF('20 Retribución social '!X8&lt;&gt;0,'20 Retribución social '!X8,"-")</f>
        <v>-</v>
      </c>
      <c r="J195" s="33"/>
    </row>
    <row r="196" spans="1:10" ht="16.5" customHeight="1" thickBot="1">
      <c r="A196" s="58">
        <v>7</v>
      </c>
      <c r="B196" s="59" t="str">
        <f>IF('Indicadores x proyec'!B104&lt;&gt;0,'Indicadores x proyec'!B104,"-")</f>
        <v>-</v>
      </c>
      <c r="C196" s="60" t="str">
        <f>IF('Indicadores x proyec'!D104/100&lt;&gt;0,'Indicadores x proyec'!D104/100,"-")</f>
        <v>-</v>
      </c>
      <c r="D196" s="60" t="str">
        <f>IF('Indicadores x proyec'!E104/100&lt;&gt;0,'Indicadores x proyec'!E104/100,"-")</f>
        <v>-</v>
      </c>
      <c r="E196" s="60" t="str">
        <f>IF('Indicadores x proyec'!F104/100&lt;&gt;0,'Indicadores x proyec'!F104/100,"-")</f>
        <v>-</v>
      </c>
      <c r="F196" s="60" t="str">
        <f>IF('Indicadores x proyec'!G104/100&lt;&gt;0,'Indicadores x proyec'!G104/100,"-")</f>
        <v>-</v>
      </c>
      <c r="G196" s="60" t="str">
        <f>IF('Indicadores x proyec'!H104/100&lt;&gt;0,'Indicadores x proyec'!H104/100,"-")</f>
        <v>-</v>
      </c>
      <c r="H196" s="58" t="str">
        <f>IF('Indicadores x proyec'!I104&lt;&gt;0,'Indicadores x proyec'!I104,"-")</f>
        <v>Anual</v>
      </c>
      <c r="I196" s="58" t="str">
        <f>IF('Indicadores x proyec'!J104&lt;&gt;0,'Indicadores x proyec'!J104,"-")</f>
        <v>-</v>
      </c>
      <c r="J196" s="33"/>
    </row>
    <row r="197" spans="1:10" ht="16.5" customHeight="1" thickBot="1">
      <c r="A197" s="58">
        <v>8</v>
      </c>
      <c r="B197" s="59" t="str">
        <f>IF('20 Retribución social '!I11&lt;&gt;0,'20 Retribución social '!I11,"-")</f>
        <v>-</v>
      </c>
      <c r="C197" s="58" t="str">
        <f>IF('20 Retribución social '!R11&lt;&gt;0,'20 Retribución social '!R11,"-")</f>
        <v>-</v>
      </c>
      <c r="D197" s="58" t="str">
        <f>IF('20 Retribución social '!S11&lt;&gt;0,'20 Retribución social '!S11,"-")</f>
        <v>-</v>
      </c>
      <c r="E197" s="58" t="str">
        <f>IF('20 Retribución social '!T11&lt;&gt;0,'20 Retribución social '!T11,"-")</f>
        <v>-</v>
      </c>
      <c r="F197" s="58" t="str">
        <f>IF('20 Retribución social '!U11&lt;&gt;0,'20 Retribución social '!U11,"-")</f>
        <v>-</v>
      </c>
      <c r="G197" s="58" t="str">
        <f>IF('20 Retribución social '!V11&lt;&gt;0,'20 Retribución social '!V11,"-")</f>
        <v>-</v>
      </c>
      <c r="H197" s="58" t="str">
        <f>IF('20 Retribución social '!W11&lt;&gt;0,'20 Retribución social '!W11,"-")</f>
        <v>Anual</v>
      </c>
      <c r="I197" s="58" t="str">
        <f>IF('20 Retribución social '!X11&lt;&gt;0,'20 Retribución social '!X11,"-")</f>
        <v>-</v>
      </c>
      <c r="J197" s="33"/>
    </row>
    <row r="198" spans="1:10" ht="16.5" customHeight="1" thickBot="1">
      <c r="A198" s="58">
        <v>9</v>
      </c>
      <c r="B198" s="59" t="str">
        <f>IF('20 Retribución social '!I12&lt;&gt;0,'20 Retribución social '!I12,"-")</f>
        <v>-</v>
      </c>
      <c r="C198" s="58" t="str">
        <f>IF('20 Retribución social '!R12&lt;&gt;0,'20 Retribución social '!R12,"-")</f>
        <v>-</v>
      </c>
      <c r="D198" s="58" t="str">
        <f>IF('20 Retribución social '!S12&lt;&gt;0,'20 Retribución social '!S12,"-")</f>
        <v>-</v>
      </c>
      <c r="E198" s="58" t="str">
        <f>IF('20 Retribución social '!T12&lt;&gt;0,'20 Retribución social '!T12,"-")</f>
        <v>-</v>
      </c>
      <c r="F198" s="58" t="str">
        <f>IF('20 Retribución social '!U12&lt;&gt;0,'20 Retribución social '!U12,"-")</f>
        <v>-</v>
      </c>
      <c r="G198" s="58" t="str">
        <f>IF('20 Retribución social '!V12&lt;&gt;0,'20 Retribución social '!V12,"-")</f>
        <v>-</v>
      </c>
      <c r="H198" s="58" t="str">
        <f>IF('20 Retribución social '!W12&lt;&gt;0,'20 Retribución social '!W12,"-")</f>
        <v>Anual</v>
      </c>
      <c r="I198" s="58" t="str">
        <f>IF('20 Retribución social '!X12&lt;&gt;0,'20 Retribución social '!X12,"-")</f>
        <v>-</v>
      </c>
      <c r="J198" s="33"/>
    </row>
    <row r="199" spans="1:10" ht="16.5" customHeight="1" thickBot="1">
      <c r="A199" s="58">
        <v>10</v>
      </c>
      <c r="B199" s="59" t="str">
        <f>IF('20 Retribución social '!I13&lt;&gt;0,'20 Retribución social '!I13,"-")</f>
        <v>-</v>
      </c>
      <c r="C199" s="58" t="str">
        <f>IF('20 Retribución social '!R13&lt;&gt;0,'20 Retribución social '!R13,"-")</f>
        <v>-</v>
      </c>
      <c r="D199" s="58" t="str">
        <f>IF('20 Retribución social '!S13&lt;&gt;0,'20 Retribución social '!S13,"-")</f>
        <v>-</v>
      </c>
      <c r="E199" s="58" t="str">
        <f>IF('20 Retribución social '!T13&lt;&gt;0,'20 Retribución social '!T13,"-")</f>
        <v>-</v>
      </c>
      <c r="F199" s="58" t="str">
        <f>IF('20 Retribución social '!U13&lt;&gt;0,'20 Retribución social '!U13,"-")</f>
        <v>-</v>
      </c>
      <c r="G199" s="58" t="str">
        <f>IF('20 Retribución social '!V13&lt;&gt;0,'20 Retribución social '!V13,"-")</f>
        <v>-</v>
      </c>
      <c r="H199" s="58" t="str">
        <f>IF('20 Retribución social '!W13&lt;&gt;0,'20 Retribución social '!W13,"-")</f>
        <v>Anual</v>
      </c>
      <c r="I199" s="58" t="str">
        <f>IF('20 Retribución social '!X13&lt;&gt;0,'20 Retribución social '!X13,"-")</f>
        <v>-</v>
      </c>
      <c r="J199" s="33"/>
    </row>
    <row r="200" spans="1:10">
      <c r="A200" s="63"/>
      <c r="B200" s="82"/>
      <c r="C200" s="63"/>
      <c r="D200" s="63"/>
      <c r="E200" s="63"/>
      <c r="F200" s="63"/>
      <c r="G200" s="63"/>
      <c r="H200" s="63"/>
      <c r="I200" s="63"/>
      <c r="J200" s="63"/>
    </row>
    <row r="201" spans="1:10">
      <c r="A201" s="81"/>
      <c r="B201" s="72"/>
      <c r="C201" s="73"/>
      <c r="D201" s="73"/>
      <c r="E201" s="73"/>
      <c r="F201" s="73"/>
      <c r="G201" s="73"/>
      <c r="H201" s="73"/>
      <c r="I201" s="73"/>
      <c r="J201" s="73"/>
    </row>
    <row r="202" spans="1:10">
      <c r="A202" s="81"/>
      <c r="B202" s="72"/>
      <c r="C202" s="73"/>
      <c r="D202" s="73"/>
      <c r="E202" s="73"/>
      <c r="F202" s="73"/>
      <c r="G202" s="73"/>
      <c r="H202" s="73"/>
      <c r="I202" s="73"/>
      <c r="J202" s="73"/>
    </row>
    <row r="203" spans="1:10" ht="16.5" customHeight="1">
      <c r="A203" s="217" t="s">
        <v>632</v>
      </c>
      <c r="B203" s="218"/>
      <c r="C203" s="219"/>
      <c r="D203" s="219"/>
      <c r="E203" s="219"/>
      <c r="F203" s="219"/>
      <c r="G203" s="219"/>
      <c r="H203" s="219"/>
      <c r="I203" s="219"/>
      <c r="J203" s="219"/>
    </row>
    <row r="204" spans="1:10">
      <c r="A204" s="220" t="s">
        <v>610</v>
      </c>
      <c r="B204" s="215" t="s">
        <v>598</v>
      </c>
      <c r="C204" s="215" t="s">
        <v>16</v>
      </c>
      <c r="D204" s="215">
        <v>2027</v>
      </c>
      <c r="E204" s="215">
        <v>2028</v>
      </c>
      <c r="F204" s="215">
        <v>2029</v>
      </c>
      <c r="G204" s="54" t="str">
        <f>TEXT($J$1,"mmmm")</f>
        <v>agosto</v>
      </c>
      <c r="H204" s="215" t="s">
        <v>611</v>
      </c>
      <c r="I204" s="215" t="s">
        <v>15</v>
      </c>
      <c r="J204" s="33"/>
    </row>
    <row r="205" spans="1:10" ht="16.5" customHeight="1" thickBot="1">
      <c r="A205" s="216"/>
      <c r="B205" s="216"/>
      <c r="C205" s="216"/>
      <c r="D205" s="216"/>
      <c r="E205" s="216"/>
      <c r="F205" s="216"/>
      <c r="G205" s="55">
        <v>2030</v>
      </c>
      <c r="H205" s="216"/>
      <c r="I205" s="216"/>
      <c r="J205" s="33"/>
    </row>
    <row r="206" spans="1:10" ht="16.5" customHeight="1" thickBot="1">
      <c r="A206" s="83">
        <v>1</v>
      </c>
      <c r="B206" s="86" t="str">
        <f>IF('21 Comunicación universitaria'!I3&lt;&gt;0,'21 Comunicación universitaria'!I3,"-")</f>
        <v>-</v>
      </c>
      <c r="C206" s="87" t="str">
        <f>IF('21 Comunicación universitaria'!R3&lt;&gt;0,'21 Comunicación universitaria'!R3,"-")</f>
        <v>-</v>
      </c>
      <c r="D206" s="87" t="str">
        <f>IF('21 Comunicación universitaria'!S3&lt;&gt;0,'21 Comunicación universitaria'!S3,"-")</f>
        <v>-</v>
      </c>
      <c r="E206" s="87" t="str">
        <f>IF('21 Comunicación universitaria'!T3&lt;&gt;0,'21 Comunicación universitaria'!T3,"-")</f>
        <v>-</v>
      </c>
      <c r="F206" s="87" t="str">
        <f>IF('21 Comunicación universitaria'!U3&lt;&gt;0,'21 Comunicación universitaria'!U3,"-")</f>
        <v>-</v>
      </c>
      <c r="G206" s="87" t="str">
        <f>IF('21 Comunicación universitaria'!V3&lt;&gt;0,'21 Comunicación universitaria'!V3,"-")</f>
        <v>-</v>
      </c>
      <c r="H206" s="87" t="str">
        <f>IF('21 Comunicación universitaria'!W3&lt;&gt;0,'21 Comunicación universitaria'!W3,"-")</f>
        <v xml:space="preserve">Anual </v>
      </c>
      <c r="I206" s="87" t="str">
        <f>IF('21 Comunicación universitaria'!X3&lt;&gt;0,'21 Comunicación universitaria'!X3,"-")</f>
        <v>-</v>
      </c>
      <c r="J206" s="33"/>
    </row>
    <row r="207" spans="1:10">
      <c r="A207" s="63"/>
      <c r="B207" s="71"/>
      <c r="C207" s="61"/>
      <c r="D207" s="61"/>
      <c r="E207" s="61"/>
      <c r="F207" s="61"/>
      <c r="G207" s="61"/>
      <c r="H207" s="61"/>
      <c r="I207" s="61"/>
      <c r="J207" s="61"/>
    </row>
    <row r="208" spans="1:10">
      <c r="A208" s="81"/>
      <c r="B208" s="72"/>
      <c r="C208" s="73"/>
      <c r="D208" s="73"/>
      <c r="E208" s="73"/>
      <c r="F208" s="73"/>
      <c r="G208" s="73"/>
      <c r="H208" s="73"/>
      <c r="I208" s="73"/>
      <c r="J208" s="73"/>
    </row>
    <row r="209" spans="1:13">
      <c r="A209" s="80"/>
      <c r="B209" s="68"/>
      <c r="C209" s="69"/>
      <c r="D209" s="69"/>
      <c r="E209" s="69"/>
      <c r="F209" s="69"/>
      <c r="G209" s="69"/>
      <c r="H209" s="69"/>
      <c r="I209" s="69"/>
      <c r="J209" s="69"/>
    </row>
    <row r="210" spans="1:13" ht="16.5" customHeight="1">
      <c r="A210" s="217" t="s">
        <v>633</v>
      </c>
      <c r="B210" s="218"/>
      <c r="C210" s="219"/>
      <c r="D210" s="219"/>
      <c r="E210" s="219"/>
      <c r="F210" s="219"/>
      <c r="G210" s="219"/>
      <c r="H210" s="219"/>
      <c r="I210" s="219"/>
      <c r="J210" s="219"/>
    </row>
    <row r="211" spans="1:13">
      <c r="A211" s="220" t="s">
        <v>610</v>
      </c>
      <c r="B211" s="215" t="s">
        <v>598</v>
      </c>
      <c r="C211" s="215" t="s">
        <v>16</v>
      </c>
      <c r="D211" s="215">
        <v>2027</v>
      </c>
      <c r="E211" s="215">
        <v>2028</v>
      </c>
      <c r="F211" s="215">
        <v>2029</v>
      </c>
      <c r="G211" s="54" t="str">
        <f>TEXT($J$1,"mmmm")</f>
        <v>agosto</v>
      </c>
      <c r="H211" s="215" t="s">
        <v>611</v>
      </c>
      <c r="I211" s="215" t="s">
        <v>15</v>
      </c>
      <c r="J211" s="33"/>
    </row>
    <row r="212" spans="1:13" ht="16.5" customHeight="1" thickBot="1">
      <c r="A212" s="216"/>
      <c r="B212" s="216"/>
      <c r="C212" s="216"/>
      <c r="D212" s="216"/>
      <c r="E212" s="216"/>
      <c r="F212" s="216"/>
      <c r="G212" s="55">
        <v>2030</v>
      </c>
      <c r="H212" s="216"/>
      <c r="I212" s="216"/>
      <c r="J212" s="33"/>
    </row>
    <row r="213" spans="1:13" ht="16.5" customHeight="1" thickBot="1">
      <c r="A213" s="58">
        <v>1</v>
      </c>
      <c r="B213" s="70" t="str">
        <f>IF('22 Sostenibilidad ambiental '!I3&lt;&gt;0,'22 Sostenibilidad ambiental '!I3,"-")</f>
        <v>-</v>
      </c>
      <c r="C213" s="58" t="str">
        <f>IF('22 Sostenibilidad ambiental '!R3&lt;&gt;0,'22 Sostenibilidad ambiental '!R3,"-")</f>
        <v>-</v>
      </c>
      <c r="D213" s="58" t="str">
        <f>IF('22 Sostenibilidad ambiental '!S3&lt;&gt;0,'22 Sostenibilidad ambiental '!S3,"-")</f>
        <v>-</v>
      </c>
      <c r="E213" s="58" t="str">
        <f>IF('22 Sostenibilidad ambiental '!T3&lt;&gt;0,'22 Sostenibilidad ambiental '!T3,"-")</f>
        <v>-</v>
      </c>
      <c r="F213" s="58" t="str">
        <f>IF('22 Sostenibilidad ambiental '!U3&lt;&gt;0,'22 Sostenibilidad ambiental '!U3,"-")</f>
        <v>-</v>
      </c>
      <c r="G213" s="58" t="str">
        <f>IF('22 Sostenibilidad ambiental '!V3&lt;&gt;0,'22 Sostenibilidad ambiental '!V3,"-")</f>
        <v>-</v>
      </c>
      <c r="H213" s="58" t="str">
        <f>IF('22 Sostenibilidad ambiental '!W3&lt;&gt;0,'22 Sostenibilidad ambiental '!W3,"-")</f>
        <v>Anual</v>
      </c>
      <c r="I213" s="58" t="str">
        <f>IF('22 Sostenibilidad ambiental '!X3&lt;&gt;0,'22 Sostenibilidad ambiental '!X3,"-")</f>
        <v>-</v>
      </c>
      <c r="J213" s="33"/>
    </row>
    <row r="214" spans="1:13" ht="16.5" customHeight="1" thickBot="1">
      <c r="A214" s="58">
        <v>2</v>
      </c>
      <c r="B214" s="70" t="str">
        <f>IF('22 Sostenibilidad ambiental '!I4&lt;&gt;0,'22 Sostenibilidad ambiental '!I4,"-")</f>
        <v>-</v>
      </c>
      <c r="C214" s="58" t="str">
        <f>IF('22 Sostenibilidad ambiental '!R4&lt;&gt;0,'22 Sostenibilidad ambiental '!R4,"-")</f>
        <v>-</v>
      </c>
      <c r="D214" s="58" t="str">
        <f>IF('22 Sostenibilidad ambiental '!S4&lt;&gt;0,'22 Sostenibilidad ambiental '!S4,"-")</f>
        <v>-</v>
      </c>
      <c r="E214" s="58" t="str">
        <f>IF('22 Sostenibilidad ambiental '!T4&lt;&gt;0,'22 Sostenibilidad ambiental '!T4,"-")</f>
        <v>-</v>
      </c>
      <c r="F214" s="58" t="str">
        <f>IF('22 Sostenibilidad ambiental '!U4&lt;&gt;0,'22 Sostenibilidad ambiental '!U4,"-")</f>
        <v>-</v>
      </c>
      <c r="G214" s="58" t="str">
        <f>IF('22 Sostenibilidad ambiental '!V4&lt;&gt;0,'22 Sostenibilidad ambiental '!V4,"-")</f>
        <v>-</v>
      </c>
      <c r="H214" s="58" t="str">
        <f>IF('22 Sostenibilidad ambiental '!W4&lt;&gt;0,'22 Sostenibilidad ambiental '!W4,"-")</f>
        <v>Anual</v>
      </c>
      <c r="I214" s="58" t="str">
        <f>IF('22 Sostenibilidad ambiental '!X4&lt;&gt;0,'22 Sostenibilidad ambiental '!X4,"-")</f>
        <v>-</v>
      </c>
      <c r="J214" s="33"/>
    </row>
    <row r="215" spans="1:13" ht="27.75" customHeight="1" thickBot="1">
      <c r="A215" s="58">
        <v>3</v>
      </c>
      <c r="B215" s="70" t="str">
        <f>IF('22 Sostenibilidad ambiental '!I5&lt;&gt;0,'22 Sostenibilidad ambiental '!I5,"-")</f>
        <v>-</v>
      </c>
      <c r="C215" s="58" t="str">
        <f>IF('22 Sostenibilidad ambiental '!R5&lt;&gt;0,'22 Sostenibilidad ambiental '!R5,"-")</f>
        <v>-</v>
      </c>
      <c r="D215" s="58" t="str">
        <f>IF('22 Sostenibilidad ambiental '!S5&lt;&gt;0,'22 Sostenibilidad ambiental '!S5,"-")</f>
        <v>-</v>
      </c>
      <c r="E215" s="58" t="str">
        <f>IF('22 Sostenibilidad ambiental '!T5&lt;&gt;0,'22 Sostenibilidad ambiental '!T5,"-")</f>
        <v>-</v>
      </c>
      <c r="F215" s="58" t="str">
        <f>IF('22 Sostenibilidad ambiental '!U5&lt;&gt;0,'22 Sostenibilidad ambiental '!U5,"-")</f>
        <v>-</v>
      </c>
      <c r="G215" s="58" t="str">
        <f>IF('22 Sostenibilidad ambiental '!V5&lt;&gt;0,'22 Sostenibilidad ambiental '!V5,"-")</f>
        <v>-</v>
      </c>
      <c r="H215" s="58" t="str">
        <f>IF('22 Sostenibilidad ambiental '!W5&lt;&gt;0,'22 Sostenibilidad ambiental '!W5,"-")</f>
        <v>Anual</v>
      </c>
      <c r="I215" s="58" t="str">
        <f>IF('22 Sostenibilidad ambiental '!X5&lt;&gt;0,'22 Sostenibilidad ambiental '!X5,"-")</f>
        <v>-</v>
      </c>
      <c r="J215" s="33"/>
      <c r="K215" s="41"/>
      <c r="L215" s="41"/>
      <c r="M215" s="41"/>
    </row>
    <row r="216" spans="1:13" ht="16.5" customHeight="1" thickBot="1">
      <c r="A216" s="58">
        <v>4</v>
      </c>
      <c r="B216" s="70" t="str">
        <f>IF('22 Sostenibilidad ambiental '!I6&lt;&gt;0,'22 Sostenibilidad ambiental '!I6,"-")</f>
        <v>-</v>
      </c>
      <c r="C216" s="58" t="str">
        <f>IF('22 Sostenibilidad ambiental '!R6&lt;&gt;0,'22 Sostenibilidad ambiental '!R6,"-")</f>
        <v>-</v>
      </c>
      <c r="D216" s="58" t="str">
        <f>IF('22 Sostenibilidad ambiental '!S6&lt;&gt;0,'22 Sostenibilidad ambiental '!S6,"-")</f>
        <v>-</v>
      </c>
      <c r="E216" s="58" t="str">
        <f>IF('22 Sostenibilidad ambiental '!T6&lt;&gt;0,'22 Sostenibilidad ambiental '!T6,"-")</f>
        <v>-</v>
      </c>
      <c r="F216" s="58" t="str">
        <f>IF('22 Sostenibilidad ambiental '!U6&lt;&gt;0,'22 Sostenibilidad ambiental '!U6,"-")</f>
        <v>-</v>
      </c>
      <c r="G216" s="58" t="str">
        <f>IF('22 Sostenibilidad ambiental '!V6&lt;&gt;0,'22 Sostenibilidad ambiental '!V6,"-")</f>
        <v>-</v>
      </c>
      <c r="H216" s="58" t="str">
        <f>IF('22 Sostenibilidad ambiental '!W6&lt;&gt;0,'22 Sostenibilidad ambiental '!W6,"-")</f>
        <v>Anual</v>
      </c>
      <c r="I216" s="58" t="str">
        <f>IF('22 Sostenibilidad ambiental '!X6&lt;&gt;0,'22 Sostenibilidad ambiental '!X6,"-")</f>
        <v>-</v>
      </c>
      <c r="J216" s="33"/>
    </row>
    <row r="217" spans="1:13" ht="16.5" customHeight="1" thickBot="1">
      <c r="A217" s="58">
        <v>5</v>
      </c>
      <c r="B217" s="70" t="str">
        <f>IF('22 Sostenibilidad ambiental '!I7&lt;&gt;0,'22 Sostenibilidad ambiental '!I7,"-")</f>
        <v>-</v>
      </c>
      <c r="C217" s="58" t="str">
        <f>IF('22 Sostenibilidad ambiental '!R7&lt;&gt;0,'22 Sostenibilidad ambiental '!R7,"-")</f>
        <v>-</v>
      </c>
      <c r="D217" s="58" t="str">
        <f>IF('22 Sostenibilidad ambiental '!S7&lt;&gt;0,'22 Sostenibilidad ambiental '!S7,"-")</f>
        <v>-</v>
      </c>
      <c r="E217" s="58" t="str">
        <f>IF('22 Sostenibilidad ambiental '!T7&lt;&gt;0,'22 Sostenibilidad ambiental '!T7,"-")</f>
        <v>-</v>
      </c>
      <c r="F217" s="58" t="str">
        <f>IF('22 Sostenibilidad ambiental '!U7&lt;&gt;0,'22 Sostenibilidad ambiental '!U7,"-")</f>
        <v>-</v>
      </c>
      <c r="G217" s="58" t="str">
        <f>IF('22 Sostenibilidad ambiental '!V7&lt;&gt;0,'22 Sostenibilidad ambiental '!V7,"-")</f>
        <v>-</v>
      </c>
      <c r="H217" s="58" t="str">
        <f>IF('22 Sostenibilidad ambiental '!W7&lt;&gt;0,'22 Sostenibilidad ambiental '!W7,"-")</f>
        <v>Anual</v>
      </c>
      <c r="I217" s="58" t="str">
        <f>IF('22 Sostenibilidad ambiental '!X7&lt;&gt;0,'22 Sostenibilidad ambiental '!X7,"-")</f>
        <v>-</v>
      </c>
      <c r="J217" s="33"/>
    </row>
    <row r="218" spans="1:13" ht="16.5" customHeight="1" thickBot="1">
      <c r="A218" s="58">
        <v>6</v>
      </c>
      <c r="B218" s="70" t="str">
        <f>IF('22 Sostenibilidad ambiental '!I8&lt;&gt;0,'22 Sostenibilidad ambiental '!I8,"-")</f>
        <v>-</v>
      </c>
      <c r="C218" s="58" t="str">
        <f>IF('22 Sostenibilidad ambiental '!R8&lt;&gt;0,'22 Sostenibilidad ambiental '!R8,"-")</f>
        <v>-</v>
      </c>
      <c r="D218" s="58" t="str">
        <f>IF('22 Sostenibilidad ambiental '!S8&lt;&gt;0,'22 Sostenibilidad ambiental '!S8,"-")</f>
        <v>-</v>
      </c>
      <c r="E218" s="58" t="str">
        <f>IF('22 Sostenibilidad ambiental '!T8&lt;&gt;0,'22 Sostenibilidad ambiental '!T8,"-")</f>
        <v>-</v>
      </c>
      <c r="F218" s="58" t="str">
        <f>IF('22 Sostenibilidad ambiental '!U8&lt;&gt;0,'22 Sostenibilidad ambiental '!U8,"-")</f>
        <v>-</v>
      </c>
      <c r="G218" s="58" t="str">
        <f>IF('22 Sostenibilidad ambiental '!V8&lt;&gt;0,'22 Sostenibilidad ambiental '!V8,"-")</f>
        <v>-</v>
      </c>
      <c r="H218" s="58" t="str">
        <f>IF('22 Sostenibilidad ambiental '!W8&lt;&gt;0,'22 Sostenibilidad ambiental '!W8,"-")</f>
        <v>Anual</v>
      </c>
      <c r="I218" s="58" t="str">
        <f>IF('22 Sostenibilidad ambiental '!X8&lt;&gt;0,'22 Sostenibilidad ambiental '!X8,"-")</f>
        <v>-</v>
      </c>
      <c r="J218" s="33"/>
    </row>
    <row r="219" spans="1:13" ht="16.5" customHeight="1" thickBot="1">
      <c r="A219" s="58">
        <v>7</v>
      </c>
      <c r="B219" s="70" t="str">
        <f>IF('22 Sostenibilidad ambiental '!I9&lt;&gt;0,'22 Sostenibilidad ambiental '!I9,"-")</f>
        <v>-</v>
      </c>
      <c r="C219" s="58" t="str">
        <f>IF('22 Sostenibilidad ambiental '!R9&lt;&gt;0,'22 Sostenibilidad ambiental '!R9,"-")</f>
        <v>-</v>
      </c>
      <c r="D219" s="58" t="str">
        <f>IF('22 Sostenibilidad ambiental '!S9&lt;&gt;0,'22 Sostenibilidad ambiental '!S9,"-")</f>
        <v>-</v>
      </c>
      <c r="E219" s="58" t="str">
        <f>IF('22 Sostenibilidad ambiental '!T9&lt;&gt;0,'22 Sostenibilidad ambiental '!T9,"-")</f>
        <v>-</v>
      </c>
      <c r="F219" s="58" t="str">
        <f>IF('22 Sostenibilidad ambiental '!U9&lt;&gt;0,'22 Sostenibilidad ambiental '!U9,"-")</f>
        <v>-</v>
      </c>
      <c r="G219" s="58" t="str">
        <f>IF('22 Sostenibilidad ambiental '!V9&lt;&gt;0,'22 Sostenibilidad ambiental '!V9,"-")</f>
        <v>-</v>
      </c>
      <c r="H219" s="58" t="str">
        <f>IF('22 Sostenibilidad ambiental '!W9&lt;&gt;0,'22 Sostenibilidad ambiental '!W9,"-")</f>
        <v>Anual</v>
      </c>
      <c r="I219" s="58" t="str">
        <f>IF('22 Sostenibilidad ambiental '!X9&lt;&gt;0,'22 Sostenibilidad ambiental '!X9,"-")</f>
        <v>-</v>
      </c>
      <c r="J219" s="33"/>
    </row>
    <row r="220" spans="1:13" ht="16.5" customHeight="1" thickBot="1">
      <c r="A220" s="58">
        <v>8</v>
      </c>
      <c r="B220" s="70" t="str">
        <f>IF('22 Sostenibilidad ambiental '!I10&lt;&gt;0,'22 Sostenibilidad ambiental '!I10,"-")</f>
        <v>-</v>
      </c>
      <c r="C220" s="58" t="str">
        <f>IF('22 Sostenibilidad ambiental '!R10&lt;&gt;0,'22 Sostenibilidad ambiental '!R10,"-")</f>
        <v>-</v>
      </c>
      <c r="D220" s="58" t="str">
        <f>IF('22 Sostenibilidad ambiental '!S10&lt;&gt;0,'22 Sostenibilidad ambiental '!S10,"-")</f>
        <v>-</v>
      </c>
      <c r="E220" s="58" t="str">
        <f>IF('22 Sostenibilidad ambiental '!T10&lt;&gt;0,'22 Sostenibilidad ambiental '!T10,"-")</f>
        <v>-</v>
      </c>
      <c r="F220" s="58" t="str">
        <f>IF('22 Sostenibilidad ambiental '!U10&lt;&gt;0,'22 Sostenibilidad ambiental '!U10,"-")</f>
        <v>-</v>
      </c>
      <c r="G220" s="58" t="str">
        <f>IF('22 Sostenibilidad ambiental '!V10&lt;&gt;0,'22 Sostenibilidad ambiental '!V10,"-")</f>
        <v>-</v>
      </c>
      <c r="H220" s="58" t="str">
        <f>IF('22 Sostenibilidad ambiental '!W10&lt;&gt;0,'22 Sostenibilidad ambiental '!W10,"-")</f>
        <v>Anual</v>
      </c>
      <c r="I220" s="58" t="str">
        <f>IF('22 Sostenibilidad ambiental '!X10&lt;&gt;0,'22 Sostenibilidad ambiental '!X10,"-")</f>
        <v>-</v>
      </c>
      <c r="J220" s="33"/>
    </row>
    <row r="221" spans="1:13" ht="16.5" customHeight="1" thickBot="1">
      <c r="A221" s="58">
        <v>9</v>
      </c>
      <c r="B221" s="70" t="str">
        <f>IF('22 Sostenibilidad ambiental '!I11&lt;&gt;0,'22 Sostenibilidad ambiental '!I11,"-")</f>
        <v>-</v>
      </c>
      <c r="C221" s="58" t="str">
        <f>IF('22 Sostenibilidad ambiental '!R11&lt;&gt;0,'22 Sostenibilidad ambiental '!R11,"-")</f>
        <v>-</v>
      </c>
      <c r="D221" s="58" t="str">
        <f>IF('22 Sostenibilidad ambiental '!S11&lt;&gt;0,'22 Sostenibilidad ambiental '!S11,"-")</f>
        <v>-</v>
      </c>
      <c r="E221" s="58" t="str">
        <f>IF('22 Sostenibilidad ambiental '!T11&lt;&gt;0,'22 Sostenibilidad ambiental '!T11,"-")</f>
        <v>-</v>
      </c>
      <c r="F221" s="58" t="str">
        <f>IF('22 Sostenibilidad ambiental '!U11&lt;&gt;0,'22 Sostenibilidad ambiental '!U11,"-")</f>
        <v>-</v>
      </c>
      <c r="G221" s="58" t="str">
        <f>IF('22 Sostenibilidad ambiental '!V11&lt;&gt;0,'22 Sostenibilidad ambiental '!V11,"-")</f>
        <v>-</v>
      </c>
      <c r="H221" s="58" t="str">
        <f>IF('22 Sostenibilidad ambiental '!W11&lt;&gt;0,'22 Sostenibilidad ambiental '!W11,"-")</f>
        <v>Anual</v>
      </c>
      <c r="I221" s="58" t="str">
        <f>IF('22 Sostenibilidad ambiental '!X11&lt;&gt;0,'22 Sostenibilidad ambiental '!X11,"-")</f>
        <v>-</v>
      </c>
      <c r="J221" s="33"/>
    </row>
    <row r="222" spans="1:13" ht="16.5" customHeight="1" thickBot="1">
      <c r="A222" s="58">
        <v>10</v>
      </c>
      <c r="B222" s="70" t="str">
        <f>IF('22 Sostenibilidad ambiental '!I12&lt;&gt;0,'22 Sostenibilidad ambiental '!I12,"-")</f>
        <v>-</v>
      </c>
      <c r="C222" s="58" t="str">
        <f>IF('22 Sostenibilidad ambiental '!R12&lt;&gt;0,'22 Sostenibilidad ambiental '!R12,"-")</f>
        <v>-</v>
      </c>
      <c r="D222" s="58" t="str">
        <f>IF('22 Sostenibilidad ambiental '!S12&lt;&gt;0,'22 Sostenibilidad ambiental '!S12,"-")</f>
        <v>-</v>
      </c>
      <c r="E222" s="58" t="str">
        <f>IF('22 Sostenibilidad ambiental '!T12&lt;&gt;0,'22 Sostenibilidad ambiental '!T12,"-")</f>
        <v>-</v>
      </c>
      <c r="F222" s="58" t="str">
        <f>IF('22 Sostenibilidad ambiental '!U12&lt;&gt;0,'22 Sostenibilidad ambiental '!U12,"-")</f>
        <v>-</v>
      </c>
      <c r="G222" s="58" t="str">
        <f>IF('22 Sostenibilidad ambiental '!V12&lt;&gt;0,'22 Sostenibilidad ambiental '!V12,"-")</f>
        <v>-</v>
      </c>
      <c r="H222" s="58" t="str">
        <f>IF('22 Sostenibilidad ambiental '!W12&lt;&gt;0,'22 Sostenibilidad ambiental '!W12,"-")</f>
        <v>Anual</v>
      </c>
      <c r="I222" s="58" t="str">
        <f>IF('22 Sostenibilidad ambiental '!X12&lt;&gt;0,'22 Sostenibilidad ambiental '!X12,"-")</f>
        <v>-</v>
      </c>
      <c r="J222" s="33"/>
    </row>
    <row r="223" spans="1:13" ht="16.5" customHeight="1" thickBot="1">
      <c r="A223" s="58">
        <v>11</v>
      </c>
      <c r="B223" s="70" t="str">
        <f>IF('22 Sostenibilidad ambiental '!I13&lt;&gt;0,'22 Sostenibilidad ambiental '!I13,"-")</f>
        <v>-</v>
      </c>
      <c r="C223" s="58" t="str">
        <f>IF('22 Sostenibilidad ambiental '!R13&lt;&gt;0,'22 Sostenibilidad ambiental '!R13,"-")</f>
        <v>-</v>
      </c>
      <c r="D223" s="58" t="str">
        <f>IF('22 Sostenibilidad ambiental '!S13&lt;&gt;0,'22 Sostenibilidad ambiental '!S13,"-")</f>
        <v>-</v>
      </c>
      <c r="E223" s="58" t="str">
        <f>IF('22 Sostenibilidad ambiental '!T13&lt;&gt;0,'22 Sostenibilidad ambiental '!T13,"-")</f>
        <v>-</v>
      </c>
      <c r="F223" s="58" t="str">
        <f>IF('22 Sostenibilidad ambiental '!U13&lt;&gt;0,'22 Sostenibilidad ambiental '!U13,"-")</f>
        <v>-</v>
      </c>
      <c r="G223" s="58" t="str">
        <f>IF('22 Sostenibilidad ambiental '!V13&lt;&gt;0,'22 Sostenibilidad ambiental '!V13,"-")</f>
        <v>-</v>
      </c>
      <c r="H223" s="58" t="str">
        <f>IF('22 Sostenibilidad ambiental '!W13&lt;&gt;0,'22 Sostenibilidad ambiental '!W13,"-")</f>
        <v>Anual</v>
      </c>
      <c r="I223" s="58" t="str">
        <f>IF('22 Sostenibilidad ambiental '!X13&lt;&gt;0,'22 Sostenibilidad ambiental '!X13,"-")</f>
        <v>-</v>
      </c>
      <c r="J223" s="33"/>
    </row>
    <row r="224" spans="1:13" ht="16.5" customHeight="1" thickBot="1">
      <c r="A224" s="58">
        <v>12</v>
      </c>
      <c r="B224" s="70" t="str">
        <f>IF('22 Sostenibilidad ambiental '!I14&lt;&gt;0,'22 Sostenibilidad ambiental '!I14,"-")</f>
        <v>-</v>
      </c>
      <c r="C224" s="58" t="str">
        <f>IF('22 Sostenibilidad ambiental '!R14&lt;&gt;0,'22 Sostenibilidad ambiental '!R14,"-")</f>
        <v>-</v>
      </c>
      <c r="D224" s="58" t="str">
        <f>IF('22 Sostenibilidad ambiental '!S14&lt;&gt;0,'22 Sostenibilidad ambiental '!S14,"-")</f>
        <v>-</v>
      </c>
      <c r="E224" s="58" t="str">
        <f>IF('22 Sostenibilidad ambiental '!T14&lt;&gt;0,'22 Sostenibilidad ambiental '!T14,"-")</f>
        <v>-</v>
      </c>
      <c r="F224" s="58" t="str">
        <f>IF('22 Sostenibilidad ambiental '!U14&lt;&gt;0,'22 Sostenibilidad ambiental '!U14,"-")</f>
        <v>-</v>
      </c>
      <c r="G224" s="58" t="str">
        <f>IF('22 Sostenibilidad ambiental '!V14&lt;&gt;0,'22 Sostenibilidad ambiental '!V14,"-")</f>
        <v>-</v>
      </c>
      <c r="H224" s="58" t="str">
        <f>IF('22 Sostenibilidad ambiental '!W14&lt;&gt;0,'22 Sostenibilidad ambiental '!W14,"-")</f>
        <v>Anual</v>
      </c>
      <c r="I224" s="58" t="str">
        <f>IF('22 Sostenibilidad ambiental '!X14&lt;&gt;0,'22 Sostenibilidad ambiental '!X14,"-")</f>
        <v>-</v>
      </c>
      <c r="J224" s="33"/>
    </row>
  </sheetData>
  <sheetProtection algorithmName="SHA-512" hashValue="eQ8ZqslFzfMu7fDPQS9TmSRV5hdcZ6PVdWCXRvJP253HgNigjsEqp/dwUt/v8pm2hMNdmjL/d5MvAqZwZcUmyw==" saltValue="2/odgTKXM8t0v03lNVMpXQ==" spinCount="100000" sheet="1" formatCells="0" formatColumns="0" formatRows="0"/>
  <mergeCells count="164">
    <mergeCell ref="I211:I212"/>
    <mergeCell ref="F211:F212"/>
    <mergeCell ref="H140:H141"/>
    <mergeCell ref="A100:A101"/>
    <mergeCell ref="D161:D162"/>
    <mergeCell ref="F161:F162"/>
    <mergeCell ref="B154:B155"/>
    <mergeCell ref="I78:I79"/>
    <mergeCell ref="B89:B90"/>
    <mergeCell ref="H204:H205"/>
    <mergeCell ref="D89:D90"/>
    <mergeCell ref="E100:E101"/>
    <mergeCell ref="D132:D133"/>
    <mergeCell ref="H154:H155"/>
    <mergeCell ref="F132:F133"/>
    <mergeCell ref="D100:D101"/>
    <mergeCell ref="B115:B116"/>
    <mergeCell ref="D115:D116"/>
    <mergeCell ref="H6:H7"/>
    <mergeCell ref="F70:F71"/>
    <mergeCell ref="I154:I155"/>
    <mergeCell ref="A124:A125"/>
    <mergeCell ref="I115:I116"/>
    <mergeCell ref="C124:C125"/>
    <mergeCell ref="F1:I1"/>
    <mergeCell ref="H70:H71"/>
    <mergeCell ref="B175:B176"/>
    <mergeCell ref="D175:D176"/>
    <mergeCell ref="E6:E7"/>
    <mergeCell ref="C37:C38"/>
    <mergeCell ref="E37:E38"/>
    <mergeCell ref="B50:B51"/>
    <mergeCell ref="D50:D51"/>
    <mergeCell ref="D211:D212"/>
    <mergeCell ref="B204:B205"/>
    <mergeCell ref="I63:I64"/>
    <mergeCell ref="D124:D125"/>
    <mergeCell ref="A211:A212"/>
    <mergeCell ref="A99:J99"/>
    <mergeCell ref="B188:B189"/>
    <mergeCell ref="D188:D189"/>
    <mergeCell ref="A161:A162"/>
    <mergeCell ref="C161:C162"/>
    <mergeCell ref="A139:J139"/>
    <mergeCell ref="F78:F79"/>
    <mergeCell ref="H78:H79"/>
    <mergeCell ref="C204:C205"/>
    <mergeCell ref="E204:E205"/>
    <mergeCell ref="I89:I90"/>
    <mergeCell ref="C154:C155"/>
    <mergeCell ref="B100:B101"/>
    <mergeCell ref="A132:A133"/>
    <mergeCell ref="A203:J203"/>
    <mergeCell ref="A131:J131"/>
    <mergeCell ref="B70:B71"/>
    <mergeCell ref="C89:C90"/>
    <mergeCell ref="H89:H90"/>
    <mergeCell ref="A6:A7"/>
    <mergeCell ref="A50:A51"/>
    <mergeCell ref="C50:C51"/>
    <mergeCell ref="F89:F90"/>
    <mergeCell ref="C115:C116"/>
    <mergeCell ref="B161:B162"/>
    <mergeCell ref="I100:I101"/>
    <mergeCell ref="H132:H133"/>
    <mergeCell ref="A114:J114"/>
    <mergeCell ref="F140:F141"/>
    <mergeCell ref="H100:H101"/>
    <mergeCell ref="I37:I38"/>
    <mergeCell ref="F50:F51"/>
    <mergeCell ref="F115:F116"/>
    <mergeCell ref="C70:C71"/>
    <mergeCell ref="H115:H116"/>
    <mergeCell ref="H124:H125"/>
    <mergeCell ref="E70:E71"/>
    <mergeCell ref="A88:J88"/>
    <mergeCell ref="A153:J153"/>
    <mergeCell ref="C78:C79"/>
    <mergeCell ref="B124:B125"/>
    <mergeCell ref="D6:D7"/>
    <mergeCell ref="F6:F7"/>
    <mergeCell ref="I204:I205"/>
    <mergeCell ref="A160:J160"/>
    <mergeCell ref="E132:E133"/>
    <mergeCell ref="I188:I189"/>
    <mergeCell ref="A78:A79"/>
    <mergeCell ref="A62:J62"/>
    <mergeCell ref="H161:H162"/>
    <mergeCell ref="F154:F155"/>
    <mergeCell ref="A210:J210"/>
    <mergeCell ref="A175:A176"/>
    <mergeCell ref="D70:D71"/>
    <mergeCell ref="A5:J5"/>
    <mergeCell ref="B140:B141"/>
    <mergeCell ref="D140:D141"/>
    <mergeCell ref="I70:I71"/>
    <mergeCell ref="A70:A71"/>
    <mergeCell ref="C175:C176"/>
    <mergeCell ref="E175:E176"/>
    <mergeCell ref="E78:E79"/>
    <mergeCell ref="A4:J4"/>
    <mergeCell ref="F124:F125"/>
    <mergeCell ref="D154:D155"/>
    <mergeCell ref="C100:C101"/>
    <mergeCell ref="B132:B133"/>
    <mergeCell ref="I175:I176"/>
    <mergeCell ref="E161:E162"/>
    <mergeCell ref="A154:A155"/>
    <mergeCell ref="A37:A38"/>
    <mergeCell ref="A89:A90"/>
    <mergeCell ref="F100:F101"/>
    <mergeCell ref="I161:I162"/>
    <mergeCell ref="A123:J123"/>
    <mergeCell ref="A140:A141"/>
    <mergeCell ref="C140:C141"/>
    <mergeCell ref="D37:D38"/>
    <mergeCell ref="B6:B7"/>
    <mergeCell ref="B37:B38"/>
    <mergeCell ref="A49:J49"/>
    <mergeCell ref="B211:B212"/>
    <mergeCell ref="A188:A189"/>
    <mergeCell ref="C188:C189"/>
    <mergeCell ref="A36:J36"/>
    <mergeCell ref="I132:I133"/>
    <mergeCell ref="A69:J69"/>
    <mergeCell ref="F37:F38"/>
    <mergeCell ref="E154:E155"/>
    <mergeCell ref="A174:J174"/>
    <mergeCell ref="H37:H38"/>
    <mergeCell ref="E50:E51"/>
    <mergeCell ref="E115:E116"/>
    <mergeCell ref="I50:I51"/>
    <mergeCell ref="B63:B64"/>
    <mergeCell ref="D63:D64"/>
    <mergeCell ref="I6:I7"/>
    <mergeCell ref="C6:C7"/>
    <mergeCell ref="F63:F64"/>
    <mergeCell ref="H63:H64"/>
    <mergeCell ref="H211:H212"/>
    <mergeCell ref="D204:D205"/>
    <mergeCell ref="E140:E141"/>
    <mergeCell ref="H50:H51"/>
    <mergeCell ref="C63:C64"/>
    <mergeCell ref="E63:E64"/>
    <mergeCell ref="C132:C133"/>
    <mergeCell ref="B78:B79"/>
    <mergeCell ref="A77:J77"/>
    <mergeCell ref="C211:C212"/>
    <mergeCell ref="D78:D79"/>
    <mergeCell ref="A204:A205"/>
    <mergeCell ref="E89:E90"/>
    <mergeCell ref="F204:F205"/>
    <mergeCell ref="E211:E212"/>
    <mergeCell ref="F188:F189"/>
    <mergeCell ref="H188:H189"/>
    <mergeCell ref="A63:A64"/>
    <mergeCell ref="A187:J187"/>
    <mergeCell ref="A115:A116"/>
    <mergeCell ref="E124:E125"/>
    <mergeCell ref="I140:I141"/>
    <mergeCell ref="F175:F176"/>
    <mergeCell ref="H175:H176"/>
    <mergeCell ref="E188:E189"/>
    <mergeCell ref="I124:I125"/>
  </mergeCell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0.39997558519241921"/>
  </sheetPr>
  <dimension ref="A1:Q63"/>
  <sheetViews>
    <sheetView workbookViewId="0">
      <pane ySplit="2" topLeftCell="A3" activePane="bottomLeft" state="frozen"/>
      <selection pane="bottomLeft" activeCell="K3" sqref="K3"/>
    </sheetView>
  </sheetViews>
  <sheetFormatPr baseColWidth="10" defaultRowHeight="14.4"/>
  <cols>
    <col min="1" max="1" width="38" customWidth="1"/>
    <col min="2" max="2" width="55" customWidth="1"/>
    <col min="3" max="3" width="16" customWidth="1"/>
    <col min="4" max="4" width="45" customWidth="1"/>
    <col min="5" max="5" width="38" customWidth="1"/>
    <col min="6" max="6" width="11" customWidth="1"/>
    <col min="7" max="10" width="10" customWidth="1"/>
    <col min="11" max="11" width="11" customWidth="1"/>
    <col min="12" max="15" width="10" customWidth="1"/>
    <col min="16" max="16" width="16" customWidth="1"/>
    <col min="17" max="17" width="34" customWidth="1"/>
  </cols>
  <sheetData>
    <row r="1" spans="1:17" s="102" customFormat="1" ht="18" customHeight="1">
      <c r="A1" s="225" t="s">
        <v>167</v>
      </c>
      <c r="B1" s="226" t="s">
        <v>8</v>
      </c>
      <c r="C1" s="225" t="s">
        <v>9</v>
      </c>
      <c r="D1" s="227" t="s">
        <v>634</v>
      </c>
      <c r="E1" s="227" t="s">
        <v>635</v>
      </c>
      <c r="F1" s="228"/>
      <c r="G1" s="149"/>
      <c r="H1" s="149"/>
      <c r="I1" s="149"/>
      <c r="J1" s="150"/>
      <c r="K1" s="224"/>
      <c r="L1" s="137"/>
      <c r="M1" s="137"/>
      <c r="N1" s="137"/>
      <c r="O1" s="138"/>
      <c r="P1" s="225" t="s">
        <v>14</v>
      </c>
      <c r="Q1" s="225" t="s">
        <v>15</v>
      </c>
    </row>
    <row r="2" spans="1:17" s="102" customFormat="1" ht="30.75" customHeight="1">
      <c r="A2" s="142"/>
      <c r="B2" s="142"/>
      <c r="C2" s="142"/>
      <c r="D2" s="142"/>
      <c r="E2" s="142"/>
      <c r="F2" s="101" t="s">
        <v>16</v>
      </c>
      <c r="G2" s="101">
        <v>2027</v>
      </c>
      <c r="H2" s="101">
        <v>2028</v>
      </c>
      <c r="I2" s="101">
        <v>2029</v>
      </c>
      <c r="J2" s="101">
        <v>2030</v>
      </c>
      <c r="K2" s="103" t="s">
        <v>16</v>
      </c>
      <c r="L2" s="103">
        <v>2027</v>
      </c>
      <c r="M2" s="103">
        <v>2028</v>
      </c>
      <c r="N2" s="103">
        <v>2029</v>
      </c>
      <c r="O2" s="103">
        <v>2030</v>
      </c>
      <c r="P2" s="142"/>
      <c r="Q2" s="142"/>
    </row>
    <row r="3" spans="1:17" ht="96" customHeight="1">
      <c r="A3" s="133" t="s">
        <v>636</v>
      </c>
      <c r="B3" s="16" t="s">
        <v>637</v>
      </c>
      <c r="C3" s="130" t="s">
        <v>45</v>
      </c>
      <c r="D3" s="48" t="s">
        <v>638</v>
      </c>
      <c r="E3" s="51" t="s">
        <v>639</v>
      </c>
      <c r="F3" s="131"/>
      <c r="G3" s="131"/>
      <c r="H3" s="131"/>
      <c r="I3" s="131"/>
      <c r="J3" s="131"/>
      <c r="K3" s="132" t="str">
        <f t="shared" ref="K3:K34" si="0">IF(F3="","",F3)</f>
        <v/>
      </c>
      <c r="L3" s="132" t="str">
        <f t="shared" ref="L3:L34" si="1">IF(G3="","",G3)</f>
        <v/>
      </c>
      <c r="M3" s="132" t="str">
        <f t="shared" ref="M3:M34" si="2">IF(H3="","",H3)</f>
        <v/>
      </c>
      <c r="N3" s="132" t="str">
        <f t="shared" ref="N3:N34" si="3">IF(I3="","",I3)</f>
        <v/>
      </c>
      <c r="O3" s="132" t="str">
        <f t="shared" ref="O3:O34" si="4">IF(J3="","",J3)</f>
        <v/>
      </c>
      <c r="P3" s="44" t="s">
        <v>27</v>
      </c>
      <c r="Q3" s="134" t="s">
        <v>28</v>
      </c>
    </row>
    <row r="4" spans="1:17" ht="96" customHeight="1">
      <c r="A4" s="133" t="s">
        <v>636</v>
      </c>
      <c r="B4" s="19" t="s">
        <v>640</v>
      </c>
      <c r="C4" s="44" t="s">
        <v>24</v>
      </c>
      <c r="D4" s="51" t="s">
        <v>25</v>
      </c>
      <c r="E4" s="51" t="s">
        <v>641</v>
      </c>
      <c r="F4" s="131"/>
      <c r="G4" s="131">
        <v>1</v>
      </c>
      <c r="H4" s="131">
        <v>1</v>
      </c>
      <c r="I4" s="131">
        <v>1</v>
      </c>
      <c r="J4" s="131">
        <v>1</v>
      </c>
      <c r="K4" s="132" t="str">
        <f t="shared" si="0"/>
        <v/>
      </c>
      <c r="L4" s="132">
        <f t="shared" si="1"/>
        <v>1</v>
      </c>
      <c r="M4" s="132">
        <f t="shared" si="2"/>
        <v>1</v>
      </c>
      <c r="N4" s="132">
        <f t="shared" si="3"/>
        <v>1</v>
      </c>
      <c r="O4" s="132">
        <f t="shared" si="4"/>
        <v>1</v>
      </c>
      <c r="P4" s="44" t="s">
        <v>27</v>
      </c>
      <c r="Q4" s="135" t="s">
        <v>28</v>
      </c>
    </row>
    <row r="5" spans="1:17" ht="96" customHeight="1">
      <c r="A5" s="133" t="s">
        <v>636</v>
      </c>
      <c r="B5" s="19" t="s">
        <v>642</v>
      </c>
      <c r="C5" s="44" t="s">
        <v>24</v>
      </c>
      <c r="D5" s="51" t="s">
        <v>25</v>
      </c>
      <c r="E5" s="51" t="s">
        <v>641</v>
      </c>
      <c r="F5" s="131"/>
      <c r="G5" s="131"/>
      <c r="H5" s="131">
        <v>1</v>
      </c>
      <c r="I5" s="131">
        <v>1</v>
      </c>
      <c r="J5" s="131">
        <v>1</v>
      </c>
      <c r="K5" s="132" t="str">
        <f t="shared" si="0"/>
        <v/>
      </c>
      <c r="L5" s="132" t="str">
        <f t="shared" si="1"/>
        <v/>
      </c>
      <c r="M5" s="132">
        <f t="shared" si="2"/>
        <v>1</v>
      </c>
      <c r="N5" s="132">
        <f t="shared" si="3"/>
        <v>1</v>
      </c>
      <c r="O5" s="132">
        <f t="shared" si="4"/>
        <v>1</v>
      </c>
      <c r="P5" s="44" t="s">
        <v>27</v>
      </c>
      <c r="Q5" s="135" t="s">
        <v>28</v>
      </c>
    </row>
    <row r="6" spans="1:17" ht="96" customHeight="1">
      <c r="A6" s="133" t="s">
        <v>643</v>
      </c>
      <c r="B6" s="16" t="s">
        <v>637</v>
      </c>
      <c r="C6" s="130" t="s">
        <v>45</v>
      </c>
      <c r="D6" s="48" t="s">
        <v>638</v>
      </c>
      <c r="E6" s="51" t="s">
        <v>644</v>
      </c>
      <c r="F6" s="131"/>
      <c r="G6" s="131"/>
      <c r="H6" s="131"/>
      <c r="I6" s="131"/>
      <c r="J6" s="131"/>
      <c r="K6" s="132" t="str">
        <f t="shared" si="0"/>
        <v/>
      </c>
      <c r="L6" s="132" t="str">
        <f t="shared" si="1"/>
        <v/>
      </c>
      <c r="M6" s="132" t="str">
        <f t="shared" si="2"/>
        <v/>
      </c>
      <c r="N6" s="132" t="str">
        <f t="shared" si="3"/>
        <v/>
      </c>
      <c r="O6" s="132" t="str">
        <f t="shared" si="4"/>
        <v/>
      </c>
      <c r="P6" s="44" t="s">
        <v>27</v>
      </c>
      <c r="Q6" s="134" t="s">
        <v>28</v>
      </c>
    </row>
    <row r="7" spans="1:17" ht="96" customHeight="1">
      <c r="A7" s="133" t="s">
        <v>643</v>
      </c>
      <c r="B7" s="19" t="s">
        <v>645</v>
      </c>
      <c r="C7" s="44" t="s">
        <v>24</v>
      </c>
      <c r="D7" s="51" t="s">
        <v>25</v>
      </c>
      <c r="E7" s="51" t="s">
        <v>641</v>
      </c>
      <c r="F7" s="131"/>
      <c r="G7" s="131">
        <v>1</v>
      </c>
      <c r="H7" s="131">
        <v>1</v>
      </c>
      <c r="I7" s="131">
        <v>1</v>
      </c>
      <c r="J7" s="131">
        <v>1</v>
      </c>
      <c r="K7" s="132" t="str">
        <f t="shared" si="0"/>
        <v/>
      </c>
      <c r="L7" s="132">
        <f t="shared" si="1"/>
        <v>1</v>
      </c>
      <c r="M7" s="132">
        <f t="shared" si="2"/>
        <v>1</v>
      </c>
      <c r="N7" s="132">
        <f t="shared" si="3"/>
        <v>1</v>
      </c>
      <c r="O7" s="132">
        <f t="shared" si="4"/>
        <v>1</v>
      </c>
      <c r="P7" s="44" t="s">
        <v>27</v>
      </c>
      <c r="Q7" s="135" t="s">
        <v>28</v>
      </c>
    </row>
    <row r="8" spans="1:17" ht="96" customHeight="1">
      <c r="A8" s="133" t="s">
        <v>643</v>
      </c>
      <c r="B8" s="19" t="s">
        <v>646</v>
      </c>
      <c r="C8" s="44" t="s">
        <v>24</v>
      </c>
      <c r="D8" s="51" t="s">
        <v>25</v>
      </c>
      <c r="E8" s="51" t="s">
        <v>641</v>
      </c>
      <c r="F8" s="131"/>
      <c r="G8" s="131"/>
      <c r="H8" s="131">
        <v>1</v>
      </c>
      <c r="I8" s="131">
        <v>1</v>
      </c>
      <c r="J8" s="131">
        <v>1</v>
      </c>
      <c r="K8" s="132" t="str">
        <f t="shared" si="0"/>
        <v/>
      </c>
      <c r="L8" s="132" t="str">
        <f t="shared" si="1"/>
        <v/>
      </c>
      <c r="M8" s="132">
        <f t="shared" si="2"/>
        <v>1</v>
      </c>
      <c r="N8" s="132">
        <f t="shared" si="3"/>
        <v>1</v>
      </c>
      <c r="O8" s="132">
        <f t="shared" si="4"/>
        <v>1</v>
      </c>
      <c r="P8" s="44" t="s">
        <v>27</v>
      </c>
      <c r="Q8" s="135" t="s">
        <v>28</v>
      </c>
    </row>
    <row r="9" spans="1:17" ht="96" customHeight="1">
      <c r="A9" s="133" t="s">
        <v>647</v>
      </c>
      <c r="B9" s="19" t="s">
        <v>648</v>
      </c>
      <c r="C9" s="44" t="s">
        <v>24</v>
      </c>
      <c r="D9" s="51" t="s">
        <v>25</v>
      </c>
      <c r="E9" s="51" t="s">
        <v>641</v>
      </c>
      <c r="F9" s="131"/>
      <c r="G9" s="131">
        <v>1</v>
      </c>
      <c r="H9" s="131">
        <v>1</v>
      </c>
      <c r="I9" s="131">
        <v>1</v>
      </c>
      <c r="J9" s="131">
        <v>1</v>
      </c>
      <c r="K9" s="132" t="str">
        <f t="shared" si="0"/>
        <v/>
      </c>
      <c r="L9" s="132">
        <f t="shared" si="1"/>
        <v>1</v>
      </c>
      <c r="M9" s="132">
        <f t="shared" si="2"/>
        <v>1</v>
      </c>
      <c r="N9" s="132">
        <f t="shared" si="3"/>
        <v>1</v>
      </c>
      <c r="O9" s="132">
        <f t="shared" si="4"/>
        <v>1</v>
      </c>
      <c r="P9" s="44" t="s">
        <v>27</v>
      </c>
      <c r="Q9" s="135" t="s">
        <v>28</v>
      </c>
    </row>
    <row r="10" spans="1:17" ht="96" customHeight="1">
      <c r="A10" s="133" t="s">
        <v>647</v>
      </c>
      <c r="B10" s="19" t="s">
        <v>649</v>
      </c>
      <c r="C10" s="44" t="s">
        <v>24</v>
      </c>
      <c r="D10" s="51" t="s">
        <v>25</v>
      </c>
      <c r="E10" s="51" t="s">
        <v>641</v>
      </c>
      <c r="F10" s="131"/>
      <c r="G10" s="131"/>
      <c r="H10" s="131">
        <v>1</v>
      </c>
      <c r="I10" s="131">
        <v>1</v>
      </c>
      <c r="J10" s="131">
        <v>1</v>
      </c>
      <c r="K10" s="132" t="str">
        <f t="shared" si="0"/>
        <v/>
      </c>
      <c r="L10" s="132" t="str">
        <f t="shared" si="1"/>
        <v/>
      </c>
      <c r="M10" s="132">
        <f t="shared" si="2"/>
        <v>1</v>
      </c>
      <c r="N10" s="132">
        <f t="shared" si="3"/>
        <v>1</v>
      </c>
      <c r="O10" s="132">
        <f t="shared" si="4"/>
        <v>1</v>
      </c>
      <c r="P10" s="44" t="s">
        <v>27</v>
      </c>
      <c r="Q10" s="135" t="s">
        <v>28</v>
      </c>
    </row>
    <row r="11" spans="1:17" ht="96" customHeight="1">
      <c r="A11" s="133" t="s">
        <v>650</v>
      </c>
      <c r="B11" s="19" t="s">
        <v>651</v>
      </c>
      <c r="C11" s="44" t="s">
        <v>24</v>
      </c>
      <c r="D11" s="51" t="s">
        <v>25</v>
      </c>
      <c r="E11" s="51" t="s">
        <v>641</v>
      </c>
      <c r="F11" s="131"/>
      <c r="G11" s="131">
        <v>1</v>
      </c>
      <c r="H11" s="131">
        <v>1</v>
      </c>
      <c r="I11" s="131">
        <v>1</v>
      </c>
      <c r="J11" s="131">
        <v>1</v>
      </c>
      <c r="K11" s="132" t="str">
        <f t="shared" si="0"/>
        <v/>
      </c>
      <c r="L11" s="132">
        <f t="shared" si="1"/>
        <v>1</v>
      </c>
      <c r="M11" s="132">
        <f t="shared" si="2"/>
        <v>1</v>
      </c>
      <c r="N11" s="132">
        <f t="shared" si="3"/>
        <v>1</v>
      </c>
      <c r="O11" s="132">
        <f t="shared" si="4"/>
        <v>1</v>
      </c>
      <c r="P11" s="44" t="s">
        <v>27</v>
      </c>
      <c r="Q11" s="135" t="s">
        <v>28</v>
      </c>
    </row>
    <row r="12" spans="1:17" ht="96" customHeight="1">
      <c r="A12" s="133" t="s">
        <v>650</v>
      </c>
      <c r="B12" s="19" t="s">
        <v>652</v>
      </c>
      <c r="C12" s="44" t="s">
        <v>24</v>
      </c>
      <c r="D12" s="51" t="s">
        <v>25</v>
      </c>
      <c r="E12" s="51" t="s">
        <v>641</v>
      </c>
      <c r="F12" s="131"/>
      <c r="G12" s="131">
        <v>1</v>
      </c>
      <c r="H12" s="131">
        <v>1</v>
      </c>
      <c r="I12" s="131">
        <v>1</v>
      </c>
      <c r="J12" s="131">
        <v>1</v>
      </c>
      <c r="K12" s="132" t="str">
        <f t="shared" si="0"/>
        <v/>
      </c>
      <c r="L12" s="132">
        <f t="shared" si="1"/>
        <v>1</v>
      </c>
      <c r="M12" s="132">
        <f t="shared" si="2"/>
        <v>1</v>
      </c>
      <c r="N12" s="132">
        <f t="shared" si="3"/>
        <v>1</v>
      </c>
      <c r="O12" s="132">
        <f t="shared" si="4"/>
        <v>1</v>
      </c>
      <c r="P12" s="44" t="s">
        <v>27</v>
      </c>
      <c r="Q12" s="135" t="s">
        <v>28</v>
      </c>
    </row>
    <row r="13" spans="1:17" ht="96" customHeight="1">
      <c r="A13" s="133" t="s">
        <v>650</v>
      </c>
      <c r="B13" s="19" t="s">
        <v>653</v>
      </c>
      <c r="C13" s="44" t="s">
        <v>24</v>
      </c>
      <c r="D13" s="51" t="s">
        <v>25</v>
      </c>
      <c r="E13" s="51" t="s">
        <v>641</v>
      </c>
      <c r="F13" s="131"/>
      <c r="G13" s="131"/>
      <c r="H13" s="131">
        <v>1</v>
      </c>
      <c r="I13" s="131">
        <v>1</v>
      </c>
      <c r="J13" s="131">
        <v>1</v>
      </c>
      <c r="K13" s="132" t="str">
        <f t="shared" si="0"/>
        <v/>
      </c>
      <c r="L13" s="132" t="str">
        <f t="shared" si="1"/>
        <v/>
      </c>
      <c r="M13" s="132">
        <f t="shared" si="2"/>
        <v>1</v>
      </c>
      <c r="N13" s="132">
        <f t="shared" si="3"/>
        <v>1</v>
      </c>
      <c r="O13" s="132">
        <f t="shared" si="4"/>
        <v>1</v>
      </c>
      <c r="P13" s="44" t="s">
        <v>27</v>
      </c>
      <c r="Q13" s="135" t="s">
        <v>28</v>
      </c>
    </row>
    <row r="14" spans="1:17" ht="96" customHeight="1">
      <c r="A14" s="133" t="s">
        <v>654</v>
      </c>
      <c r="B14" s="19" t="s">
        <v>655</v>
      </c>
      <c r="C14" s="44" t="s">
        <v>24</v>
      </c>
      <c r="D14" s="51" t="s">
        <v>25</v>
      </c>
      <c r="E14" s="51" t="s">
        <v>641</v>
      </c>
      <c r="F14" s="131"/>
      <c r="G14" s="131">
        <v>1</v>
      </c>
      <c r="H14" s="131">
        <v>1</v>
      </c>
      <c r="I14" s="131"/>
      <c r="J14" s="131">
        <v>1</v>
      </c>
      <c r="K14" s="132" t="str">
        <f t="shared" si="0"/>
        <v/>
      </c>
      <c r="L14" s="132">
        <f t="shared" si="1"/>
        <v>1</v>
      </c>
      <c r="M14" s="132">
        <f t="shared" si="2"/>
        <v>1</v>
      </c>
      <c r="N14" s="132" t="str">
        <f t="shared" si="3"/>
        <v/>
      </c>
      <c r="O14" s="132">
        <f t="shared" si="4"/>
        <v>1</v>
      </c>
      <c r="P14" s="44" t="s">
        <v>27</v>
      </c>
      <c r="Q14" s="135" t="s">
        <v>28</v>
      </c>
    </row>
    <row r="15" spans="1:17" ht="96" customHeight="1">
      <c r="A15" s="133" t="s">
        <v>654</v>
      </c>
      <c r="B15" s="19" t="s">
        <v>656</v>
      </c>
      <c r="C15" s="44" t="s">
        <v>24</v>
      </c>
      <c r="D15" s="51" t="s">
        <v>25</v>
      </c>
      <c r="E15" s="51" t="s">
        <v>641</v>
      </c>
      <c r="F15" s="131"/>
      <c r="G15" s="131">
        <v>1</v>
      </c>
      <c r="H15" s="131">
        <v>1</v>
      </c>
      <c r="I15" s="131">
        <v>1</v>
      </c>
      <c r="J15" s="131">
        <v>1</v>
      </c>
      <c r="K15" s="132" t="str">
        <f t="shared" si="0"/>
        <v/>
      </c>
      <c r="L15" s="132">
        <f t="shared" si="1"/>
        <v>1</v>
      </c>
      <c r="M15" s="132">
        <f t="shared" si="2"/>
        <v>1</v>
      </c>
      <c r="N15" s="132">
        <f t="shared" si="3"/>
        <v>1</v>
      </c>
      <c r="O15" s="132">
        <f t="shared" si="4"/>
        <v>1</v>
      </c>
      <c r="P15" s="44" t="s">
        <v>27</v>
      </c>
      <c r="Q15" s="135" t="s">
        <v>28</v>
      </c>
    </row>
    <row r="16" spans="1:17" ht="96" customHeight="1">
      <c r="A16" s="133" t="s">
        <v>654</v>
      </c>
      <c r="B16" s="19" t="s">
        <v>657</v>
      </c>
      <c r="C16" s="44" t="s">
        <v>24</v>
      </c>
      <c r="D16" s="51" t="s">
        <v>25</v>
      </c>
      <c r="E16" s="51" t="s">
        <v>641</v>
      </c>
      <c r="F16" s="131"/>
      <c r="G16" s="131"/>
      <c r="H16" s="131">
        <v>1</v>
      </c>
      <c r="I16" s="131">
        <v>1</v>
      </c>
      <c r="J16" s="131">
        <v>1</v>
      </c>
      <c r="K16" s="132" t="str">
        <f t="shared" si="0"/>
        <v/>
      </c>
      <c r="L16" s="132" t="str">
        <f t="shared" si="1"/>
        <v/>
      </c>
      <c r="M16" s="132">
        <f t="shared" si="2"/>
        <v>1</v>
      </c>
      <c r="N16" s="132">
        <f t="shared" si="3"/>
        <v>1</v>
      </c>
      <c r="O16" s="132">
        <f t="shared" si="4"/>
        <v>1</v>
      </c>
      <c r="P16" s="44" t="s">
        <v>27</v>
      </c>
      <c r="Q16" s="135" t="s">
        <v>28</v>
      </c>
    </row>
    <row r="17" spans="1:17" ht="96" customHeight="1">
      <c r="A17" s="133" t="s">
        <v>658</v>
      </c>
      <c r="B17" s="19" t="s">
        <v>659</v>
      </c>
      <c r="C17" s="44" t="s">
        <v>24</v>
      </c>
      <c r="D17" s="51" t="s">
        <v>25</v>
      </c>
      <c r="E17" s="51" t="s">
        <v>641</v>
      </c>
      <c r="F17" s="131"/>
      <c r="G17" s="131">
        <v>1</v>
      </c>
      <c r="H17" s="131">
        <v>1</v>
      </c>
      <c r="I17" s="131"/>
      <c r="J17" s="131">
        <v>1</v>
      </c>
      <c r="K17" s="132" t="str">
        <f t="shared" si="0"/>
        <v/>
      </c>
      <c r="L17" s="132">
        <f t="shared" si="1"/>
        <v>1</v>
      </c>
      <c r="M17" s="132">
        <f t="shared" si="2"/>
        <v>1</v>
      </c>
      <c r="N17" s="132" t="str">
        <f t="shared" si="3"/>
        <v/>
      </c>
      <c r="O17" s="132">
        <f t="shared" si="4"/>
        <v>1</v>
      </c>
      <c r="P17" s="44" t="s">
        <v>27</v>
      </c>
      <c r="Q17" s="135" t="s">
        <v>28</v>
      </c>
    </row>
    <row r="18" spans="1:17" ht="96" customHeight="1">
      <c r="A18" s="133" t="s">
        <v>658</v>
      </c>
      <c r="B18" s="19" t="s">
        <v>660</v>
      </c>
      <c r="C18" s="44" t="s">
        <v>24</v>
      </c>
      <c r="D18" s="51" t="s">
        <v>25</v>
      </c>
      <c r="E18" s="51" t="s">
        <v>641</v>
      </c>
      <c r="F18" s="131"/>
      <c r="G18" s="131">
        <v>1</v>
      </c>
      <c r="H18" s="131">
        <v>1</v>
      </c>
      <c r="I18" s="131">
        <v>1</v>
      </c>
      <c r="J18" s="131">
        <v>1</v>
      </c>
      <c r="K18" s="132" t="str">
        <f t="shared" si="0"/>
        <v/>
      </c>
      <c r="L18" s="132">
        <f t="shared" si="1"/>
        <v>1</v>
      </c>
      <c r="M18" s="132">
        <f t="shared" si="2"/>
        <v>1</v>
      </c>
      <c r="N18" s="132">
        <f t="shared" si="3"/>
        <v>1</v>
      </c>
      <c r="O18" s="132">
        <f t="shared" si="4"/>
        <v>1</v>
      </c>
      <c r="P18" s="44" t="s">
        <v>27</v>
      </c>
      <c r="Q18" s="135" t="s">
        <v>28</v>
      </c>
    </row>
    <row r="19" spans="1:17" ht="96" customHeight="1">
      <c r="A19" s="133" t="s">
        <v>658</v>
      </c>
      <c r="B19" s="19" t="s">
        <v>661</v>
      </c>
      <c r="C19" s="44" t="s">
        <v>24</v>
      </c>
      <c r="D19" s="51" t="s">
        <v>25</v>
      </c>
      <c r="E19" s="51" t="s">
        <v>641</v>
      </c>
      <c r="F19" s="131"/>
      <c r="G19" s="131"/>
      <c r="H19" s="131">
        <v>1</v>
      </c>
      <c r="I19" s="131">
        <v>1</v>
      </c>
      <c r="J19" s="131">
        <v>1</v>
      </c>
      <c r="K19" s="132" t="str">
        <f t="shared" si="0"/>
        <v/>
      </c>
      <c r="L19" s="132" t="str">
        <f t="shared" si="1"/>
        <v/>
      </c>
      <c r="M19" s="132">
        <f t="shared" si="2"/>
        <v>1</v>
      </c>
      <c r="N19" s="132">
        <f t="shared" si="3"/>
        <v>1</v>
      </c>
      <c r="O19" s="132">
        <f t="shared" si="4"/>
        <v>1</v>
      </c>
      <c r="P19" s="44" t="s">
        <v>27</v>
      </c>
      <c r="Q19" s="135" t="s">
        <v>28</v>
      </c>
    </row>
    <row r="20" spans="1:17" ht="96" customHeight="1">
      <c r="A20" s="133" t="s">
        <v>662</v>
      </c>
      <c r="B20" s="19" t="s">
        <v>663</v>
      </c>
      <c r="C20" s="44" t="s">
        <v>24</v>
      </c>
      <c r="D20" s="51" t="s">
        <v>25</v>
      </c>
      <c r="E20" s="51" t="s">
        <v>641</v>
      </c>
      <c r="F20" s="131"/>
      <c r="G20" s="131">
        <v>1</v>
      </c>
      <c r="H20" s="131">
        <v>1</v>
      </c>
      <c r="I20" s="131"/>
      <c r="J20" s="131">
        <v>1</v>
      </c>
      <c r="K20" s="132" t="str">
        <f t="shared" si="0"/>
        <v/>
      </c>
      <c r="L20" s="132">
        <f t="shared" si="1"/>
        <v>1</v>
      </c>
      <c r="M20" s="132">
        <f t="shared" si="2"/>
        <v>1</v>
      </c>
      <c r="N20" s="132" t="str">
        <f t="shared" si="3"/>
        <v/>
      </c>
      <c r="O20" s="132">
        <f t="shared" si="4"/>
        <v>1</v>
      </c>
      <c r="P20" s="44" t="s">
        <v>27</v>
      </c>
      <c r="Q20" s="135" t="s">
        <v>28</v>
      </c>
    </row>
    <row r="21" spans="1:17" ht="96" customHeight="1">
      <c r="A21" s="133" t="s">
        <v>662</v>
      </c>
      <c r="B21" s="19" t="s">
        <v>664</v>
      </c>
      <c r="C21" s="44" t="s">
        <v>24</v>
      </c>
      <c r="D21" s="51" t="s">
        <v>25</v>
      </c>
      <c r="E21" s="51" t="s">
        <v>641</v>
      </c>
      <c r="F21" s="131"/>
      <c r="G21" s="131">
        <v>1</v>
      </c>
      <c r="H21" s="131">
        <v>1</v>
      </c>
      <c r="I21" s="131">
        <v>1</v>
      </c>
      <c r="J21" s="131">
        <v>1</v>
      </c>
      <c r="K21" s="132" t="str">
        <f t="shared" si="0"/>
        <v/>
      </c>
      <c r="L21" s="132">
        <f t="shared" si="1"/>
        <v>1</v>
      </c>
      <c r="M21" s="132">
        <f t="shared" si="2"/>
        <v>1</v>
      </c>
      <c r="N21" s="132">
        <f t="shared" si="3"/>
        <v>1</v>
      </c>
      <c r="O21" s="132">
        <f t="shared" si="4"/>
        <v>1</v>
      </c>
      <c r="P21" s="44" t="s">
        <v>27</v>
      </c>
      <c r="Q21" s="135" t="s">
        <v>28</v>
      </c>
    </row>
    <row r="22" spans="1:17" ht="96" customHeight="1">
      <c r="A22" s="133" t="s">
        <v>662</v>
      </c>
      <c r="B22" s="19" t="s">
        <v>665</v>
      </c>
      <c r="C22" s="44" t="s">
        <v>24</v>
      </c>
      <c r="D22" s="51" t="s">
        <v>25</v>
      </c>
      <c r="E22" s="51" t="s">
        <v>641</v>
      </c>
      <c r="F22" s="131"/>
      <c r="G22" s="131"/>
      <c r="H22" s="131">
        <v>1</v>
      </c>
      <c r="I22" s="131">
        <v>1</v>
      </c>
      <c r="J22" s="131">
        <v>1</v>
      </c>
      <c r="K22" s="132" t="str">
        <f t="shared" si="0"/>
        <v/>
      </c>
      <c r="L22" s="132" t="str">
        <f t="shared" si="1"/>
        <v/>
      </c>
      <c r="M22" s="132">
        <f t="shared" si="2"/>
        <v>1</v>
      </c>
      <c r="N22" s="132">
        <f t="shared" si="3"/>
        <v>1</v>
      </c>
      <c r="O22" s="132">
        <f t="shared" si="4"/>
        <v>1</v>
      </c>
      <c r="P22" s="44" t="s">
        <v>27</v>
      </c>
      <c r="Q22" s="135" t="s">
        <v>28</v>
      </c>
    </row>
    <row r="23" spans="1:17" ht="96" customHeight="1">
      <c r="A23" s="133" t="s">
        <v>666</v>
      </c>
      <c r="B23" s="16" t="s">
        <v>637</v>
      </c>
      <c r="C23" s="130" t="s">
        <v>45</v>
      </c>
      <c r="D23" s="48" t="s">
        <v>638</v>
      </c>
      <c r="E23" s="51" t="s">
        <v>667</v>
      </c>
      <c r="F23" s="131"/>
      <c r="G23" s="131"/>
      <c r="H23" s="131"/>
      <c r="I23" s="131"/>
      <c r="J23" s="131"/>
      <c r="K23" s="132" t="str">
        <f t="shared" si="0"/>
        <v/>
      </c>
      <c r="L23" s="132" t="str">
        <f t="shared" si="1"/>
        <v/>
      </c>
      <c r="M23" s="132" t="str">
        <f t="shared" si="2"/>
        <v/>
      </c>
      <c r="N23" s="132" t="str">
        <f t="shared" si="3"/>
        <v/>
      </c>
      <c r="O23" s="132" t="str">
        <f t="shared" si="4"/>
        <v/>
      </c>
      <c r="P23" s="44" t="s">
        <v>27</v>
      </c>
      <c r="Q23" s="134" t="s">
        <v>28</v>
      </c>
    </row>
    <row r="24" spans="1:17" ht="96" customHeight="1">
      <c r="A24" s="133" t="s">
        <v>666</v>
      </c>
      <c r="B24" s="19" t="s">
        <v>668</v>
      </c>
      <c r="C24" s="44" t="s">
        <v>24</v>
      </c>
      <c r="D24" s="51" t="s">
        <v>25</v>
      </c>
      <c r="E24" s="51" t="s">
        <v>641</v>
      </c>
      <c r="F24" s="131"/>
      <c r="G24" s="131">
        <v>1</v>
      </c>
      <c r="H24" s="131">
        <v>1</v>
      </c>
      <c r="I24" s="131">
        <v>1</v>
      </c>
      <c r="J24" s="131">
        <v>1</v>
      </c>
      <c r="K24" s="132" t="str">
        <f t="shared" si="0"/>
        <v/>
      </c>
      <c r="L24" s="132">
        <f t="shared" si="1"/>
        <v>1</v>
      </c>
      <c r="M24" s="132">
        <f t="shared" si="2"/>
        <v>1</v>
      </c>
      <c r="N24" s="132">
        <f t="shared" si="3"/>
        <v>1</v>
      </c>
      <c r="O24" s="132">
        <f t="shared" si="4"/>
        <v>1</v>
      </c>
      <c r="P24" s="44" t="s">
        <v>27</v>
      </c>
      <c r="Q24" s="135" t="s">
        <v>28</v>
      </c>
    </row>
    <row r="25" spans="1:17" ht="96" customHeight="1">
      <c r="A25" s="133" t="s">
        <v>666</v>
      </c>
      <c r="B25" s="19" t="s">
        <v>669</v>
      </c>
      <c r="C25" s="44" t="s">
        <v>24</v>
      </c>
      <c r="D25" s="51" t="s">
        <v>25</v>
      </c>
      <c r="E25" s="51" t="s">
        <v>641</v>
      </c>
      <c r="F25" s="131"/>
      <c r="G25" s="131"/>
      <c r="H25" s="131">
        <v>1</v>
      </c>
      <c r="I25" s="131">
        <v>1</v>
      </c>
      <c r="J25" s="131">
        <v>1</v>
      </c>
      <c r="K25" s="132" t="str">
        <f t="shared" si="0"/>
        <v/>
      </c>
      <c r="L25" s="132" t="str">
        <f t="shared" si="1"/>
        <v/>
      </c>
      <c r="M25" s="132">
        <f t="shared" si="2"/>
        <v>1</v>
      </c>
      <c r="N25" s="132">
        <f t="shared" si="3"/>
        <v>1</v>
      </c>
      <c r="O25" s="132">
        <f t="shared" si="4"/>
        <v>1</v>
      </c>
      <c r="P25" s="44" t="s">
        <v>27</v>
      </c>
      <c r="Q25" s="135" t="s">
        <v>28</v>
      </c>
    </row>
    <row r="26" spans="1:17" ht="96" customHeight="1">
      <c r="A26" s="133" t="s">
        <v>670</v>
      </c>
      <c r="B26" s="19" t="s">
        <v>671</v>
      </c>
      <c r="C26" s="44" t="s">
        <v>24</v>
      </c>
      <c r="D26" s="51" t="s">
        <v>25</v>
      </c>
      <c r="E26" s="51" t="s">
        <v>641</v>
      </c>
      <c r="F26" s="131"/>
      <c r="G26" s="131">
        <v>1</v>
      </c>
      <c r="H26" s="131">
        <v>1</v>
      </c>
      <c r="I26" s="131">
        <v>1</v>
      </c>
      <c r="J26" s="131">
        <v>1</v>
      </c>
      <c r="K26" s="132" t="str">
        <f t="shared" si="0"/>
        <v/>
      </c>
      <c r="L26" s="132">
        <f t="shared" si="1"/>
        <v>1</v>
      </c>
      <c r="M26" s="132">
        <f t="shared" si="2"/>
        <v>1</v>
      </c>
      <c r="N26" s="132">
        <f t="shared" si="3"/>
        <v>1</v>
      </c>
      <c r="O26" s="132">
        <f t="shared" si="4"/>
        <v>1</v>
      </c>
      <c r="P26" s="44" t="s">
        <v>27</v>
      </c>
      <c r="Q26" s="135" t="s">
        <v>28</v>
      </c>
    </row>
    <row r="27" spans="1:17" ht="96" customHeight="1">
      <c r="A27" s="133" t="s">
        <v>670</v>
      </c>
      <c r="B27" s="19" t="s">
        <v>672</v>
      </c>
      <c r="C27" s="44" t="s">
        <v>24</v>
      </c>
      <c r="D27" s="51" t="s">
        <v>25</v>
      </c>
      <c r="E27" s="51" t="s">
        <v>641</v>
      </c>
      <c r="F27" s="131"/>
      <c r="G27" s="131">
        <v>1</v>
      </c>
      <c r="H27" s="131">
        <v>1</v>
      </c>
      <c r="I27" s="131">
        <v>1</v>
      </c>
      <c r="J27" s="131">
        <v>1</v>
      </c>
      <c r="K27" s="132" t="str">
        <f t="shared" si="0"/>
        <v/>
      </c>
      <c r="L27" s="132">
        <f t="shared" si="1"/>
        <v>1</v>
      </c>
      <c r="M27" s="132">
        <f t="shared" si="2"/>
        <v>1</v>
      </c>
      <c r="N27" s="132">
        <f t="shared" si="3"/>
        <v>1</v>
      </c>
      <c r="O27" s="132">
        <f t="shared" si="4"/>
        <v>1</v>
      </c>
      <c r="P27" s="44" t="s">
        <v>27</v>
      </c>
      <c r="Q27" s="135" t="s">
        <v>28</v>
      </c>
    </row>
    <row r="28" spans="1:17" ht="96" customHeight="1">
      <c r="A28" s="133" t="s">
        <v>670</v>
      </c>
      <c r="B28" s="19" t="s">
        <v>673</v>
      </c>
      <c r="C28" s="44" t="s">
        <v>24</v>
      </c>
      <c r="D28" s="51" t="s">
        <v>25</v>
      </c>
      <c r="E28" s="51" t="s">
        <v>641</v>
      </c>
      <c r="F28" s="131"/>
      <c r="G28" s="131"/>
      <c r="H28" s="131">
        <v>1</v>
      </c>
      <c r="I28" s="131">
        <v>1</v>
      </c>
      <c r="J28" s="131">
        <v>1</v>
      </c>
      <c r="K28" s="132" t="str">
        <f t="shared" si="0"/>
        <v/>
      </c>
      <c r="L28" s="132" t="str">
        <f t="shared" si="1"/>
        <v/>
      </c>
      <c r="M28" s="132">
        <f t="shared" si="2"/>
        <v>1</v>
      </c>
      <c r="N28" s="132">
        <f t="shared" si="3"/>
        <v>1</v>
      </c>
      <c r="O28" s="132">
        <f t="shared" si="4"/>
        <v>1</v>
      </c>
      <c r="P28" s="44" t="s">
        <v>27</v>
      </c>
      <c r="Q28" s="135" t="s">
        <v>28</v>
      </c>
    </row>
    <row r="29" spans="1:17" ht="96" customHeight="1">
      <c r="A29" s="133" t="s">
        <v>674</v>
      </c>
      <c r="B29" s="19" t="s">
        <v>675</v>
      </c>
      <c r="C29" s="44" t="s">
        <v>24</v>
      </c>
      <c r="D29" s="51" t="s">
        <v>25</v>
      </c>
      <c r="E29" s="51" t="s">
        <v>641</v>
      </c>
      <c r="F29" s="131"/>
      <c r="G29" s="131">
        <v>1</v>
      </c>
      <c r="H29" s="131">
        <v>1</v>
      </c>
      <c r="I29" s="131">
        <v>1</v>
      </c>
      <c r="J29" s="131">
        <v>1</v>
      </c>
      <c r="K29" s="132" t="str">
        <f t="shared" si="0"/>
        <v/>
      </c>
      <c r="L29" s="132">
        <f t="shared" si="1"/>
        <v>1</v>
      </c>
      <c r="M29" s="132">
        <f t="shared" si="2"/>
        <v>1</v>
      </c>
      <c r="N29" s="132">
        <f t="shared" si="3"/>
        <v>1</v>
      </c>
      <c r="O29" s="132">
        <f t="shared" si="4"/>
        <v>1</v>
      </c>
      <c r="P29" s="44" t="s">
        <v>27</v>
      </c>
      <c r="Q29" s="135" t="s">
        <v>28</v>
      </c>
    </row>
    <row r="30" spans="1:17" ht="96" customHeight="1">
      <c r="A30" s="133" t="s">
        <v>674</v>
      </c>
      <c r="B30" s="19" t="s">
        <v>676</v>
      </c>
      <c r="C30" s="44" t="s">
        <v>24</v>
      </c>
      <c r="D30" s="51" t="s">
        <v>25</v>
      </c>
      <c r="E30" s="51" t="s">
        <v>641</v>
      </c>
      <c r="F30" s="131"/>
      <c r="G30" s="131">
        <v>1</v>
      </c>
      <c r="H30" s="131">
        <v>1</v>
      </c>
      <c r="I30" s="131">
        <v>1</v>
      </c>
      <c r="J30" s="131">
        <v>1</v>
      </c>
      <c r="K30" s="132" t="str">
        <f t="shared" si="0"/>
        <v/>
      </c>
      <c r="L30" s="132">
        <f t="shared" si="1"/>
        <v>1</v>
      </c>
      <c r="M30" s="132">
        <f t="shared" si="2"/>
        <v>1</v>
      </c>
      <c r="N30" s="132">
        <f t="shared" si="3"/>
        <v>1</v>
      </c>
      <c r="O30" s="132">
        <f t="shared" si="4"/>
        <v>1</v>
      </c>
      <c r="P30" s="44" t="s">
        <v>27</v>
      </c>
      <c r="Q30" s="135" t="s">
        <v>28</v>
      </c>
    </row>
    <row r="31" spans="1:17" ht="96" customHeight="1">
      <c r="A31" s="133" t="s">
        <v>674</v>
      </c>
      <c r="B31" s="19" t="s">
        <v>677</v>
      </c>
      <c r="C31" s="44" t="s">
        <v>24</v>
      </c>
      <c r="D31" s="51" t="s">
        <v>25</v>
      </c>
      <c r="E31" s="51" t="s">
        <v>641</v>
      </c>
      <c r="F31" s="131"/>
      <c r="G31" s="131"/>
      <c r="H31" s="131">
        <v>1</v>
      </c>
      <c r="I31" s="131">
        <v>1</v>
      </c>
      <c r="J31" s="131">
        <v>1</v>
      </c>
      <c r="K31" s="132" t="str">
        <f t="shared" si="0"/>
        <v/>
      </c>
      <c r="L31" s="132" t="str">
        <f t="shared" si="1"/>
        <v/>
      </c>
      <c r="M31" s="132">
        <f t="shared" si="2"/>
        <v>1</v>
      </c>
      <c r="N31" s="132">
        <f t="shared" si="3"/>
        <v>1</v>
      </c>
      <c r="O31" s="132">
        <f t="shared" si="4"/>
        <v>1</v>
      </c>
      <c r="P31" s="44" t="s">
        <v>27</v>
      </c>
      <c r="Q31" s="135" t="s">
        <v>28</v>
      </c>
    </row>
    <row r="32" spans="1:17" ht="96" customHeight="1">
      <c r="A32" s="133" t="s">
        <v>678</v>
      </c>
      <c r="B32" s="19" t="s">
        <v>679</v>
      </c>
      <c r="C32" s="44" t="s">
        <v>24</v>
      </c>
      <c r="D32" s="51" t="s">
        <v>25</v>
      </c>
      <c r="E32" s="51" t="s">
        <v>641</v>
      </c>
      <c r="F32" s="131"/>
      <c r="G32" s="131">
        <v>1</v>
      </c>
      <c r="H32" s="131">
        <v>1</v>
      </c>
      <c r="I32" s="131">
        <v>1</v>
      </c>
      <c r="J32" s="131">
        <v>1</v>
      </c>
      <c r="K32" s="132" t="str">
        <f t="shared" si="0"/>
        <v/>
      </c>
      <c r="L32" s="132">
        <f t="shared" si="1"/>
        <v>1</v>
      </c>
      <c r="M32" s="132">
        <f t="shared" si="2"/>
        <v>1</v>
      </c>
      <c r="N32" s="132">
        <f t="shared" si="3"/>
        <v>1</v>
      </c>
      <c r="O32" s="132">
        <f t="shared" si="4"/>
        <v>1</v>
      </c>
      <c r="P32" s="44" t="s">
        <v>27</v>
      </c>
      <c r="Q32" s="135" t="s">
        <v>28</v>
      </c>
    </row>
    <row r="33" spans="1:17" ht="96" customHeight="1">
      <c r="A33" s="133" t="s">
        <v>678</v>
      </c>
      <c r="B33" s="19" t="s">
        <v>680</v>
      </c>
      <c r="C33" s="44" t="s">
        <v>24</v>
      </c>
      <c r="D33" s="51" t="s">
        <v>25</v>
      </c>
      <c r="E33" s="51" t="s">
        <v>641</v>
      </c>
      <c r="F33" s="131"/>
      <c r="G33" s="131">
        <v>1</v>
      </c>
      <c r="H33" s="131">
        <v>1</v>
      </c>
      <c r="I33" s="131">
        <v>1</v>
      </c>
      <c r="J33" s="131">
        <v>1</v>
      </c>
      <c r="K33" s="132" t="str">
        <f t="shared" si="0"/>
        <v/>
      </c>
      <c r="L33" s="132">
        <f t="shared" si="1"/>
        <v>1</v>
      </c>
      <c r="M33" s="132">
        <f t="shared" si="2"/>
        <v>1</v>
      </c>
      <c r="N33" s="132">
        <f t="shared" si="3"/>
        <v>1</v>
      </c>
      <c r="O33" s="132">
        <f t="shared" si="4"/>
        <v>1</v>
      </c>
      <c r="P33" s="44" t="s">
        <v>27</v>
      </c>
      <c r="Q33" s="135" t="s">
        <v>28</v>
      </c>
    </row>
    <row r="34" spans="1:17" ht="96" customHeight="1">
      <c r="A34" s="133" t="s">
        <v>678</v>
      </c>
      <c r="B34" s="19" t="s">
        <v>681</v>
      </c>
      <c r="C34" s="44" t="s">
        <v>24</v>
      </c>
      <c r="D34" s="51" t="s">
        <v>25</v>
      </c>
      <c r="E34" s="51" t="s">
        <v>641</v>
      </c>
      <c r="F34" s="131"/>
      <c r="G34" s="131"/>
      <c r="H34" s="131">
        <v>1</v>
      </c>
      <c r="I34" s="131">
        <v>1</v>
      </c>
      <c r="J34" s="131">
        <v>1</v>
      </c>
      <c r="K34" s="132" t="str">
        <f t="shared" si="0"/>
        <v/>
      </c>
      <c r="L34" s="132" t="str">
        <f t="shared" si="1"/>
        <v/>
      </c>
      <c r="M34" s="132">
        <f t="shared" si="2"/>
        <v>1</v>
      </c>
      <c r="N34" s="132">
        <f t="shared" si="3"/>
        <v>1</v>
      </c>
      <c r="O34" s="132">
        <f t="shared" si="4"/>
        <v>1</v>
      </c>
      <c r="P34" s="44" t="s">
        <v>27</v>
      </c>
      <c r="Q34" s="135" t="s">
        <v>28</v>
      </c>
    </row>
    <row r="35" spans="1:17" ht="96" customHeight="1">
      <c r="A35" s="133" t="s">
        <v>682</v>
      </c>
      <c r="B35" s="19" t="s">
        <v>683</v>
      </c>
      <c r="C35" s="44" t="s">
        <v>24</v>
      </c>
      <c r="D35" s="51" t="s">
        <v>25</v>
      </c>
      <c r="E35" s="51" t="s">
        <v>641</v>
      </c>
      <c r="F35" s="131"/>
      <c r="G35" s="131">
        <v>1</v>
      </c>
      <c r="H35" s="131">
        <v>1</v>
      </c>
      <c r="I35" s="131">
        <v>1</v>
      </c>
      <c r="J35" s="131">
        <v>1</v>
      </c>
      <c r="K35" s="132" t="str">
        <f t="shared" ref="K35:K63" si="5">IF(F35="","",F35)</f>
        <v/>
      </c>
      <c r="L35" s="132">
        <f t="shared" ref="L35:L63" si="6">IF(G35="","",G35)</f>
        <v>1</v>
      </c>
      <c r="M35" s="132">
        <f t="shared" ref="M35:M63" si="7">IF(H35="","",H35)</f>
        <v>1</v>
      </c>
      <c r="N35" s="132">
        <f t="shared" ref="N35:N63" si="8">IF(I35="","",I35)</f>
        <v>1</v>
      </c>
      <c r="O35" s="132">
        <f t="shared" ref="O35:O63" si="9">IF(J35="","",J35)</f>
        <v>1</v>
      </c>
      <c r="P35" s="44" t="s">
        <v>27</v>
      </c>
      <c r="Q35" s="135" t="s">
        <v>28</v>
      </c>
    </row>
    <row r="36" spans="1:17" ht="96" customHeight="1">
      <c r="A36" s="133" t="s">
        <v>682</v>
      </c>
      <c r="B36" s="19" t="s">
        <v>684</v>
      </c>
      <c r="C36" s="44" t="s">
        <v>24</v>
      </c>
      <c r="D36" s="51" t="s">
        <v>25</v>
      </c>
      <c r="E36" s="51" t="s">
        <v>641</v>
      </c>
      <c r="F36" s="131"/>
      <c r="G36" s="131">
        <v>1</v>
      </c>
      <c r="H36" s="131">
        <v>1</v>
      </c>
      <c r="I36" s="131">
        <v>1</v>
      </c>
      <c r="J36" s="131">
        <v>1</v>
      </c>
      <c r="K36" s="132" t="str">
        <f t="shared" si="5"/>
        <v/>
      </c>
      <c r="L36" s="132">
        <f t="shared" si="6"/>
        <v>1</v>
      </c>
      <c r="M36" s="132">
        <f t="shared" si="7"/>
        <v>1</v>
      </c>
      <c r="N36" s="132">
        <f t="shared" si="8"/>
        <v>1</v>
      </c>
      <c r="O36" s="132">
        <f t="shared" si="9"/>
        <v>1</v>
      </c>
      <c r="P36" s="44" t="s">
        <v>27</v>
      </c>
      <c r="Q36" s="135" t="s">
        <v>28</v>
      </c>
    </row>
    <row r="37" spans="1:17" ht="96" customHeight="1">
      <c r="A37" s="133" t="s">
        <v>682</v>
      </c>
      <c r="B37" s="19" t="s">
        <v>685</v>
      </c>
      <c r="C37" s="44" t="s">
        <v>24</v>
      </c>
      <c r="D37" s="51" t="s">
        <v>25</v>
      </c>
      <c r="E37" s="51" t="s">
        <v>641</v>
      </c>
      <c r="F37" s="131"/>
      <c r="G37" s="131"/>
      <c r="H37" s="131">
        <v>1</v>
      </c>
      <c r="I37" s="131">
        <v>1</v>
      </c>
      <c r="J37" s="131">
        <v>1</v>
      </c>
      <c r="K37" s="132" t="str">
        <f t="shared" si="5"/>
        <v/>
      </c>
      <c r="L37" s="132" t="str">
        <f t="shared" si="6"/>
        <v/>
      </c>
      <c r="M37" s="132">
        <f t="shared" si="7"/>
        <v>1</v>
      </c>
      <c r="N37" s="132">
        <f t="shared" si="8"/>
        <v>1</v>
      </c>
      <c r="O37" s="132">
        <f t="shared" si="9"/>
        <v>1</v>
      </c>
      <c r="P37" s="44" t="s">
        <v>27</v>
      </c>
      <c r="Q37" s="135" t="s">
        <v>28</v>
      </c>
    </row>
    <row r="38" spans="1:17" ht="96" customHeight="1">
      <c r="A38" s="133" t="s">
        <v>686</v>
      </c>
      <c r="B38" s="19" t="s">
        <v>687</v>
      </c>
      <c r="C38" s="44" t="s">
        <v>24</v>
      </c>
      <c r="D38" s="51" t="s">
        <v>25</v>
      </c>
      <c r="E38" s="51" t="s">
        <v>641</v>
      </c>
      <c r="F38" s="131"/>
      <c r="G38" s="131">
        <v>1</v>
      </c>
      <c r="H38" s="131">
        <v>1</v>
      </c>
      <c r="I38" s="131">
        <v>1</v>
      </c>
      <c r="J38" s="131">
        <v>1</v>
      </c>
      <c r="K38" s="132" t="str">
        <f t="shared" si="5"/>
        <v/>
      </c>
      <c r="L38" s="132">
        <f t="shared" si="6"/>
        <v>1</v>
      </c>
      <c r="M38" s="132">
        <f t="shared" si="7"/>
        <v>1</v>
      </c>
      <c r="N38" s="132">
        <f t="shared" si="8"/>
        <v>1</v>
      </c>
      <c r="O38" s="132">
        <f t="shared" si="9"/>
        <v>1</v>
      </c>
      <c r="P38" s="44" t="s">
        <v>27</v>
      </c>
      <c r="Q38" s="135" t="s">
        <v>28</v>
      </c>
    </row>
    <row r="39" spans="1:17" ht="96" customHeight="1">
      <c r="A39" s="133" t="s">
        <v>686</v>
      </c>
      <c r="B39" s="19" t="s">
        <v>688</v>
      </c>
      <c r="C39" s="44" t="s">
        <v>24</v>
      </c>
      <c r="D39" s="51" t="s">
        <v>25</v>
      </c>
      <c r="E39" s="51" t="s">
        <v>641</v>
      </c>
      <c r="F39" s="131"/>
      <c r="G39" s="131">
        <v>1</v>
      </c>
      <c r="H39" s="131">
        <v>1</v>
      </c>
      <c r="I39" s="131">
        <v>1</v>
      </c>
      <c r="J39" s="131">
        <v>1</v>
      </c>
      <c r="K39" s="132" t="str">
        <f t="shared" si="5"/>
        <v/>
      </c>
      <c r="L39" s="132">
        <f t="shared" si="6"/>
        <v>1</v>
      </c>
      <c r="M39" s="132">
        <f t="shared" si="7"/>
        <v>1</v>
      </c>
      <c r="N39" s="132">
        <f t="shared" si="8"/>
        <v>1</v>
      </c>
      <c r="O39" s="132">
        <f t="shared" si="9"/>
        <v>1</v>
      </c>
      <c r="P39" s="44" t="s">
        <v>27</v>
      </c>
      <c r="Q39" s="135" t="s">
        <v>28</v>
      </c>
    </row>
    <row r="40" spans="1:17" ht="96" customHeight="1">
      <c r="A40" s="133" t="s">
        <v>686</v>
      </c>
      <c r="B40" s="19" t="s">
        <v>689</v>
      </c>
      <c r="C40" s="44" t="s">
        <v>24</v>
      </c>
      <c r="D40" s="51" t="s">
        <v>25</v>
      </c>
      <c r="E40" s="51" t="s">
        <v>641</v>
      </c>
      <c r="F40" s="131"/>
      <c r="G40" s="131"/>
      <c r="H40" s="131">
        <v>1</v>
      </c>
      <c r="I40" s="131">
        <v>1</v>
      </c>
      <c r="J40" s="131">
        <v>1</v>
      </c>
      <c r="K40" s="132" t="str">
        <f t="shared" si="5"/>
        <v/>
      </c>
      <c r="L40" s="132" t="str">
        <f t="shared" si="6"/>
        <v/>
      </c>
      <c r="M40" s="132">
        <f t="shared" si="7"/>
        <v>1</v>
      </c>
      <c r="N40" s="132">
        <f t="shared" si="8"/>
        <v>1</v>
      </c>
      <c r="O40" s="132">
        <f t="shared" si="9"/>
        <v>1</v>
      </c>
      <c r="P40" s="44" t="s">
        <v>27</v>
      </c>
      <c r="Q40" s="135" t="s">
        <v>28</v>
      </c>
    </row>
    <row r="41" spans="1:17" ht="96" customHeight="1">
      <c r="A41" s="133" t="s">
        <v>690</v>
      </c>
      <c r="B41" s="19" t="s">
        <v>691</v>
      </c>
      <c r="C41" s="44" t="s">
        <v>24</v>
      </c>
      <c r="D41" s="51" t="s">
        <v>25</v>
      </c>
      <c r="E41" s="51" t="s">
        <v>641</v>
      </c>
      <c r="F41" s="131"/>
      <c r="G41" s="131">
        <v>1</v>
      </c>
      <c r="H41" s="131">
        <v>1</v>
      </c>
      <c r="I41" s="131">
        <v>1</v>
      </c>
      <c r="J41" s="131">
        <v>1</v>
      </c>
      <c r="K41" s="132" t="str">
        <f t="shared" si="5"/>
        <v/>
      </c>
      <c r="L41" s="132">
        <f t="shared" si="6"/>
        <v>1</v>
      </c>
      <c r="M41" s="132">
        <f t="shared" si="7"/>
        <v>1</v>
      </c>
      <c r="N41" s="132">
        <f t="shared" si="8"/>
        <v>1</v>
      </c>
      <c r="O41" s="132">
        <f t="shared" si="9"/>
        <v>1</v>
      </c>
      <c r="P41" s="44" t="s">
        <v>27</v>
      </c>
      <c r="Q41" s="135" t="s">
        <v>28</v>
      </c>
    </row>
    <row r="42" spans="1:17" ht="96" customHeight="1">
      <c r="A42" s="133" t="s">
        <v>690</v>
      </c>
      <c r="B42" s="19" t="s">
        <v>692</v>
      </c>
      <c r="C42" s="44" t="s">
        <v>24</v>
      </c>
      <c r="D42" s="51" t="s">
        <v>25</v>
      </c>
      <c r="E42" s="51" t="s">
        <v>641</v>
      </c>
      <c r="F42" s="131"/>
      <c r="G42" s="131">
        <v>1</v>
      </c>
      <c r="H42" s="131">
        <v>1</v>
      </c>
      <c r="I42" s="131">
        <v>1</v>
      </c>
      <c r="J42" s="131">
        <v>1</v>
      </c>
      <c r="K42" s="132" t="str">
        <f t="shared" si="5"/>
        <v/>
      </c>
      <c r="L42" s="132">
        <f t="shared" si="6"/>
        <v>1</v>
      </c>
      <c r="M42" s="132">
        <f t="shared" si="7"/>
        <v>1</v>
      </c>
      <c r="N42" s="132">
        <f t="shared" si="8"/>
        <v>1</v>
      </c>
      <c r="O42" s="132">
        <f t="shared" si="9"/>
        <v>1</v>
      </c>
      <c r="P42" s="44" t="s">
        <v>27</v>
      </c>
      <c r="Q42" s="135" t="s">
        <v>28</v>
      </c>
    </row>
    <row r="43" spans="1:17" ht="96" customHeight="1">
      <c r="A43" s="133" t="s">
        <v>690</v>
      </c>
      <c r="B43" s="19" t="s">
        <v>693</v>
      </c>
      <c r="C43" s="44" t="s">
        <v>24</v>
      </c>
      <c r="D43" s="51" t="s">
        <v>25</v>
      </c>
      <c r="E43" s="51" t="s">
        <v>641</v>
      </c>
      <c r="F43" s="131"/>
      <c r="G43" s="131"/>
      <c r="H43" s="131">
        <v>1</v>
      </c>
      <c r="I43" s="131">
        <v>1</v>
      </c>
      <c r="J43" s="131">
        <v>1</v>
      </c>
      <c r="K43" s="132" t="str">
        <f t="shared" si="5"/>
        <v/>
      </c>
      <c r="L43" s="132" t="str">
        <f t="shared" si="6"/>
        <v/>
      </c>
      <c r="M43" s="132">
        <f t="shared" si="7"/>
        <v>1</v>
      </c>
      <c r="N43" s="132">
        <f t="shared" si="8"/>
        <v>1</v>
      </c>
      <c r="O43" s="132">
        <f t="shared" si="9"/>
        <v>1</v>
      </c>
      <c r="P43" s="44" t="s">
        <v>27</v>
      </c>
      <c r="Q43" s="135" t="s">
        <v>28</v>
      </c>
    </row>
    <row r="44" spans="1:17" ht="96" customHeight="1">
      <c r="A44" s="133" t="s">
        <v>694</v>
      </c>
      <c r="B44" s="19" t="s">
        <v>695</v>
      </c>
      <c r="C44" s="44" t="s">
        <v>24</v>
      </c>
      <c r="D44" s="51" t="s">
        <v>25</v>
      </c>
      <c r="E44" s="51" t="s">
        <v>641</v>
      </c>
      <c r="F44" s="131"/>
      <c r="G44" s="131">
        <v>1</v>
      </c>
      <c r="H44" s="131"/>
      <c r="I44" s="131"/>
      <c r="J44" s="131">
        <v>1</v>
      </c>
      <c r="K44" s="132" t="str">
        <f t="shared" si="5"/>
        <v/>
      </c>
      <c r="L44" s="132">
        <f t="shared" si="6"/>
        <v>1</v>
      </c>
      <c r="M44" s="132" t="str">
        <f t="shared" si="7"/>
        <v/>
      </c>
      <c r="N44" s="132" t="str">
        <f t="shared" si="8"/>
        <v/>
      </c>
      <c r="O44" s="132">
        <f t="shared" si="9"/>
        <v>1</v>
      </c>
      <c r="P44" s="44" t="s">
        <v>27</v>
      </c>
      <c r="Q44" s="135" t="s">
        <v>28</v>
      </c>
    </row>
    <row r="45" spans="1:17" ht="96" customHeight="1">
      <c r="A45" s="133" t="s">
        <v>694</v>
      </c>
      <c r="B45" s="19" t="s">
        <v>696</v>
      </c>
      <c r="C45" s="44" t="s">
        <v>24</v>
      </c>
      <c r="D45" s="51" t="s">
        <v>25</v>
      </c>
      <c r="E45" s="51" t="s">
        <v>641</v>
      </c>
      <c r="F45" s="131"/>
      <c r="G45" s="131">
        <v>1</v>
      </c>
      <c r="H45" s="131">
        <v>1</v>
      </c>
      <c r="I45" s="131">
        <v>1</v>
      </c>
      <c r="J45" s="131">
        <v>1</v>
      </c>
      <c r="K45" s="132" t="str">
        <f t="shared" si="5"/>
        <v/>
      </c>
      <c r="L45" s="132">
        <f t="shared" si="6"/>
        <v>1</v>
      </c>
      <c r="M45" s="132">
        <f t="shared" si="7"/>
        <v>1</v>
      </c>
      <c r="N45" s="132">
        <f t="shared" si="8"/>
        <v>1</v>
      </c>
      <c r="O45" s="132">
        <f t="shared" si="9"/>
        <v>1</v>
      </c>
      <c r="P45" s="44" t="s">
        <v>27</v>
      </c>
      <c r="Q45" s="135" t="s">
        <v>28</v>
      </c>
    </row>
    <row r="46" spans="1:17" ht="96" customHeight="1">
      <c r="A46" s="133" t="s">
        <v>694</v>
      </c>
      <c r="B46" s="19" t="s">
        <v>697</v>
      </c>
      <c r="C46" s="44" t="s">
        <v>24</v>
      </c>
      <c r="D46" s="51" t="s">
        <v>25</v>
      </c>
      <c r="E46" s="51" t="s">
        <v>641</v>
      </c>
      <c r="F46" s="131"/>
      <c r="G46" s="131"/>
      <c r="H46" s="131">
        <v>1</v>
      </c>
      <c r="I46" s="131">
        <v>1</v>
      </c>
      <c r="J46" s="131">
        <v>1</v>
      </c>
      <c r="K46" s="132" t="str">
        <f t="shared" si="5"/>
        <v/>
      </c>
      <c r="L46" s="132" t="str">
        <f t="shared" si="6"/>
        <v/>
      </c>
      <c r="M46" s="132">
        <f t="shared" si="7"/>
        <v>1</v>
      </c>
      <c r="N46" s="132">
        <f t="shared" si="8"/>
        <v>1</v>
      </c>
      <c r="O46" s="132">
        <f t="shared" si="9"/>
        <v>1</v>
      </c>
      <c r="P46" s="44" t="s">
        <v>27</v>
      </c>
      <c r="Q46" s="135" t="s">
        <v>28</v>
      </c>
    </row>
    <row r="47" spans="1:17" ht="96" customHeight="1">
      <c r="A47" s="133" t="s">
        <v>698</v>
      </c>
      <c r="B47" s="19" t="s">
        <v>699</v>
      </c>
      <c r="C47" s="44" t="s">
        <v>24</v>
      </c>
      <c r="D47" s="51" t="s">
        <v>25</v>
      </c>
      <c r="E47" s="51" t="s">
        <v>641</v>
      </c>
      <c r="F47" s="131"/>
      <c r="G47" s="131">
        <v>1</v>
      </c>
      <c r="H47" s="131">
        <v>1</v>
      </c>
      <c r="I47" s="131">
        <v>1</v>
      </c>
      <c r="J47" s="131">
        <v>1</v>
      </c>
      <c r="K47" s="132" t="str">
        <f t="shared" si="5"/>
        <v/>
      </c>
      <c r="L47" s="132">
        <f t="shared" si="6"/>
        <v>1</v>
      </c>
      <c r="M47" s="132">
        <f t="shared" si="7"/>
        <v>1</v>
      </c>
      <c r="N47" s="132">
        <f t="shared" si="8"/>
        <v>1</v>
      </c>
      <c r="O47" s="132">
        <f t="shared" si="9"/>
        <v>1</v>
      </c>
      <c r="P47" s="44" t="s">
        <v>27</v>
      </c>
      <c r="Q47" s="135" t="s">
        <v>28</v>
      </c>
    </row>
    <row r="48" spans="1:17" ht="96" customHeight="1">
      <c r="A48" s="133" t="s">
        <v>698</v>
      </c>
      <c r="B48" s="19" t="s">
        <v>700</v>
      </c>
      <c r="C48" s="44" t="s">
        <v>24</v>
      </c>
      <c r="D48" s="51" t="s">
        <v>25</v>
      </c>
      <c r="E48" s="51" t="s">
        <v>641</v>
      </c>
      <c r="F48" s="131"/>
      <c r="G48" s="131">
        <v>1</v>
      </c>
      <c r="H48" s="131">
        <v>1</v>
      </c>
      <c r="I48" s="131">
        <v>1</v>
      </c>
      <c r="J48" s="131">
        <v>1</v>
      </c>
      <c r="K48" s="132" t="str">
        <f t="shared" si="5"/>
        <v/>
      </c>
      <c r="L48" s="132">
        <f t="shared" si="6"/>
        <v>1</v>
      </c>
      <c r="M48" s="132">
        <f t="shared" si="7"/>
        <v>1</v>
      </c>
      <c r="N48" s="132">
        <f t="shared" si="8"/>
        <v>1</v>
      </c>
      <c r="O48" s="132">
        <f t="shared" si="9"/>
        <v>1</v>
      </c>
      <c r="P48" s="44" t="s">
        <v>27</v>
      </c>
      <c r="Q48" s="135" t="s">
        <v>28</v>
      </c>
    </row>
    <row r="49" spans="1:17" ht="96" customHeight="1">
      <c r="A49" s="133" t="s">
        <v>698</v>
      </c>
      <c r="B49" s="19" t="s">
        <v>701</v>
      </c>
      <c r="C49" s="44" t="s">
        <v>24</v>
      </c>
      <c r="D49" s="51" t="s">
        <v>25</v>
      </c>
      <c r="E49" s="51" t="s">
        <v>641</v>
      </c>
      <c r="F49" s="131"/>
      <c r="G49" s="131"/>
      <c r="H49" s="131">
        <v>1</v>
      </c>
      <c r="I49" s="131">
        <v>1</v>
      </c>
      <c r="J49" s="131">
        <v>1</v>
      </c>
      <c r="K49" s="132" t="str">
        <f t="shared" si="5"/>
        <v/>
      </c>
      <c r="L49" s="132" t="str">
        <f t="shared" si="6"/>
        <v/>
      </c>
      <c r="M49" s="132">
        <f t="shared" si="7"/>
        <v>1</v>
      </c>
      <c r="N49" s="132">
        <f t="shared" si="8"/>
        <v>1</v>
      </c>
      <c r="O49" s="132">
        <f t="shared" si="9"/>
        <v>1</v>
      </c>
      <c r="P49" s="44" t="s">
        <v>27</v>
      </c>
      <c r="Q49" s="135" t="s">
        <v>28</v>
      </c>
    </row>
    <row r="50" spans="1:17" ht="96" customHeight="1">
      <c r="A50" s="133" t="s">
        <v>702</v>
      </c>
      <c r="B50" s="19" t="s">
        <v>703</v>
      </c>
      <c r="C50" s="44" t="s">
        <v>24</v>
      </c>
      <c r="D50" s="51" t="s">
        <v>25</v>
      </c>
      <c r="E50" s="51" t="s">
        <v>641</v>
      </c>
      <c r="F50" s="131"/>
      <c r="G50" s="131">
        <v>1</v>
      </c>
      <c r="H50" s="131"/>
      <c r="I50" s="131"/>
      <c r="J50" s="131">
        <v>1</v>
      </c>
      <c r="K50" s="132" t="str">
        <f t="shared" si="5"/>
        <v/>
      </c>
      <c r="L50" s="132">
        <f t="shared" si="6"/>
        <v>1</v>
      </c>
      <c r="M50" s="132" t="str">
        <f t="shared" si="7"/>
        <v/>
      </c>
      <c r="N50" s="132" t="str">
        <f t="shared" si="8"/>
        <v/>
      </c>
      <c r="O50" s="132">
        <f t="shared" si="9"/>
        <v>1</v>
      </c>
      <c r="P50" s="44" t="s">
        <v>27</v>
      </c>
      <c r="Q50" s="135" t="s">
        <v>28</v>
      </c>
    </row>
    <row r="51" spans="1:17" ht="96" customHeight="1">
      <c r="A51" s="133" t="s">
        <v>702</v>
      </c>
      <c r="B51" s="19" t="s">
        <v>704</v>
      </c>
      <c r="C51" s="44" t="s">
        <v>24</v>
      </c>
      <c r="D51" s="51" t="s">
        <v>25</v>
      </c>
      <c r="E51" s="51" t="s">
        <v>641</v>
      </c>
      <c r="F51" s="131"/>
      <c r="G51" s="131">
        <v>1</v>
      </c>
      <c r="H51" s="131">
        <v>1</v>
      </c>
      <c r="I51" s="131">
        <v>1</v>
      </c>
      <c r="J51" s="131">
        <v>1</v>
      </c>
      <c r="K51" s="132" t="str">
        <f t="shared" si="5"/>
        <v/>
      </c>
      <c r="L51" s="132">
        <f t="shared" si="6"/>
        <v>1</v>
      </c>
      <c r="M51" s="132">
        <f t="shared" si="7"/>
        <v>1</v>
      </c>
      <c r="N51" s="132">
        <f t="shared" si="8"/>
        <v>1</v>
      </c>
      <c r="O51" s="132">
        <f t="shared" si="9"/>
        <v>1</v>
      </c>
      <c r="P51" s="44" t="s">
        <v>27</v>
      </c>
      <c r="Q51" s="135" t="s">
        <v>28</v>
      </c>
    </row>
    <row r="52" spans="1:17" ht="96" customHeight="1">
      <c r="A52" s="133" t="s">
        <v>702</v>
      </c>
      <c r="B52" s="19" t="s">
        <v>705</v>
      </c>
      <c r="C52" s="44" t="s">
        <v>24</v>
      </c>
      <c r="D52" s="51" t="s">
        <v>25</v>
      </c>
      <c r="E52" s="51" t="s">
        <v>641</v>
      </c>
      <c r="F52" s="131"/>
      <c r="G52" s="131"/>
      <c r="H52" s="131">
        <v>1</v>
      </c>
      <c r="I52" s="131">
        <v>1</v>
      </c>
      <c r="J52" s="131">
        <v>1</v>
      </c>
      <c r="K52" s="132" t="str">
        <f t="shared" si="5"/>
        <v/>
      </c>
      <c r="L52" s="132" t="str">
        <f t="shared" si="6"/>
        <v/>
      </c>
      <c r="M52" s="132">
        <f t="shared" si="7"/>
        <v>1</v>
      </c>
      <c r="N52" s="132">
        <f t="shared" si="8"/>
        <v>1</v>
      </c>
      <c r="O52" s="132">
        <f t="shared" si="9"/>
        <v>1</v>
      </c>
      <c r="P52" s="44" t="s">
        <v>27</v>
      </c>
      <c r="Q52" s="135" t="s">
        <v>28</v>
      </c>
    </row>
    <row r="53" spans="1:17" ht="96" customHeight="1">
      <c r="A53" s="133" t="s">
        <v>706</v>
      </c>
      <c r="B53" s="19" t="s">
        <v>707</v>
      </c>
      <c r="C53" s="44" t="s">
        <v>24</v>
      </c>
      <c r="D53" s="51" t="s">
        <v>25</v>
      </c>
      <c r="E53" s="51" t="s">
        <v>641</v>
      </c>
      <c r="F53" s="131"/>
      <c r="G53" s="131">
        <v>1</v>
      </c>
      <c r="H53" s="131">
        <v>1</v>
      </c>
      <c r="I53" s="131">
        <v>1</v>
      </c>
      <c r="J53" s="131">
        <v>1</v>
      </c>
      <c r="K53" s="132" t="str">
        <f t="shared" si="5"/>
        <v/>
      </c>
      <c r="L53" s="132">
        <f t="shared" si="6"/>
        <v>1</v>
      </c>
      <c r="M53" s="132">
        <f t="shared" si="7"/>
        <v>1</v>
      </c>
      <c r="N53" s="132">
        <f t="shared" si="8"/>
        <v>1</v>
      </c>
      <c r="O53" s="132">
        <f t="shared" si="9"/>
        <v>1</v>
      </c>
      <c r="P53" s="44" t="s">
        <v>27</v>
      </c>
      <c r="Q53" s="135" t="s">
        <v>28</v>
      </c>
    </row>
    <row r="54" spans="1:17" ht="96" customHeight="1">
      <c r="A54" s="133" t="s">
        <v>706</v>
      </c>
      <c r="B54" s="19" t="s">
        <v>708</v>
      </c>
      <c r="C54" s="44" t="s">
        <v>24</v>
      </c>
      <c r="D54" s="51" t="s">
        <v>25</v>
      </c>
      <c r="E54" s="51" t="s">
        <v>641</v>
      </c>
      <c r="F54" s="131"/>
      <c r="G54" s="131"/>
      <c r="H54" s="131">
        <v>1</v>
      </c>
      <c r="I54" s="131">
        <v>1</v>
      </c>
      <c r="J54" s="131">
        <v>1</v>
      </c>
      <c r="K54" s="132" t="str">
        <f t="shared" si="5"/>
        <v/>
      </c>
      <c r="L54" s="132" t="str">
        <f t="shared" si="6"/>
        <v/>
      </c>
      <c r="M54" s="132">
        <f t="shared" si="7"/>
        <v>1</v>
      </c>
      <c r="N54" s="132">
        <f t="shared" si="8"/>
        <v>1</v>
      </c>
      <c r="O54" s="132">
        <f t="shared" si="9"/>
        <v>1</v>
      </c>
      <c r="P54" s="44" t="s">
        <v>27</v>
      </c>
      <c r="Q54" s="135" t="s">
        <v>28</v>
      </c>
    </row>
    <row r="55" spans="1:17" ht="96" customHeight="1">
      <c r="A55" s="133" t="s">
        <v>709</v>
      </c>
      <c r="B55" s="16" t="s">
        <v>637</v>
      </c>
      <c r="C55" s="130" t="s">
        <v>45</v>
      </c>
      <c r="D55" s="48" t="s">
        <v>638</v>
      </c>
      <c r="E55" s="51" t="s">
        <v>710</v>
      </c>
      <c r="F55" s="131"/>
      <c r="G55" s="131"/>
      <c r="H55" s="131"/>
      <c r="I55" s="131"/>
      <c r="J55" s="131"/>
      <c r="K55" s="132" t="str">
        <f t="shared" si="5"/>
        <v/>
      </c>
      <c r="L55" s="132" t="str">
        <f t="shared" si="6"/>
        <v/>
      </c>
      <c r="M55" s="132" t="str">
        <f t="shared" si="7"/>
        <v/>
      </c>
      <c r="N55" s="132" t="str">
        <f t="shared" si="8"/>
        <v/>
      </c>
      <c r="O55" s="132" t="str">
        <f t="shared" si="9"/>
        <v/>
      </c>
      <c r="P55" s="44" t="s">
        <v>27</v>
      </c>
      <c r="Q55" s="134" t="s">
        <v>28</v>
      </c>
    </row>
    <row r="56" spans="1:17" ht="96" customHeight="1">
      <c r="A56" s="133" t="s">
        <v>709</v>
      </c>
      <c r="B56" s="19" t="s">
        <v>711</v>
      </c>
      <c r="C56" s="44" t="s">
        <v>24</v>
      </c>
      <c r="D56" s="51" t="s">
        <v>25</v>
      </c>
      <c r="E56" s="51" t="s">
        <v>641</v>
      </c>
      <c r="F56" s="131"/>
      <c r="G56" s="131">
        <v>1</v>
      </c>
      <c r="H56" s="131">
        <v>1</v>
      </c>
      <c r="I56" s="131">
        <v>1</v>
      </c>
      <c r="J56" s="131">
        <v>1</v>
      </c>
      <c r="K56" s="132" t="str">
        <f t="shared" si="5"/>
        <v/>
      </c>
      <c r="L56" s="132">
        <f t="shared" si="6"/>
        <v>1</v>
      </c>
      <c r="M56" s="132">
        <f t="shared" si="7"/>
        <v>1</v>
      </c>
      <c r="N56" s="132">
        <f t="shared" si="8"/>
        <v>1</v>
      </c>
      <c r="O56" s="132">
        <f t="shared" si="9"/>
        <v>1</v>
      </c>
      <c r="P56" s="44" t="s">
        <v>27</v>
      </c>
      <c r="Q56" s="135" t="s">
        <v>28</v>
      </c>
    </row>
    <row r="57" spans="1:17" ht="96" customHeight="1">
      <c r="A57" s="133" t="s">
        <v>709</v>
      </c>
      <c r="B57" s="19" t="s">
        <v>712</v>
      </c>
      <c r="C57" s="44" t="s">
        <v>24</v>
      </c>
      <c r="D57" s="51" t="s">
        <v>25</v>
      </c>
      <c r="E57" s="51" t="s">
        <v>641</v>
      </c>
      <c r="F57" s="131"/>
      <c r="G57" s="131"/>
      <c r="H57" s="131">
        <v>1</v>
      </c>
      <c r="I57" s="131">
        <v>1</v>
      </c>
      <c r="J57" s="131">
        <v>1</v>
      </c>
      <c r="K57" s="132" t="str">
        <f t="shared" si="5"/>
        <v/>
      </c>
      <c r="L57" s="132" t="str">
        <f t="shared" si="6"/>
        <v/>
      </c>
      <c r="M57" s="132">
        <f t="shared" si="7"/>
        <v>1</v>
      </c>
      <c r="N57" s="132">
        <f t="shared" si="8"/>
        <v>1</v>
      </c>
      <c r="O57" s="132">
        <f t="shared" si="9"/>
        <v>1</v>
      </c>
      <c r="P57" s="44" t="s">
        <v>27</v>
      </c>
      <c r="Q57" s="135" t="s">
        <v>28</v>
      </c>
    </row>
    <row r="58" spans="1:17" ht="96" customHeight="1">
      <c r="A58" s="133" t="s">
        <v>713</v>
      </c>
      <c r="B58" s="19" t="s">
        <v>714</v>
      </c>
      <c r="C58" s="44" t="s">
        <v>24</v>
      </c>
      <c r="D58" s="51" t="s">
        <v>25</v>
      </c>
      <c r="E58" s="51" t="s">
        <v>641</v>
      </c>
      <c r="F58" s="131"/>
      <c r="G58" s="131">
        <v>1</v>
      </c>
      <c r="H58" s="131">
        <v>1</v>
      </c>
      <c r="I58" s="131">
        <v>1</v>
      </c>
      <c r="J58" s="131">
        <v>1</v>
      </c>
      <c r="K58" s="132" t="str">
        <f t="shared" si="5"/>
        <v/>
      </c>
      <c r="L58" s="132">
        <f t="shared" si="6"/>
        <v>1</v>
      </c>
      <c r="M58" s="132">
        <f t="shared" si="7"/>
        <v>1</v>
      </c>
      <c r="N58" s="132">
        <f t="shared" si="8"/>
        <v>1</v>
      </c>
      <c r="O58" s="132">
        <f t="shared" si="9"/>
        <v>1</v>
      </c>
      <c r="P58" s="44" t="s">
        <v>27</v>
      </c>
      <c r="Q58" s="135" t="s">
        <v>28</v>
      </c>
    </row>
    <row r="59" spans="1:17" ht="96" customHeight="1">
      <c r="A59" s="133" t="s">
        <v>713</v>
      </c>
      <c r="B59" s="19" t="s">
        <v>715</v>
      </c>
      <c r="C59" s="44" t="s">
        <v>24</v>
      </c>
      <c r="D59" s="51" t="s">
        <v>25</v>
      </c>
      <c r="E59" s="51" t="s">
        <v>641</v>
      </c>
      <c r="F59" s="131"/>
      <c r="G59" s="131">
        <v>1</v>
      </c>
      <c r="H59" s="131">
        <v>1</v>
      </c>
      <c r="I59" s="131">
        <v>1</v>
      </c>
      <c r="J59" s="131">
        <v>1</v>
      </c>
      <c r="K59" s="132" t="str">
        <f t="shared" si="5"/>
        <v/>
      </c>
      <c r="L59" s="132">
        <f t="shared" si="6"/>
        <v>1</v>
      </c>
      <c r="M59" s="132">
        <f t="shared" si="7"/>
        <v>1</v>
      </c>
      <c r="N59" s="132">
        <f t="shared" si="8"/>
        <v>1</v>
      </c>
      <c r="O59" s="132">
        <f t="shared" si="9"/>
        <v>1</v>
      </c>
      <c r="P59" s="44" t="s">
        <v>27</v>
      </c>
      <c r="Q59" s="135" t="s">
        <v>28</v>
      </c>
    </row>
    <row r="60" spans="1:17" ht="96" customHeight="1">
      <c r="A60" s="133" t="s">
        <v>713</v>
      </c>
      <c r="B60" s="19" t="s">
        <v>708</v>
      </c>
      <c r="C60" s="44" t="s">
        <v>24</v>
      </c>
      <c r="D60" s="51" t="s">
        <v>25</v>
      </c>
      <c r="E60" s="51" t="s">
        <v>641</v>
      </c>
      <c r="F60" s="131"/>
      <c r="G60" s="131"/>
      <c r="H60" s="131">
        <v>1</v>
      </c>
      <c r="I60" s="131">
        <v>1</v>
      </c>
      <c r="J60" s="131">
        <v>1</v>
      </c>
      <c r="K60" s="132" t="str">
        <f t="shared" si="5"/>
        <v/>
      </c>
      <c r="L60" s="132" t="str">
        <f t="shared" si="6"/>
        <v/>
      </c>
      <c r="M60" s="132">
        <f t="shared" si="7"/>
        <v>1</v>
      </c>
      <c r="N60" s="132">
        <f t="shared" si="8"/>
        <v>1</v>
      </c>
      <c r="O60" s="132">
        <f t="shared" si="9"/>
        <v>1</v>
      </c>
      <c r="P60" s="44" t="s">
        <v>27</v>
      </c>
      <c r="Q60" s="135" t="s">
        <v>28</v>
      </c>
    </row>
    <row r="61" spans="1:17" ht="96" customHeight="1">
      <c r="A61" s="133" t="s">
        <v>716</v>
      </c>
      <c r="B61" s="19" t="s">
        <v>717</v>
      </c>
      <c r="C61" s="44" t="s">
        <v>24</v>
      </c>
      <c r="D61" s="51" t="s">
        <v>25</v>
      </c>
      <c r="E61" s="51" t="s">
        <v>641</v>
      </c>
      <c r="F61" s="131"/>
      <c r="G61" s="131">
        <v>1</v>
      </c>
      <c r="H61" s="131">
        <v>1</v>
      </c>
      <c r="I61" s="131"/>
      <c r="J61" s="131"/>
      <c r="K61" s="132" t="str">
        <f t="shared" si="5"/>
        <v/>
      </c>
      <c r="L61" s="132">
        <f t="shared" si="6"/>
        <v>1</v>
      </c>
      <c r="M61" s="132">
        <f t="shared" si="7"/>
        <v>1</v>
      </c>
      <c r="N61" s="132" t="str">
        <f t="shared" si="8"/>
        <v/>
      </c>
      <c r="O61" s="132" t="str">
        <f t="shared" si="9"/>
        <v/>
      </c>
      <c r="P61" s="44" t="s">
        <v>27</v>
      </c>
      <c r="Q61" s="135" t="s">
        <v>28</v>
      </c>
    </row>
    <row r="62" spans="1:17" ht="96" customHeight="1">
      <c r="A62" s="133" t="s">
        <v>716</v>
      </c>
      <c r="B62" s="19" t="s">
        <v>718</v>
      </c>
      <c r="C62" s="44" t="s">
        <v>24</v>
      </c>
      <c r="D62" s="51" t="s">
        <v>25</v>
      </c>
      <c r="E62" s="51" t="s">
        <v>641</v>
      </c>
      <c r="F62" s="131"/>
      <c r="G62" s="131">
        <v>1</v>
      </c>
      <c r="H62" s="131">
        <v>1</v>
      </c>
      <c r="I62" s="131">
        <v>1</v>
      </c>
      <c r="J62" s="131">
        <v>1</v>
      </c>
      <c r="K62" s="132" t="str">
        <f t="shared" si="5"/>
        <v/>
      </c>
      <c r="L62" s="132">
        <f t="shared" si="6"/>
        <v>1</v>
      </c>
      <c r="M62" s="132">
        <f t="shared" si="7"/>
        <v>1</v>
      </c>
      <c r="N62" s="132">
        <f t="shared" si="8"/>
        <v>1</v>
      </c>
      <c r="O62" s="132">
        <f t="shared" si="9"/>
        <v>1</v>
      </c>
      <c r="P62" s="44" t="s">
        <v>27</v>
      </c>
      <c r="Q62" s="135" t="s">
        <v>28</v>
      </c>
    </row>
    <row r="63" spans="1:17" ht="96" customHeight="1">
      <c r="A63" s="133" t="s">
        <v>716</v>
      </c>
      <c r="B63" s="19" t="s">
        <v>719</v>
      </c>
      <c r="C63" s="44" t="s">
        <v>24</v>
      </c>
      <c r="D63" s="51" t="s">
        <v>25</v>
      </c>
      <c r="E63" s="51" t="s">
        <v>641</v>
      </c>
      <c r="F63" s="131"/>
      <c r="G63" s="131"/>
      <c r="H63" s="131">
        <v>1</v>
      </c>
      <c r="I63" s="131">
        <v>1</v>
      </c>
      <c r="J63" s="131">
        <v>1</v>
      </c>
      <c r="K63" s="132" t="str">
        <f t="shared" si="5"/>
        <v/>
      </c>
      <c r="L63" s="132" t="str">
        <f t="shared" si="6"/>
        <v/>
      </c>
      <c r="M63" s="132">
        <f t="shared" si="7"/>
        <v>1</v>
      </c>
      <c r="N63" s="132">
        <f t="shared" si="8"/>
        <v>1</v>
      </c>
      <c r="O63" s="132">
        <f t="shared" si="9"/>
        <v>1</v>
      </c>
      <c r="P63" s="44" t="s">
        <v>27</v>
      </c>
      <c r="Q63" s="135" t="s">
        <v>28</v>
      </c>
    </row>
  </sheetData>
  <autoFilter ref="A2:Q63" xr:uid="{00000000-0009-0000-0000-000015000000}"/>
  <mergeCells count="9">
    <mergeCell ref="A1:A2"/>
    <mergeCell ref="K1:O1"/>
    <mergeCell ref="Q1:Q2"/>
    <mergeCell ref="C1:C2"/>
    <mergeCell ref="B1:B2"/>
    <mergeCell ref="D1:D2"/>
    <mergeCell ref="E1:E2"/>
    <mergeCell ref="F1:J1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2 EstudiantadoEstProf</vt:lpstr>
      <vt:lpstr>Hoja1</vt:lpstr>
      <vt:lpstr>3 Est avanzados excelencia</vt:lpstr>
      <vt:lpstr>4 Investigación abierta</vt:lpstr>
      <vt:lpstr>5 Innovación, desarrollo tec</vt:lpstr>
      <vt:lpstr>6 Dif y divulga de la ciencia</vt:lpstr>
      <vt:lpstr>7 Cultura desarrollo integral</vt:lpstr>
      <vt:lpstr>8 Deporte universitario</vt:lpstr>
      <vt:lpstr>9 Fortalecimiento docente</vt:lpstr>
      <vt:lpstr>10 Dignificación las y los trab</vt:lpstr>
      <vt:lpstr>11 Gestión administrativa</vt:lpstr>
      <vt:lpstr>12 Fortalecimiento tecnológico</vt:lpstr>
      <vt:lpstr>13 Gobernanza</vt:lpstr>
      <vt:lpstr>16 Manejo recursos universitari</vt:lpstr>
      <vt:lpstr>18 Reconocimiento de la diversi</vt:lpstr>
      <vt:lpstr>19 Constr cultura de paz </vt:lpstr>
      <vt:lpstr>20 Retribución social </vt:lpstr>
      <vt:lpstr>21 Comunicación universitaria</vt:lpstr>
      <vt:lpstr>22 Sostenibilidad ambiental </vt:lpstr>
      <vt:lpstr>Indicadores x proyec</vt:lpstr>
      <vt:lpstr>Apertura programática</vt:lpstr>
      <vt:lpstr>Metas adicionales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Salas Garcia</cp:lastModifiedBy>
  <cp:lastPrinted>2026-03-23T17:42:29Z</cp:lastPrinted>
  <dcterms:created xsi:type="dcterms:W3CDTF">2021-09-21T23:50:05Z</dcterms:created>
  <dcterms:modified xsi:type="dcterms:W3CDTF">2026-09-23T20:33:02Z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0x0101005315CE8D4EE593409BDCE415CE32770F</vt:lpwstr>
  </property>
</Properties>
</file>